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1537" documentId="8_{92FB2599-59FD-4CA2-946A-D08153E8274B}" xr6:coauthVersionLast="47" xr6:coauthVersionMax="47" xr10:uidLastSave="{F0AC81A4-10A1-49C0-9DD1-06EA6191C80B}"/>
  <bookViews>
    <workbookView xWindow="11424" yWindow="0" windowWidth="11712" windowHeight="13056" xr2:uid="{4ED2C885-2CC1-498F-A981-739A00DDA370}"/>
  </bookViews>
  <sheets>
    <sheet name="winter" sheetId="1" r:id="rId1"/>
    <sheet name="summ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4" i="1"/>
  <c r="J178" i="1"/>
  <c r="J4" i="2"/>
  <c r="J195" i="1"/>
  <c r="G19" i="2"/>
  <c r="G4" i="2"/>
  <c r="J3" i="2"/>
  <c r="G180" i="2"/>
  <c r="G178" i="2"/>
  <c r="G176" i="2"/>
  <c r="G173" i="2"/>
  <c r="G170" i="2"/>
  <c r="G167" i="2"/>
  <c r="G164" i="2"/>
  <c r="G161" i="2"/>
  <c r="G158" i="2"/>
  <c r="G155" i="2"/>
  <c r="G153" i="2"/>
  <c r="G151" i="2"/>
  <c r="G149" i="2"/>
  <c r="G147" i="2"/>
  <c r="G144" i="2"/>
  <c r="G140" i="2"/>
  <c r="G135" i="2"/>
  <c r="G131" i="2"/>
  <c r="G126" i="2"/>
  <c r="G121" i="2"/>
  <c r="G117" i="2"/>
  <c r="G113" i="2"/>
  <c r="G110" i="2"/>
  <c r="G106" i="2"/>
  <c r="G102" i="2"/>
  <c r="G99" i="2"/>
  <c r="G94" i="2"/>
  <c r="G91" i="2"/>
  <c r="G89" i="2"/>
  <c r="G87" i="2"/>
  <c r="G85" i="2"/>
  <c r="G82" i="2"/>
  <c r="G80" i="2"/>
  <c r="G76" i="2"/>
  <c r="G71" i="2"/>
  <c r="G68" i="2"/>
  <c r="G66" i="2"/>
  <c r="G64" i="2"/>
  <c r="G62" i="2"/>
  <c r="G56" i="2"/>
  <c r="G52" i="2"/>
  <c r="G44" i="2"/>
  <c r="G40" i="2"/>
  <c r="G37" i="2"/>
  <c r="G33" i="2"/>
  <c r="G29" i="2"/>
  <c r="G25" i="2"/>
  <c r="G13" i="2"/>
  <c r="G10" i="2"/>
  <c r="G7" i="2"/>
  <c r="J160" i="2"/>
  <c r="J96" i="2"/>
  <c r="G97" i="2"/>
  <c r="J93" i="2"/>
  <c r="J99" i="1" l="1"/>
  <c r="J100" i="1"/>
  <c r="J78" i="2"/>
  <c r="J84" i="1"/>
  <c r="J12" i="2"/>
  <c r="J5" i="2"/>
  <c r="J6" i="2"/>
  <c r="J7" i="2"/>
  <c r="J8" i="2"/>
  <c r="J9" i="2"/>
  <c r="J10" i="2"/>
  <c r="J1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9" i="2"/>
  <c r="J80" i="2"/>
  <c r="J81" i="2"/>
  <c r="J82" i="2"/>
  <c r="J83" i="2"/>
  <c r="J85" i="2"/>
  <c r="J86" i="2"/>
  <c r="J87" i="2"/>
  <c r="J88" i="2"/>
  <c r="J89" i="2"/>
  <c r="J90" i="2"/>
  <c r="J91" i="2"/>
  <c r="J94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6" i="2"/>
  <c r="J177" i="2"/>
  <c r="J178" i="2"/>
  <c r="J179" i="2"/>
  <c r="J180" i="2"/>
  <c r="J2" i="2"/>
  <c r="G59" i="2"/>
  <c r="G48" i="2"/>
  <c r="G123" i="1"/>
  <c r="G118" i="1"/>
  <c r="G114" i="1"/>
  <c r="G110" i="1"/>
  <c r="G106" i="1"/>
  <c r="G102" i="1"/>
  <c r="G98" i="1"/>
  <c r="G96" i="1"/>
  <c r="G94" i="1"/>
  <c r="G92" i="1"/>
  <c r="G90" i="1"/>
  <c r="G86" i="1"/>
  <c r="G83" i="1"/>
  <c r="G80" i="1"/>
  <c r="G75" i="1"/>
  <c r="G72" i="1"/>
  <c r="G70" i="1"/>
  <c r="G68" i="1"/>
  <c r="G65" i="1"/>
  <c r="G62" i="1"/>
  <c r="G58" i="1"/>
  <c r="G54" i="1"/>
  <c r="G50" i="1"/>
  <c r="G45" i="1"/>
  <c r="G41" i="1"/>
  <c r="G37" i="1"/>
  <c r="G33" i="1"/>
  <c r="G28" i="1"/>
  <c r="G24" i="1"/>
  <c r="G18" i="1"/>
  <c r="G12" i="1"/>
  <c r="G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Savannah Miller</author>
  </authors>
  <commentList>
    <comment ref="G1" authorId="0" shapeId="0" xr:uid="{383114EF-03E3-4259-B302-9DBA61CEC96B}">
      <text>
        <r>
          <rPr>
            <b/>
            <sz val="9"/>
            <color indexed="81"/>
            <rFont val="Tahoma"/>
            <charset val="1"/>
          </rPr>
          <t>Savannah Miller:</t>
        </r>
        <r>
          <rPr>
            <sz val="9"/>
            <color indexed="81"/>
            <rFont val="Tahoma"/>
            <charset val="1"/>
          </rPr>
          <t xml:space="preserve">
percent veg vs. percent unveg
</t>
        </r>
      </text>
    </comment>
  </commentList>
</comments>
</file>

<file path=xl/sharedStrings.xml><?xml version="1.0" encoding="utf-8"?>
<sst xmlns="http://schemas.openxmlformats.org/spreadsheetml/2006/main" count="2459" uniqueCount="125">
  <si>
    <t>Season</t>
  </si>
  <si>
    <t>Study Phase</t>
  </si>
  <si>
    <t xml:space="preserve">Site </t>
  </si>
  <si>
    <t>Tran</t>
  </si>
  <si>
    <t xml:space="preserve">Dist </t>
  </si>
  <si>
    <t>Date Measured</t>
  </si>
  <si>
    <t>Total Percent Covered (%)</t>
  </si>
  <si>
    <t>Percent Covered (%)</t>
  </si>
  <si>
    <t>Percent Covered (Species)</t>
  </si>
  <si>
    <t>Average Height Total (cm, calc. post field)</t>
  </si>
  <si>
    <t>Average Height Total (species)</t>
  </si>
  <si>
    <t xml:space="preserve">Average Height (cm) Q1 </t>
  </si>
  <si>
    <t xml:space="preserve">Average Height (species) Q1 </t>
  </si>
  <si>
    <t>Average Height (cm) Q2</t>
  </si>
  <si>
    <t>Average Height (species) Q2</t>
  </si>
  <si>
    <t xml:space="preserve">Average Height (cm) Q3 </t>
  </si>
  <si>
    <t xml:space="preserve">Average Height (species) Q3 </t>
  </si>
  <si>
    <t>Average Height (cm) Q4</t>
  </si>
  <si>
    <t>Average Height (species) Q4</t>
  </si>
  <si>
    <t>Maximum Height (cm)</t>
  </si>
  <si>
    <t>Maximum Height (Species)</t>
  </si>
  <si>
    <t>Photo Timestamp</t>
  </si>
  <si>
    <t>Notes</t>
  </si>
  <si>
    <t>Winter</t>
  </si>
  <si>
    <t>M7</t>
  </si>
  <si>
    <t>B</t>
  </si>
  <si>
    <t>SPFO</t>
  </si>
  <si>
    <t xml:space="preserve">Q3 might be footstep disturbance-took a pic </t>
  </si>
  <si>
    <t>SAPA</t>
  </si>
  <si>
    <t>Uncovered</t>
  </si>
  <si>
    <t>NA</t>
  </si>
  <si>
    <t>DISP</t>
  </si>
  <si>
    <t xml:space="preserve">Q3 might have a human path; distch intertwined with pickleweed </t>
  </si>
  <si>
    <t xml:space="preserve">  </t>
  </si>
  <si>
    <t>TRIG</t>
  </si>
  <si>
    <t>LICA</t>
  </si>
  <si>
    <t>JACA</t>
  </si>
  <si>
    <t xml:space="preserve">Trig mostly in understor </t>
  </si>
  <si>
    <t>Trig</t>
  </si>
  <si>
    <t>10:27 am (after survey)</t>
  </si>
  <si>
    <t>11:26:00 AM; took pic ater survey 11:31 AM!</t>
  </si>
  <si>
    <t>G</t>
  </si>
  <si>
    <t>Marsh Edge Pieces hard to tell intertwined</t>
  </si>
  <si>
    <t>Distch</t>
  </si>
  <si>
    <t>Debris on top</t>
  </si>
  <si>
    <t>GRST</t>
  </si>
  <si>
    <t xml:space="preserve">Marsh Edge   </t>
  </si>
  <si>
    <t>10:07 AM; unusual/weird</t>
  </si>
  <si>
    <t xml:space="preserve">Pieces of edge </t>
  </si>
  <si>
    <t>Pieces of edge on top (upper story)</t>
  </si>
  <si>
    <t xml:space="preserve">Debris on top </t>
  </si>
  <si>
    <t xml:space="preserve">8:34 AM; top NW corner looks like channel coming through mostly northside; 8:39 AM adjust new pic </t>
  </si>
  <si>
    <t>C</t>
  </si>
  <si>
    <t>11:12:00 AM; confusing if it's distch/jaumea for cover eta</t>
  </si>
  <si>
    <t xml:space="preserve">10:52:00 AM; moved quad before measuring </t>
  </si>
  <si>
    <t xml:space="preserve">10:39:00 AM; took pic density packed everything mixed together </t>
  </si>
  <si>
    <t>SPFO?</t>
  </si>
  <si>
    <t>10:08:00 AM; stepped into transect-might have impact</t>
  </si>
  <si>
    <t>11:58:00 AM; pic taken after cover measurements</t>
  </si>
  <si>
    <t>12:52:00 PM; during placement some pooling on filters</t>
  </si>
  <si>
    <t>S</t>
  </si>
  <si>
    <t>Time before 12:29 pm-no timestamp in notes</t>
  </si>
  <si>
    <t>algae on bottom half</t>
  </si>
  <si>
    <t xml:space="preserve">Uncovered </t>
  </si>
  <si>
    <t>&gt;5</t>
  </si>
  <si>
    <t>Algae</t>
  </si>
  <si>
    <t>Algae on Pickleweed (bottom half)</t>
  </si>
  <si>
    <t>Algae on pickle (bottom half)</t>
  </si>
  <si>
    <t xml:space="preserve">Bamboo Debris on Top </t>
  </si>
  <si>
    <t>Summer</t>
  </si>
  <si>
    <t>M11</t>
  </si>
  <si>
    <t>Distch is only in Q2</t>
  </si>
  <si>
    <t>pickleweed in Q1-3</t>
  </si>
  <si>
    <t>understory</t>
  </si>
  <si>
    <t>JACA in understory</t>
  </si>
  <si>
    <t xml:space="preserve">salt grass and jawmea in the understory </t>
  </si>
  <si>
    <t xml:space="preserve">jawmea in the understory </t>
  </si>
  <si>
    <t>N/A</t>
  </si>
  <si>
    <t xml:space="preserve">jawmea and distch understory with pickleweed over it </t>
  </si>
  <si>
    <t xml:space="preserve">jawmea in understory </t>
  </si>
  <si>
    <t>understory; overlap with pickleweed</t>
  </si>
  <si>
    <t>`</t>
  </si>
  <si>
    <t>salt grass, jawmea, and tiny grass is intermixed</t>
  </si>
  <si>
    <t xml:space="preserve">saltgrass and jawmea overlaps, not in the understory </t>
  </si>
  <si>
    <t>saltgrass only in Q 2 and 3</t>
  </si>
  <si>
    <t>understory jawmea</t>
  </si>
  <si>
    <t>overlap of PW, SL, and GD</t>
  </si>
  <si>
    <t>Q2 and 3 are in the channel edge</t>
  </si>
  <si>
    <t>Seaweed</t>
  </si>
  <si>
    <t>12:33 pm (took pic after survey)</t>
  </si>
  <si>
    <t xml:space="preserve">in understory </t>
  </si>
  <si>
    <t>in understory ; not crab shell present but not measured in percent cover</t>
  </si>
  <si>
    <t xml:space="preserve">Eroded! </t>
  </si>
  <si>
    <t>seaweed covering</t>
  </si>
  <si>
    <t>dug into the seaweed</t>
  </si>
  <si>
    <t>spread out in Q1 jawmea spread in understory/upperstory</t>
  </si>
  <si>
    <t>70% undrstory jawmea</t>
  </si>
  <si>
    <t>looks like one quarter didn't have pickleweed, but had saltgrass-check the photo</t>
  </si>
  <si>
    <t xml:space="preserve">salt grass in the top story </t>
  </si>
  <si>
    <t>pickleweed in the upper story</t>
  </si>
  <si>
    <t>algae on bottom half of pickleweed</t>
  </si>
  <si>
    <t xml:space="preserve">algae on bottom half (understory) </t>
  </si>
  <si>
    <t xml:space="preserve">SPFO mostly dead new buds middle upper story </t>
  </si>
  <si>
    <t xml:space="preserve">middle-upper story </t>
  </si>
  <si>
    <t>pickleweed overlap saltgrass</t>
  </si>
  <si>
    <t>constant throughout</t>
  </si>
  <si>
    <t xml:space="preserve">understory </t>
  </si>
  <si>
    <t>saltgrass makes up under story, depressions seen throughout saltgrass</t>
  </si>
  <si>
    <t xml:space="preserve">overlapping spartina and pickleweed </t>
  </si>
  <si>
    <t>overlapping pickleweed and spartina</t>
  </si>
  <si>
    <t xml:space="preserve">all jaumea/spartina/pickleweed all overlapping </t>
  </si>
  <si>
    <t>all jaumea/spartina/pickleweed all overlapping</t>
  </si>
  <si>
    <t xml:space="preserve">mostly dead pickleweed </t>
  </si>
  <si>
    <t xml:space="preserve">jaumea and saltgrass overlap </t>
  </si>
  <si>
    <t>saltgrass and jawmea overlaps</t>
  </si>
  <si>
    <t xml:space="preserve">pickleweed and spartina overlaps each other </t>
  </si>
  <si>
    <t xml:space="preserve">understory jawmea </t>
  </si>
  <si>
    <t>jawmea in understory</t>
  </si>
  <si>
    <t>tidal channel present in quadrat</t>
  </si>
  <si>
    <t>2nd half of duadrat got affected</t>
  </si>
  <si>
    <t>no timestamp taken</t>
  </si>
  <si>
    <t>algae on bottom of pickleweed</t>
  </si>
  <si>
    <t>pickleweed overlapping spartina</t>
  </si>
  <si>
    <t xml:space="preserve">Dotter on top </t>
  </si>
  <si>
    <t>original measurements in inches, converted to cm; no timestamp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</si>
</sst>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14" fontId="0" fillId="0" borderId="13" xfId="0" applyNumberFormat="1" applyBorder="1"/>
    <xf numFmtId="0" fontId="0" fillId="33" borderId="13" xfId="0" applyFill="1" applyBorder="1"/>
    <xf numFmtId="18" fontId="0" fillId="0" borderId="13" xfId="0" applyNumberFormat="1" applyBorder="1"/>
    <xf numFmtId="0" fontId="0" fillId="0" borderId="14" xfId="0" applyBorder="1"/>
    <xf numFmtId="14" fontId="0" fillId="0" borderId="0" xfId="0" applyNumberFormat="1"/>
    <xf numFmtId="0" fontId="0" fillId="33" borderId="0" xfId="0" applyFill="1"/>
    <xf numFmtId="0" fontId="0" fillId="0" borderId="15" xfId="0" applyBorder="1"/>
    <xf numFmtId="0" fontId="0" fillId="0" borderId="16" xfId="0" applyBorder="1"/>
    <xf numFmtId="14" fontId="0" fillId="0" borderId="16" xfId="0" applyNumberFormat="1" applyBorder="1"/>
    <xf numFmtId="0" fontId="0" fillId="33" borderId="16" xfId="0" applyFill="1" applyBorder="1"/>
    <xf numFmtId="18" fontId="0" fillId="0" borderId="16" xfId="0" applyNumberFormat="1" applyBorder="1"/>
    <xf numFmtId="18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0" fontId="0" fillId="34" borderId="12" xfId="0" applyFill="1" applyBorder="1"/>
    <xf numFmtId="0" fontId="0" fillId="34" borderId="13" xfId="0" applyFill="1" applyBorder="1"/>
    <xf numFmtId="14" fontId="0" fillId="34" borderId="13" xfId="0" applyNumberFormat="1" applyFill="1" applyBorder="1"/>
    <xf numFmtId="0" fontId="0" fillId="34" borderId="15" xfId="0" applyFill="1" applyBorder="1"/>
    <xf numFmtId="0" fontId="0" fillId="34" borderId="16" xfId="0" applyFill="1" applyBorder="1"/>
    <xf numFmtId="14" fontId="0" fillId="34" borderId="16" xfId="0" applyNumberFormat="1" applyFill="1" applyBorder="1"/>
    <xf numFmtId="0" fontId="0" fillId="33" borderId="14" xfId="0" applyFill="1" applyBorder="1"/>
    <xf numFmtId="14" fontId="0" fillId="33" borderId="0" xfId="0" applyNumberFormat="1" applyFill="1"/>
    <xf numFmtId="0" fontId="0" fillId="33" borderId="12" xfId="0" applyFill="1" applyBorder="1"/>
    <xf numFmtId="14" fontId="0" fillId="33" borderId="13" xfId="0" applyNumberFormat="1" applyFill="1" applyBorder="1"/>
    <xf numFmtId="18" fontId="0" fillId="33" borderId="13" xfId="0" applyNumberFormat="1" applyFill="1" applyBorder="1"/>
    <xf numFmtId="0" fontId="0" fillId="33" borderId="15" xfId="0" applyFill="1" applyBorder="1"/>
    <xf numFmtId="14" fontId="0" fillId="33" borderId="16" xfId="0" applyNumberFormat="1" applyFill="1" applyBorder="1"/>
    <xf numFmtId="18" fontId="0" fillId="33" borderId="16" xfId="0" applyNumberFormat="1" applyFill="1" applyBorder="1"/>
    <xf numFmtId="1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1F06-09F2-446C-9DE5-BD7F4440343B}">
  <dimension ref="A1:W196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6" max="6" width="14.33203125" bestFit="1" customWidth="1"/>
    <col min="7" max="7" width="8.44140625" bestFit="1" customWidth="1"/>
    <col min="9" max="9" width="12.77734375" customWidth="1"/>
    <col min="10" max="10" width="11.6640625" customWidth="1"/>
    <col min="11" max="11" width="9.109375" customWidth="1"/>
    <col min="12" max="12" width="7.88671875" bestFit="1" customWidth="1"/>
    <col min="13" max="13" width="8.77734375" bestFit="1" customWidth="1"/>
    <col min="14" max="14" width="7.88671875" bestFit="1" customWidth="1"/>
    <col min="15" max="15" width="8.77734375" bestFit="1" customWidth="1"/>
    <col min="16" max="16" width="7.88671875" bestFit="1" customWidth="1"/>
    <col min="17" max="17" width="8.77734375" bestFit="1" customWidth="1"/>
    <col min="18" max="18" width="7.88671875" bestFit="1" customWidth="1"/>
    <col min="19" max="19" width="8.77734375" bestFit="1" customWidth="1"/>
    <col min="21" max="21" width="14.5546875" customWidth="1"/>
    <col min="22" max="22" width="11.77734375" customWidth="1"/>
  </cols>
  <sheetData>
    <row r="1" spans="1:23" s="2" customFormat="1" ht="5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s="4" customFormat="1" x14ac:dyDescent="0.3">
      <c r="A2" s="3" t="s">
        <v>23</v>
      </c>
      <c r="B2" s="4" t="s">
        <v>24</v>
      </c>
      <c r="C2" s="4" t="s">
        <v>25</v>
      </c>
      <c r="D2" s="4">
        <v>1</v>
      </c>
      <c r="E2" s="4">
        <v>0.5</v>
      </c>
      <c r="F2" s="5">
        <v>46074</v>
      </c>
      <c r="H2" s="4">
        <v>20</v>
      </c>
      <c r="I2" s="4" t="s">
        <v>26</v>
      </c>
      <c r="J2" s="4">
        <v>68</v>
      </c>
      <c r="K2" s="4" t="s">
        <v>26</v>
      </c>
      <c r="L2" s="4">
        <v>68</v>
      </c>
      <c r="M2" s="4" t="s">
        <v>26</v>
      </c>
      <c r="N2" s="4">
        <v>65</v>
      </c>
      <c r="O2" s="4" t="s">
        <v>26</v>
      </c>
      <c r="P2" s="6">
        <v>83</v>
      </c>
      <c r="Q2" s="4" t="s">
        <v>26</v>
      </c>
      <c r="R2" s="4">
        <v>60.5</v>
      </c>
      <c r="S2" s="4" t="s">
        <v>26</v>
      </c>
      <c r="T2" s="4">
        <v>83</v>
      </c>
      <c r="U2" s="4" t="s">
        <v>26</v>
      </c>
      <c r="V2" s="7">
        <v>0.41458333333333336</v>
      </c>
      <c r="W2" s="4" t="s">
        <v>27</v>
      </c>
    </row>
    <row r="3" spans="1:23" s="10" customFormat="1" x14ac:dyDescent="0.3">
      <c r="A3" s="27" t="s">
        <v>23</v>
      </c>
      <c r="B3" s="10" t="s">
        <v>24</v>
      </c>
      <c r="C3" s="10" t="s">
        <v>25</v>
      </c>
      <c r="D3" s="10">
        <v>1</v>
      </c>
      <c r="E3" s="10">
        <v>0.5</v>
      </c>
      <c r="F3" s="28">
        <v>46074</v>
      </c>
      <c r="H3" s="10">
        <v>50</v>
      </c>
      <c r="I3" s="10" t="s">
        <v>28</v>
      </c>
      <c r="J3" s="10">
        <v>48</v>
      </c>
      <c r="K3" s="10" t="s">
        <v>28</v>
      </c>
      <c r="L3" s="10">
        <v>42</v>
      </c>
      <c r="M3" s="10" t="s">
        <v>28</v>
      </c>
      <c r="N3" s="10">
        <v>53.5</v>
      </c>
      <c r="O3" s="10" t="s">
        <v>28</v>
      </c>
      <c r="P3" s="10">
        <v>45</v>
      </c>
      <c r="Q3" s="10" t="s">
        <v>28</v>
      </c>
      <c r="R3" s="10">
        <v>51</v>
      </c>
      <c r="S3" s="10" t="s">
        <v>28</v>
      </c>
      <c r="T3" s="10">
        <v>53.5</v>
      </c>
      <c r="U3" s="10" t="s">
        <v>28</v>
      </c>
    </row>
    <row r="4" spans="1:23" s="12" customFormat="1" ht="15" thickBot="1" x14ac:dyDescent="0.35">
      <c r="A4" s="11" t="s">
        <v>23</v>
      </c>
      <c r="B4" s="12" t="s">
        <v>24</v>
      </c>
      <c r="C4" s="12" t="s">
        <v>25</v>
      </c>
      <c r="D4" s="12">
        <v>1</v>
      </c>
      <c r="E4" s="12">
        <v>0.5</v>
      </c>
      <c r="F4" s="13">
        <v>46074</v>
      </c>
      <c r="G4" s="12">
        <f>SUM(H2:H3)</f>
        <v>70</v>
      </c>
      <c r="H4" s="12">
        <v>30</v>
      </c>
      <c r="I4" s="12" t="s">
        <v>29</v>
      </c>
      <c r="J4" s="12" t="s">
        <v>30</v>
      </c>
      <c r="T4" s="12">
        <v>0</v>
      </c>
    </row>
    <row r="5" spans="1:23" s="4" customFormat="1" ht="15" thickBot="1" x14ac:dyDescent="0.35">
      <c r="A5" s="3" t="s">
        <v>23</v>
      </c>
      <c r="B5" s="4" t="s">
        <v>24</v>
      </c>
      <c r="C5" s="4" t="s">
        <v>25</v>
      </c>
      <c r="D5" s="4">
        <v>1</v>
      </c>
      <c r="E5" s="4">
        <v>2</v>
      </c>
      <c r="F5" s="5">
        <v>46074</v>
      </c>
      <c r="H5" s="4">
        <v>15</v>
      </c>
      <c r="I5" s="4" t="s">
        <v>31</v>
      </c>
      <c r="U5" s="4" t="s">
        <v>28</v>
      </c>
      <c r="V5" s="7">
        <v>0.40625</v>
      </c>
      <c r="W5" s="4" t="s">
        <v>32</v>
      </c>
    </row>
    <row r="6" spans="1:23" s="10" customFormat="1" x14ac:dyDescent="0.3">
      <c r="A6" s="27" t="s">
        <v>23</v>
      </c>
      <c r="B6" s="10" t="s">
        <v>24</v>
      </c>
      <c r="C6" s="10" t="s">
        <v>25</v>
      </c>
      <c r="D6" s="10">
        <v>1</v>
      </c>
      <c r="E6" s="10">
        <v>2</v>
      </c>
      <c r="F6" s="28">
        <v>46074</v>
      </c>
      <c r="H6" s="10">
        <v>55</v>
      </c>
      <c r="I6" s="10" t="s">
        <v>28</v>
      </c>
      <c r="J6" s="4">
        <v>34</v>
      </c>
      <c r="K6" s="4" t="s">
        <v>28</v>
      </c>
      <c r="L6" s="4">
        <v>38</v>
      </c>
      <c r="M6" s="4" t="s">
        <v>28</v>
      </c>
      <c r="N6" s="6">
        <v>39</v>
      </c>
      <c r="O6" s="4" t="s">
        <v>28</v>
      </c>
      <c r="P6" s="4">
        <v>27.5</v>
      </c>
      <c r="Q6" s="4" t="s">
        <v>28</v>
      </c>
      <c r="R6" s="4">
        <v>32</v>
      </c>
      <c r="S6" s="4" t="s">
        <v>28</v>
      </c>
      <c r="T6" s="4">
        <v>39</v>
      </c>
    </row>
    <row r="7" spans="1:23" s="12" customFormat="1" ht="15" thickBot="1" x14ac:dyDescent="0.35">
      <c r="A7" s="11" t="s">
        <v>23</v>
      </c>
      <c r="B7" s="12" t="s">
        <v>24</v>
      </c>
      <c r="C7" s="12" t="s">
        <v>25</v>
      </c>
      <c r="D7" s="12">
        <v>1</v>
      </c>
      <c r="E7" s="12">
        <v>2</v>
      </c>
      <c r="F7" s="13">
        <v>46074</v>
      </c>
      <c r="G7" s="12">
        <f>SUM(H5:H6)</f>
        <v>70</v>
      </c>
      <c r="H7" s="12">
        <v>45</v>
      </c>
      <c r="I7" s="12" t="s">
        <v>29</v>
      </c>
      <c r="J7" s="12" t="s">
        <v>30</v>
      </c>
      <c r="T7" s="12">
        <v>0</v>
      </c>
    </row>
    <row r="8" spans="1:23" s="6" customFormat="1" x14ac:dyDescent="0.3">
      <c r="A8" s="29" t="s">
        <v>23</v>
      </c>
      <c r="B8" s="6" t="s">
        <v>24</v>
      </c>
      <c r="C8" s="6" t="s">
        <v>25</v>
      </c>
      <c r="D8" s="6">
        <v>1</v>
      </c>
      <c r="E8" s="6">
        <v>6</v>
      </c>
      <c r="F8" s="30">
        <v>46074</v>
      </c>
      <c r="H8" s="6">
        <v>80</v>
      </c>
      <c r="I8" s="6" t="s">
        <v>28</v>
      </c>
      <c r="J8" s="6">
        <v>31</v>
      </c>
      <c r="K8" s="6" t="s">
        <v>28</v>
      </c>
      <c r="L8" s="6">
        <v>33</v>
      </c>
      <c r="M8" s="6" t="s">
        <v>28</v>
      </c>
      <c r="N8" s="6">
        <v>31</v>
      </c>
      <c r="O8" s="6" t="s">
        <v>28</v>
      </c>
      <c r="P8" s="6">
        <v>32</v>
      </c>
      <c r="Q8" s="6" t="s">
        <v>28</v>
      </c>
      <c r="R8" s="6">
        <v>28</v>
      </c>
      <c r="S8" s="6" t="s">
        <v>28</v>
      </c>
      <c r="T8" s="6">
        <v>33</v>
      </c>
      <c r="U8" s="6" t="s">
        <v>28</v>
      </c>
      <c r="V8" s="31">
        <v>0.4</v>
      </c>
      <c r="W8" s="6" t="s">
        <v>71</v>
      </c>
    </row>
    <row r="9" spans="1:23" x14ac:dyDescent="0.3">
      <c r="A9" s="8" t="s">
        <v>23</v>
      </c>
      <c r="B9" t="s">
        <v>24</v>
      </c>
      <c r="C9" t="s">
        <v>25</v>
      </c>
      <c r="D9">
        <v>1</v>
      </c>
      <c r="E9">
        <v>6</v>
      </c>
      <c r="F9" s="9">
        <v>46074</v>
      </c>
      <c r="H9">
        <v>5</v>
      </c>
      <c r="I9" t="s">
        <v>31</v>
      </c>
      <c r="J9" t="s">
        <v>30</v>
      </c>
      <c r="T9">
        <v>0</v>
      </c>
    </row>
    <row r="10" spans="1:23" s="12" customFormat="1" ht="15" thickBot="1" x14ac:dyDescent="0.35">
      <c r="A10" s="11" t="s">
        <v>23</v>
      </c>
      <c r="B10" s="12" t="s">
        <v>24</v>
      </c>
      <c r="C10" s="12" t="s">
        <v>25</v>
      </c>
      <c r="D10" s="12">
        <v>1</v>
      </c>
      <c r="E10" s="12">
        <v>6</v>
      </c>
      <c r="F10" s="13">
        <v>46074</v>
      </c>
      <c r="G10" s="12">
        <f>SUM(H8:H10)</f>
        <v>105</v>
      </c>
      <c r="H10" s="12">
        <v>20</v>
      </c>
      <c r="I10" s="12" t="s">
        <v>29</v>
      </c>
      <c r="J10" s="12" t="s">
        <v>30</v>
      </c>
      <c r="T10" s="12">
        <v>0</v>
      </c>
    </row>
    <row r="11" spans="1:23" s="4" customFormat="1" x14ac:dyDescent="0.3">
      <c r="A11" s="3" t="s">
        <v>23</v>
      </c>
      <c r="B11" s="4" t="s">
        <v>24</v>
      </c>
      <c r="C11" s="4" t="s">
        <v>25</v>
      </c>
      <c r="D11" s="4">
        <v>1</v>
      </c>
      <c r="E11" s="4">
        <v>12</v>
      </c>
      <c r="F11" s="5">
        <v>46074</v>
      </c>
      <c r="H11" s="4">
        <v>10</v>
      </c>
      <c r="I11" s="4" t="s">
        <v>29</v>
      </c>
      <c r="J11" s="4" t="s">
        <v>30</v>
      </c>
      <c r="L11" s="4" t="s">
        <v>33</v>
      </c>
      <c r="T11" s="4">
        <v>0</v>
      </c>
    </row>
    <row r="12" spans="1:23" s="14" customFormat="1" ht="15" thickBot="1" x14ac:dyDescent="0.35">
      <c r="A12" s="32" t="s">
        <v>23</v>
      </c>
      <c r="B12" s="14" t="s">
        <v>24</v>
      </c>
      <c r="C12" s="14" t="s">
        <v>25</v>
      </c>
      <c r="D12" s="14">
        <v>1</v>
      </c>
      <c r="E12" s="14">
        <v>12</v>
      </c>
      <c r="F12" s="33">
        <v>46074</v>
      </c>
      <c r="G12" s="14">
        <f>SUM(H11:H12)</f>
        <v>100</v>
      </c>
      <c r="H12" s="14">
        <v>90</v>
      </c>
      <c r="I12" s="14" t="s">
        <v>28</v>
      </c>
      <c r="J12" s="14">
        <v>34</v>
      </c>
      <c r="K12" s="14" t="s">
        <v>28</v>
      </c>
      <c r="L12" s="14">
        <v>29</v>
      </c>
      <c r="M12" s="14" t="s">
        <v>28</v>
      </c>
      <c r="N12" s="14">
        <v>37</v>
      </c>
      <c r="O12" s="14" t="s">
        <v>28</v>
      </c>
      <c r="P12" s="14">
        <v>30</v>
      </c>
      <c r="Q12" s="14" t="s">
        <v>28</v>
      </c>
      <c r="R12" s="14">
        <v>41.5</v>
      </c>
      <c r="S12" s="14" t="s">
        <v>28</v>
      </c>
      <c r="T12" s="14">
        <v>41.5</v>
      </c>
      <c r="U12" s="14" t="s">
        <v>28</v>
      </c>
      <c r="V12" s="34">
        <v>0.39374999999999999</v>
      </c>
    </row>
    <row r="13" spans="1:23" s="4" customFormat="1" x14ac:dyDescent="0.3">
      <c r="A13" s="3" t="s">
        <v>23</v>
      </c>
      <c r="B13" s="4" t="s">
        <v>24</v>
      </c>
      <c r="C13" s="4" t="s">
        <v>25</v>
      </c>
      <c r="D13" s="4">
        <v>1</v>
      </c>
      <c r="E13" s="4">
        <v>18</v>
      </c>
      <c r="F13" s="5">
        <v>46074</v>
      </c>
      <c r="H13" s="4">
        <v>15</v>
      </c>
      <c r="I13" s="4" t="s">
        <v>31</v>
      </c>
      <c r="J13" s="4" t="s">
        <v>30</v>
      </c>
      <c r="T13" s="4">
        <v>0</v>
      </c>
    </row>
    <row r="14" spans="1:23" s="10" customFormat="1" x14ac:dyDescent="0.3">
      <c r="A14" s="27" t="s">
        <v>23</v>
      </c>
      <c r="B14" s="10" t="s">
        <v>24</v>
      </c>
      <c r="C14" s="10" t="s">
        <v>25</v>
      </c>
      <c r="D14" s="10">
        <v>1</v>
      </c>
      <c r="E14" s="10">
        <v>18</v>
      </c>
      <c r="F14" s="28">
        <v>46074</v>
      </c>
      <c r="H14" s="10">
        <v>50</v>
      </c>
      <c r="I14" s="10" t="s">
        <v>34</v>
      </c>
      <c r="J14" s="10">
        <v>15</v>
      </c>
      <c r="K14" s="10" t="s">
        <v>34</v>
      </c>
      <c r="L14" s="10">
        <v>18.5</v>
      </c>
      <c r="M14" s="10" t="s">
        <v>34</v>
      </c>
      <c r="N14" s="10">
        <v>12</v>
      </c>
      <c r="O14" s="10" t="s">
        <v>34</v>
      </c>
      <c r="P14" s="10">
        <v>13</v>
      </c>
      <c r="Q14" s="10" t="s">
        <v>34</v>
      </c>
      <c r="R14" s="10">
        <v>15</v>
      </c>
      <c r="S14" s="10" t="s">
        <v>34</v>
      </c>
      <c r="T14" s="10">
        <v>18.5</v>
      </c>
      <c r="U14" s="10" t="s">
        <v>34</v>
      </c>
      <c r="V14" s="35">
        <v>0.3840277777777778</v>
      </c>
    </row>
    <row r="15" spans="1:23" s="10" customFormat="1" x14ac:dyDescent="0.3">
      <c r="A15" s="27" t="s">
        <v>23</v>
      </c>
      <c r="B15" s="10" t="s">
        <v>24</v>
      </c>
      <c r="C15" s="10" t="s">
        <v>25</v>
      </c>
      <c r="D15" s="10">
        <v>1</v>
      </c>
      <c r="E15" s="10">
        <v>18</v>
      </c>
      <c r="F15" s="28">
        <v>46074</v>
      </c>
      <c r="H15" s="10">
        <v>20</v>
      </c>
      <c r="I15" s="10" t="s">
        <v>28</v>
      </c>
      <c r="J15" s="10">
        <v>25</v>
      </c>
      <c r="K15" s="10" t="s">
        <v>28</v>
      </c>
      <c r="L15" s="10">
        <v>26</v>
      </c>
      <c r="M15" s="10" t="s">
        <v>28</v>
      </c>
      <c r="N15" s="10">
        <v>22</v>
      </c>
      <c r="O15" s="10" t="s">
        <v>28</v>
      </c>
      <c r="P15" s="10">
        <v>14</v>
      </c>
      <c r="Q15" s="10" t="s">
        <v>28</v>
      </c>
      <c r="R15" s="10">
        <v>36</v>
      </c>
      <c r="S15" s="10" t="s">
        <v>28</v>
      </c>
      <c r="T15" s="10">
        <v>36</v>
      </c>
      <c r="U15" s="10" t="s">
        <v>28</v>
      </c>
    </row>
    <row r="16" spans="1:23" x14ac:dyDescent="0.3">
      <c r="A16" s="8" t="s">
        <v>23</v>
      </c>
      <c r="B16" t="s">
        <v>24</v>
      </c>
      <c r="C16" t="s">
        <v>25</v>
      </c>
      <c r="D16">
        <v>1</v>
      </c>
      <c r="E16">
        <v>18</v>
      </c>
      <c r="F16" s="9">
        <v>46074</v>
      </c>
      <c r="H16">
        <v>5</v>
      </c>
      <c r="I16" t="s">
        <v>35</v>
      </c>
      <c r="J16" t="s">
        <v>30</v>
      </c>
      <c r="T16">
        <v>0</v>
      </c>
    </row>
    <row r="17" spans="1:23" x14ac:dyDescent="0.3">
      <c r="A17" s="8" t="s">
        <v>23</v>
      </c>
      <c r="B17" t="s">
        <v>24</v>
      </c>
      <c r="C17" t="s">
        <v>25</v>
      </c>
      <c r="D17">
        <v>1</v>
      </c>
      <c r="E17">
        <v>18</v>
      </c>
      <c r="F17" s="9">
        <v>46074</v>
      </c>
      <c r="H17">
        <v>35</v>
      </c>
      <c r="I17" t="s">
        <v>29</v>
      </c>
      <c r="J17" t="s">
        <v>30</v>
      </c>
      <c r="T17">
        <v>0</v>
      </c>
    </row>
    <row r="18" spans="1:23" s="12" customFormat="1" ht="15" thickBot="1" x14ac:dyDescent="0.35">
      <c r="A18" s="11" t="s">
        <v>23</v>
      </c>
      <c r="B18" s="12" t="s">
        <v>24</v>
      </c>
      <c r="C18" s="12" t="s">
        <v>25</v>
      </c>
      <c r="D18" s="12">
        <v>1</v>
      </c>
      <c r="E18" s="12">
        <v>18</v>
      </c>
      <c r="F18" s="13">
        <v>46074</v>
      </c>
      <c r="G18" s="12">
        <f>SUM(H13:H18)</f>
        <v>135</v>
      </c>
      <c r="H18" s="12">
        <v>10</v>
      </c>
      <c r="I18" s="12" t="s">
        <v>36</v>
      </c>
      <c r="J18" s="12" t="s">
        <v>30</v>
      </c>
      <c r="T18" s="12">
        <v>0</v>
      </c>
    </row>
    <row r="19" spans="1:23" s="6" customFormat="1" x14ac:dyDescent="0.3">
      <c r="A19" s="29" t="s">
        <v>23</v>
      </c>
      <c r="B19" s="6" t="s">
        <v>24</v>
      </c>
      <c r="C19" s="6" t="s">
        <v>25</v>
      </c>
      <c r="D19" s="6">
        <v>1</v>
      </c>
      <c r="E19" s="6">
        <v>24</v>
      </c>
      <c r="F19" s="30">
        <v>46074</v>
      </c>
      <c r="H19" s="6">
        <v>30</v>
      </c>
      <c r="I19" s="6" t="s">
        <v>28</v>
      </c>
      <c r="J19" s="6">
        <v>29</v>
      </c>
      <c r="K19" s="6" t="s">
        <v>28</v>
      </c>
      <c r="L19" s="6">
        <v>19</v>
      </c>
      <c r="M19" s="6" t="s">
        <v>28</v>
      </c>
      <c r="N19" s="6">
        <v>36</v>
      </c>
      <c r="O19" s="6" t="s">
        <v>28</v>
      </c>
      <c r="P19" s="6">
        <v>31</v>
      </c>
      <c r="Q19" s="6" t="s">
        <v>28</v>
      </c>
      <c r="R19" s="6">
        <v>28.5</v>
      </c>
      <c r="S19" s="6" t="s">
        <v>28</v>
      </c>
      <c r="T19" s="6">
        <v>36</v>
      </c>
      <c r="U19" s="6" t="s">
        <v>28</v>
      </c>
      <c r="V19" s="31">
        <v>0.35625000000000001</v>
      </c>
      <c r="W19" s="6" t="s">
        <v>37</v>
      </c>
    </row>
    <row r="20" spans="1:23" x14ac:dyDescent="0.3">
      <c r="A20" s="8" t="s">
        <v>23</v>
      </c>
      <c r="B20" t="s">
        <v>24</v>
      </c>
      <c r="C20" t="s">
        <v>25</v>
      </c>
      <c r="D20">
        <v>1</v>
      </c>
      <c r="E20">
        <v>24</v>
      </c>
      <c r="F20" s="9">
        <v>46074</v>
      </c>
      <c r="H20" s="10">
        <v>35</v>
      </c>
      <c r="I20" t="s">
        <v>36</v>
      </c>
      <c r="J20">
        <v>12</v>
      </c>
      <c r="K20" t="s">
        <v>36</v>
      </c>
      <c r="L20">
        <v>11.5</v>
      </c>
      <c r="N20">
        <v>14</v>
      </c>
      <c r="P20">
        <v>9</v>
      </c>
      <c r="R20" s="10">
        <v>15</v>
      </c>
      <c r="T20">
        <v>15</v>
      </c>
      <c r="U20" t="s">
        <v>36</v>
      </c>
    </row>
    <row r="21" spans="1:23" x14ac:dyDescent="0.3">
      <c r="A21" s="8" t="s">
        <v>23</v>
      </c>
      <c r="B21" t="s">
        <v>24</v>
      </c>
      <c r="C21" t="s">
        <v>25</v>
      </c>
      <c r="D21">
        <v>1</v>
      </c>
      <c r="E21">
        <v>24</v>
      </c>
      <c r="F21" s="9">
        <v>46074</v>
      </c>
      <c r="H21">
        <v>15</v>
      </c>
      <c r="I21" t="s">
        <v>31</v>
      </c>
      <c r="J21" t="s">
        <v>30</v>
      </c>
      <c r="T21">
        <v>0</v>
      </c>
    </row>
    <row r="22" spans="1:23" x14ac:dyDescent="0.3">
      <c r="A22" s="8" t="s">
        <v>23</v>
      </c>
      <c r="B22" t="s">
        <v>24</v>
      </c>
      <c r="C22" t="s">
        <v>25</v>
      </c>
      <c r="D22">
        <v>1</v>
      </c>
      <c r="E22">
        <v>24</v>
      </c>
      <c r="F22" s="9">
        <v>46074</v>
      </c>
      <c r="H22">
        <v>20</v>
      </c>
      <c r="I22" t="s">
        <v>35</v>
      </c>
      <c r="J22" t="s">
        <v>30</v>
      </c>
      <c r="T22">
        <v>0</v>
      </c>
    </row>
    <row r="23" spans="1:23" x14ac:dyDescent="0.3">
      <c r="A23" s="8" t="s">
        <v>23</v>
      </c>
      <c r="B23" t="s">
        <v>24</v>
      </c>
      <c r="C23" t="s">
        <v>25</v>
      </c>
      <c r="D23">
        <v>1</v>
      </c>
      <c r="E23">
        <v>24</v>
      </c>
      <c r="F23" s="9">
        <v>46074</v>
      </c>
      <c r="H23">
        <v>35</v>
      </c>
      <c r="I23" t="s">
        <v>29</v>
      </c>
      <c r="J23" t="s">
        <v>30</v>
      </c>
      <c r="T23">
        <v>0</v>
      </c>
    </row>
    <row r="24" spans="1:23" s="14" customFormat="1" ht="15" thickBot="1" x14ac:dyDescent="0.35">
      <c r="A24" s="32" t="s">
        <v>23</v>
      </c>
      <c r="B24" s="14" t="s">
        <v>24</v>
      </c>
      <c r="C24" s="14" t="s">
        <v>25</v>
      </c>
      <c r="D24" s="14">
        <v>1</v>
      </c>
      <c r="E24" s="14">
        <v>24</v>
      </c>
      <c r="F24" s="33">
        <v>46074</v>
      </c>
      <c r="G24" s="14">
        <f>SUM(H19:H24)</f>
        <v>190</v>
      </c>
      <c r="H24" s="14">
        <v>55</v>
      </c>
      <c r="I24" s="14" t="s">
        <v>34</v>
      </c>
      <c r="J24" s="14">
        <v>13</v>
      </c>
      <c r="K24" s="14" t="s">
        <v>38</v>
      </c>
      <c r="L24" s="14">
        <v>12</v>
      </c>
      <c r="N24" s="14">
        <v>11</v>
      </c>
      <c r="P24" s="14">
        <v>18.5</v>
      </c>
      <c r="R24" s="14">
        <v>12</v>
      </c>
      <c r="T24" s="14">
        <v>18.5</v>
      </c>
      <c r="U24" s="14" t="s">
        <v>38</v>
      </c>
    </row>
    <row r="25" spans="1:23" s="6" customFormat="1" x14ac:dyDescent="0.3">
      <c r="A25" s="29" t="s">
        <v>23</v>
      </c>
      <c r="B25" s="6" t="s">
        <v>24</v>
      </c>
      <c r="C25" s="6" t="s">
        <v>25</v>
      </c>
      <c r="D25" s="6">
        <v>1</v>
      </c>
      <c r="E25" s="6">
        <v>48</v>
      </c>
      <c r="F25" s="30">
        <v>46074</v>
      </c>
      <c r="H25" s="6">
        <v>70</v>
      </c>
      <c r="I25" s="6" t="s">
        <v>28</v>
      </c>
      <c r="J25" s="6">
        <v>36</v>
      </c>
      <c r="K25" s="6" t="s">
        <v>28</v>
      </c>
      <c r="L25" s="6">
        <v>32</v>
      </c>
      <c r="M25" s="6" t="s">
        <v>28</v>
      </c>
      <c r="N25" s="6">
        <v>37.5</v>
      </c>
      <c r="O25" s="6" t="s">
        <v>28</v>
      </c>
      <c r="P25" s="6">
        <v>38</v>
      </c>
      <c r="Q25" s="6" t="s">
        <v>28</v>
      </c>
      <c r="R25" s="6">
        <v>37.5</v>
      </c>
      <c r="S25" s="6" t="s">
        <v>28</v>
      </c>
      <c r="T25" s="6">
        <v>38</v>
      </c>
      <c r="U25" s="6" t="s">
        <v>28</v>
      </c>
      <c r="V25" s="31">
        <v>0.34444444444444444</v>
      </c>
      <c r="W25" s="6" t="s">
        <v>72</v>
      </c>
    </row>
    <row r="26" spans="1:23" x14ac:dyDescent="0.3">
      <c r="A26" s="8" t="s">
        <v>23</v>
      </c>
      <c r="B26" t="s">
        <v>24</v>
      </c>
      <c r="C26" t="s">
        <v>25</v>
      </c>
      <c r="D26">
        <v>1</v>
      </c>
      <c r="E26">
        <v>48</v>
      </c>
      <c r="F26" s="9">
        <v>46074</v>
      </c>
      <c r="H26">
        <v>20</v>
      </c>
      <c r="I26" t="s">
        <v>36</v>
      </c>
      <c r="J26" t="s">
        <v>30</v>
      </c>
      <c r="T26">
        <v>0</v>
      </c>
      <c r="W26" t="s">
        <v>73</v>
      </c>
    </row>
    <row r="27" spans="1:23" x14ac:dyDescent="0.3">
      <c r="A27" s="8" t="s">
        <v>23</v>
      </c>
      <c r="B27" t="s">
        <v>24</v>
      </c>
      <c r="C27" t="s">
        <v>25</v>
      </c>
      <c r="D27">
        <v>1</v>
      </c>
      <c r="E27">
        <v>48</v>
      </c>
      <c r="F27" s="9">
        <v>46074</v>
      </c>
      <c r="H27">
        <v>10</v>
      </c>
      <c r="I27" t="s">
        <v>29</v>
      </c>
      <c r="J27" t="s">
        <v>30</v>
      </c>
      <c r="T27">
        <v>0</v>
      </c>
    </row>
    <row r="28" spans="1:23" s="12" customFormat="1" ht="15" thickBot="1" x14ac:dyDescent="0.35">
      <c r="A28" s="11" t="s">
        <v>23</v>
      </c>
      <c r="B28" s="12" t="s">
        <v>24</v>
      </c>
      <c r="C28" s="12" t="s">
        <v>25</v>
      </c>
      <c r="D28" s="12">
        <v>1</v>
      </c>
      <c r="E28" s="12">
        <v>48</v>
      </c>
      <c r="F28" s="13">
        <v>46074</v>
      </c>
      <c r="G28" s="12">
        <f>SUM(H25:H28)</f>
        <v>105</v>
      </c>
      <c r="H28" s="12">
        <v>5</v>
      </c>
      <c r="I28" s="12" t="s">
        <v>31</v>
      </c>
      <c r="J28" s="12" t="s">
        <v>30</v>
      </c>
      <c r="T28" s="12">
        <v>0</v>
      </c>
    </row>
    <row r="29" spans="1:23" s="6" customFormat="1" x14ac:dyDescent="0.3">
      <c r="A29" s="29" t="s">
        <v>23</v>
      </c>
      <c r="B29" s="6" t="s">
        <v>24</v>
      </c>
      <c r="C29" s="6" t="s">
        <v>25</v>
      </c>
      <c r="D29" s="6">
        <v>2</v>
      </c>
      <c r="E29" s="6">
        <v>0.5</v>
      </c>
      <c r="F29" s="30">
        <v>46074</v>
      </c>
      <c r="H29" s="6">
        <v>10</v>
      </c>
      <c r="I29" s="6" t="s">
        <v>26</v>
      </c>
      <c r="J29" s="6">
        <v>66</v>
      </c>
      <c r="K29" s="6" t="s">
        <v>26</v>
      </c>
      <c r="L29" s="6">
        <v>75</v>
      </c>
      <c r="N29" s="6">
        <v>42</v>
      </c>
      <c r="P29" s="6">
        <v>73</v>
      </c>
      <c r="R29" s="6">
        <v>74</v>
      </c>
      <c r="T29" s="6">
        <v>75</v>
      </c>
      <c r="W29" s="6" t="s">
        <v>74</v>
      </c>
    </row>
    <row r="30" spans="1:23" s="10" customFormat="1" x14ac:dyDescent="0.3">
      <c r="A30" s="27" t="s">
        <v>23</v>
      </c>
      <c r="B30" s="10" t="s">
        <v>24</v>
      </c>
      <c r="C30" s="10" t="s">
        <v>25</v>
      </c>
      <c r="D30" s="10">
        <v>2</v>
      </c>
      <c r="E30" s="10">
        <v>0.5</v>
      </c>
      <c r="F30" s="28">
        <v>46074</v>
      </c>
      <c r="H30" s="10">
        <v>40</v>
      </c>
      <c r="I30" s="10" t="s">
        <v>28</v>
      </c>
      <c r="J30" s="10">
        <v>40</v>
      </c>
      <c r="K30" s="10" t="s">
        <v>28</v>
      </c>
      <c r="L30" s="10">
        <v>30</v>
      </c>
      <c r="M30" s="10" t="s">
        <v>28</v>
      </c>
      <c r="N30" s="10">
        <v>59</v>
      </c>
      <c r="O30" s="10" t="s">
        <v>28</v>
      </c>
      <c r="P30" s="10">
        <v>39.5</v>
      </c>
      <c r="Q30" s="10" t="s">
        <v>28</v>
      </c>
      <c r="R30" s="10">
        <v>33</v>
      </c>
      <c r="S30" s="10" t="s">
        <v>28</v>
      </c>
      <c r="T30" s="10">
        <v>59</v>
      </c>
      <c r="U30" s="10" t="s">
        <v>28</v>
      </c>
      <c r="V30" s="10" t="s">
        <v>39</v>
      </c>
    </row>
    <row r="31" spans="1:23" x14ac:dyDescent="0.3">
      <c r="A31" s="8" t="s">
        <v>23</v>
      </c>
      <c r="B31" t="s">
        <v>24</v>
      </c>
      <c r="C31" t="s">
        <v>25</v>
      </c>
      <c r="D31">
        <v>2</v>
      </c>
      <c r="E31">
        <v>0.5</v>
      </c>
      <c r="F31" s="9">
        <v>46074</v>
      </c>
      <c r="H31">
        <v>10</v>
      </c>
      <c r="I31" t="s">
        <v>31</v>
      </c>
      <c r="J31" t="s">
        <v>30</v>
      </c>
      <c r="T31">
        <v>0</v>
      </c>
    </row>
    <row r="32" spans="1:23" s="10" customFormat="1" x14ac:dyDescent="0.3">
      <c r="A32" s="27" t="s">
        <v>23</v>
      </c>
      <c r="B32" s="10" t="s">
        <v>24</v>
      </c>
      <c r="C32" s="10" t="s">
        <v>25</v>
      </c>
      <c r="D32" s="10">
        <v>2</v>
      </c>
      <c r="E32" s="10">
        <v>0.5</v>
      </c>
      <c r="F32" s="28">
        <v>46074</v>
      </c>
      <c r="H32" s="10">
        <v>60</v>
      </c>
      <c r="I32" s="10" t="s">
        <v>36</v>
      </c>
      <c r="J32" s="10">
        <v>26</v>
      </c>
      <c r="K32" s="10" t="s">
        <v>36</v>
      </c>
      <c r="L32" s="10">
        <v>21</v>
      </c>
      <c r="N32" s="10">
        <v>30</v>
      </c>
      <c r="P32" s="10">
        <v>32</v>
      </c>
      <c r="R32" s="10">
        <v>22</v>
      </c>
      <c r="T32" s="10">
        <v>32</v>
      </c>
    </row>
    <row r="33" spans="1:23" s="12" customFormat="1" ht="15" thickBot="1" x14ac:dyDescent="0.35">
      <c r="A33" s="11" t="s">
        <v>23</v>
      </c>
      <c r="B33" s="12" t="s">
        <v>24</v>
      </c>
      <c r="C33" s="12" t="s">
        <v>25</v>
      </c>
      <c r="D33" s="12">
        <v>2</v>
      </c>
      <c r="E33" s="12">
        <v>0.5</v>
      </c>
      <c r="F33" s="13">
        <v>46074</v>
      </c>
      <c r="G33" s="12">
        <f>SUM(H29:H33)</f>
        <v>125</v>
      </c>
      <c r="H33" s="12">
        <v>5</v>
      </c>
      <c r="I33" s="12" t="s">
        <v>29</v>
      </c>
      <c r="J33" s="12" t="s">
        <v>30</v>
      </c>
      <c r="T33" s="12">
        <v>0</v>
      </c>
    </row>
    <row r="34" spans="1:23" s="6" customFormat="1" x14ac:dyDescent="0.3">
      <c r="A34" s="29" t="s">
        <v>23</v>
      </c>
      <c r="B34" s="6" t="s">
        <v>24</v>
      </c>
      <c r="C34" s="6" t="s">
        <v>25</v>
      </c>
      <c r="D34" s="6">
        <v>2</v>
      </c>
      <c r="E34" s="6">
        <v>2</v>
      </c>
      <c r="F34" s="30">
        <v>46074</v>
      </c>
      <c r="H34" s="6">
        <v>80</v>
      </c>
      <c r="I34" s="6" t="s">
        <v>28</v>
      </c>
      <c r="J34" s="6">
        <v>35</v>
      </c>
      <c r="K34" s="6" t="s">
        <v>28</v>
      </c>
      <c r="L34" s="6">
        <v>37.5</v>
      </c>
      <c r="M34" s="6" t="s">
        <v>28</v>
      </c>
      <c r="N34" s="6">
        <v>40</v>
      </c>
      <c r="O34" s="6" t="s">
        <v>28</v>
      </c>
      <c r="P34" s="6">
        <v>28</v>
      </c>
      <c r="Q34" s="6" t="s">
        <v>28</v>
      </c>
      <c r="R34" s="6">
        <v>36</v>
      </c>
      <c r="S34" s="6" t="s">
        <v>28</v>
      </c>
      <c r="T34" s="6">
        <v>40</v>
      </c>
      <c r="U34" s="6" t="s">
        <v>28</v>
      </c>
      <c r="V34" s="31">
        <v>0.43888888888888888</v>
      </c>
    </row>
    <row r="35" spans="1:23" x14ac:dyDescent="0.3">
      <c r="A35" s="8" t="s">
        <v>23</v>
      </c>
      <c r="B35" t="s">
        <v>24</v>
      </c>
      <c r="C35" t="s">
        <v>25</v>
      </c>
      <c r="D35">
        <v>2</v>
      </c>
      <c r="E35">
        <v>2</v>
      </c>
      <c r="F35" s="9">
        <v>46074</v>
      </c>
      <c r="H35">
        <v>20</v>
      </c>
      <c r="I35" t="s">
        <v>31</v>
      </c>
      <c r="J35" t="s">
        <v>30</v>
      </c>
      <c r="T35">
        <v>0</v>
      </c>
    </row>
    <row r="36" spans="1:23" x14ac:dyDescent="0.3">
      <c r="A36" s="8" t="s">
        <v>23</v>
      </c>
      <c r="B36" t="s">
        <v>24</v>
      </c>
      <c r="C36" t="s">
        <v>25</v>
      </c>
      <c r="D36">
        <v>2</v>
      </c>
      <c r="E36">
        <v>2</v>
      </c>
      <c r="F36" s="9">
        <v>46074</v>
      </c>
      <c r="H36">
        <v>15</v>
      </c>
      <c r="I36" t="s">
        <v>36</v>
      </c>
      <c r="J36" t="s">
        <v>30</v>
      </c>
      <c r="T36">
        <v>0</v>
      </c>
    </row>
    <row r="37" spans="1:23" s="12" customFormat="1" ht="15" thickBot="1" x14ac:dyDescent="0.35">
      <c r="A37" s="11" t="s">
        <v>23</v>
      </c>
      <c r="B37" s="12" t="s">
        <v>24</v>
      </c>
      <c r="C37" s="12" t="s">
        <v>25</v>
      </c>
      <c r="D37" s="12">
        <v>2</v>
      </c>
      <c r="E37" s="12">
        <v>2</v>
      </c>
      <c r="F37" s="13">
        <v>46074</v>
      </c>
      <c r="G37" s="12">
        <f>SUM(H34:H37)</f>
        <v>120</v>
      </c>
      <c r="H37" s="12">
        <v>5</v>
      </c>
      <c r="I37" s="12" t="s">
        <v>29</v>
      </c>
      <c r="J37" s="12" t="s">
        <v>30</v>
      </c>
      <c r="T37" s="12">
        <v>0</v>
      </c>
    </row>
    <row r="38" spans="1:23" s="6" customFormat="1" x14ac:dyDescent="0.3">
      <c r="A38" s="29" t="s">
        <v>23</v>
      </c>
      <c r="B38" s="6" t="s">
        <v>24</v>
      </c>
      <c r="C38" s="6" t="s">
        <v>25</v>
      </c>
      <c r="D38" s="6">
        <v>2</v>
      </c>
      <c r="E38" s="6">
        <v>6</v>
      </c>
      <c r="F38" s="30">
        <v>46074</v>
      </c>
      <c r="H38" s="6">
        <v>80</v>
      </c>
      <c r="I38" s="6" t="s">
        <v>28</v>
      </c>
      <c r="J38" s="6">
        <v>37</v>
      </c>
      <c r="K38" s="6" t="s">
        <v>28</v>
      </c>
      <c r="L38" s="6">
        <v>33.5</v>
      </c>
      <c r="M38" s="6" t="s">
        <v>28</v>
      </c>
      <c r="N38" s="6">
        <v>42</v>
      </c>
      <c r="O38" s="6" t="s">
        <v>28</v>
      </c>
      <c r="P38" s="6">
        <v>39</v>
      </c>
      <c r="Q38" s="6" t="s">
        <v>28</v>
      </c>
      <c r="R38" s="6">
        <v>33</v>
      </c>
      <c r="S38" s="6" t="s">
        <v>28</v>
      </c>
      <c r="T38" s="6">
        <v>42</v>
      </c>
      <c r="U38" s="6" t="s">
        <v>28</v>
      </c>
      <c r="V38" s="31">
        <v>0.44722222222222224</v>
      </c>
      <c r="W38" s="6" t="s">
        <v>75</v>
      </c>
    </row>
    <row r="39" spans="1:23" x14ac:dyDescent="0.3">
      <c r="A39" s="8" t="s">
        <v>23</v>
      </c>
      <c r="B39" t="s">
        <v>24</v>
      </c>
      <c r="C39" t="s">
        <v>25</v>
      </c>
      <c r="D39">
        <v>2</v>
      </c>
      <c r="E39">
        <v>6</v>
      </c>
      <c r="F39" s="9">
        <v>46074</v>
      </c>
      <c r="H39">
        <v>10</v>
      </c>
      <c r="I39" t="s">
        <v>31</v>
      </c>
      <c r="J39" t="s">
        <v>30</v>
      </c>
      <c r="T39">
        <v>0</v>
      </c>
    </row>
    <row r="40" spans="1:23" x14ac:dyDescent="0.3">
      <c r="A40" s="8" t="s">
        <v>23</v>
      </c>
      <c r="B40" t="s">
        <v>24</v>
      </c>
      <c r="C40" t="s">
        <v>25</v>
      </c>
      <c r="D40">
        <v>2</v>
      </c>
      <c r="E40">
        <v>6</v>
      </c>
      <c r="F40" s="9">
        <v>46074</v>
      </c>
      <c r="H40">
        <v>20</v>
      </c>
      <c r="I40" t="s">
        <v>29</v>
      </c>
      <c r="J40" t="s">
        <v>30</v>
      </c>
      <c r="T40">
        <v>0</v>
      </c>
    </row>
    <row r="41" spans="1:23" s="12" customFormat="1" ht="15" thickBot="1" x14ac:dyDescent="0.35">
      <c r="A41" s="11" t="s">
        <v>23</v>
      </c>
      <c r="B41" s="12" t="s">
        <v>24</v>
      </c>
      <c r="C41" s="12" t="s">
        <v>25</v>
      </c>
      <c r="D41" s="12">
        <v>2</v>
      </c>
      <c r="E41" s="12">
        <v>6</v>
      </c>
      <c r="F41" s="13">
        <v>46074</v>
      </c>
      <c r="G41" s="12">
        <f>SUM(H38:H41)</f>
        <v>115</v>
      </c>
      <c r="H41" s="12">
        <v>5</v>
      </c>
      <c r="I41" s="12" t="s">
        <v>36</v>
      </c>
      <c r="J41" s="12" t="s">
        <v>30</v>
      </c>
      <c r="T41" s="12">
        <v>0</v>
      </c>
    </row>
    <row r="42" spans="1:23" s="6" customFormat="1" x14ac:dyDescent="0.3">
      <c r="A42" s="29" t="s">
        <v>23</v>
      </c>
      <c r="B42" s="6" t="s">
        <v>24</v>
      </c>
      <c r="C42" s="6" t="s">
        <v>25</v>
      </c>
      <c r="D42" s="6">
        <v>2</v>
      </c>
      <c r="E42" s="6">
        <v>12</v>
      </c>
      <c r="F42" s="30">
        <v>46074</v>
      </c>
      <c r="H42" s="6">
        <v>75</v>
      </c>
      <c r="I42" s="6" t="s">
        <v>28</v>
      </c>
      <c r="J42" s="6">
        <v>32</v>
      </c>
      <c r="K42" s="6" t="s">
        <v>28</v>
      </c>
      <c r="L42" s="6">
        <v>35</v>
      </c>
      <c r="M42" s="6" t="s">
        <v>28</v>
      </c>
      <c r="N42" s="6">
        <v>28</v>
      </c>
      <c r="O42" s="6" t="s">
        <v>28</v>
      </c>
      <c r="P42" s="6">
        <v>33</v>
      </c>
      <c r="Q42" s="6" t="s">
        <v>28</v>
      </c>
      <c r="R42" s="6">
        <v>33</v>
      </c>
      <c r="S42" s="6" t="s">
        <v>28</v>
      </c>
      <c r="T42" s="6">
        <v>35</v>
      </c>
      <c r="U42" s="6" t="s">
        <v>28</v>
      </c>
      <c r="V42" s="31">
        <v>0.45347222222222222</v>
      </c>
    </row>
    <row r="43" spans="1:23" x14ac:dyDescent="0.3">
      <c r="A43" s="8" t="s">
        <v>23</v>
      </c>
      <c r="B43" t="s">
        <v>24</v>
      </c>
      <c r="C43" t="s">
        <v>25</v>
      </c>
      <c r="D43">
        <v>2</v>
      </c>
      <c r="E43">
        <v>12</v>
      </c>
      <c r="F43" s="9">
        <v>46074</v>
      </c>
      <c r="H43">
        <v>10</v>
      </c>
      <c r="I43" t="s">
        <v>36</v>
      </c>
      <c r="J43" t="s">
        <v>30</v>
      </c>
      <c r="T43">
        <v>0</v>
      </c>
    </row>
    <row r="44" spans="1:23" x14ac:dyDescent="0.3">
      <c r="A44" s="8" t="s">
        <v>23</v>
      </c>
      <c r="B44" t="s">
        <v>24</v>
      </c>
      <c r="C44" t="s">
        <v>25</v>
      </c>
      <c r="D44">
        <v>2</v>
      </c>
      <c r="E44">
        <v>12</v>
      </c>
      <c r="F44" s="9">
        <v>46074</v>
      </c>
      <c r="H44">
        <v>25</v>
      </c>
      <c r="I44" t="s">
        <v>31</v>
      </c>
      <c r="J44" t="s">
        <v>30</v>
      </c>
      <c r="T44">
        <v>0</v>
      </c>
    </row>
    <row r="45" spans="1:23" s="12" customFormat="1" ht="15" thickBot="1" x14ac:dyDescent="0.35">
      <c r="A45" s="11" t="s">
        <v>23</v>
      </c>
      <c r="B45" s="12" t="s">
        <v>24</v>
      </c>
      <c r="C45" s="12" t="s">
        <v>25</v>
      </c>
      <c r="D45" s="12">
        <v>2</v>
      </c>
      <c r="E45" s="12">
        <v>12</v>
      </c>
      <c r="F45" s="13">
        <v>46074</v>
      </c>
      <c r="G45" s="12">
        <f>SUM(H42:H45)</f>
        <v>125</v>
      </c>
      <c r="H45" s="12">
        <v>15</v>
      </c>
      <c r="I45" s="12" t="s">
        <v>29</v>
      </c>
      <c r="J45" s="12" t="s">
        <v>30</v>
      </c>
      <c r="T45" s="12">
        <v>0</v>
      </c>
    </row>
    <row r="46" spans="1:23" s="4" customFormat="1" x14ac:dyDescent="0.3">
      <c r="A46" s="3" t="s">
        <v>23</v>
      </c>
      <c r="B46" s="4" t="s">
        <v>24</v>
      </c>
      <c r="C46" s="4" t="s">
        <v>25</v>
      </c>
      <c r="D46" s="4">
        <v>2</v>
      </c>
      <c r="E46" s="4">
        <v>18</v>
      </c>
      <c r="F46" s="5">
        <v>46074</v>
      </c>
      <c r="H46" s="4">
        <v>10</v>
      </c>
      <c r="I46" s="4" t="s">
        <v>31</v>
      </c>
      <c r="J46" s="4" t="s">
        <v>30</v>
      </c>
      <c r="T46" s="4">
        <v>0</v>
      </c>
    </row>
    <row r="47" spans="1:23" s="10" customFormat="1" x14ac:dyDescent="0.3">
      <c r="A47" s="27" t="s">
        <v>23</v>
      </c>
      <c r="B47" s="10" t="s">
        <v>24</v>
      </c>
      <c r="C47" s="10" t="s">
        <v>25</v>
      </c>
      <c r="D47" s="10">
        <v>2</v>
      </c>
      <c r="E47" s="10">
        <v>18</v>
      </c>
      <c r="F47" s="28">
        <v>46074</v>
      </c>
      <c r="H47" s="10">
        <v>40</v>
      </c>
      <c r="I47" s="10" t="s">
        <v>38</v>
      </c>
      <c r="J47" s="10">
        <v>16</v>
      </c>
      <c r="K47" s="10" t="s">
        <v>38</v>
      </c>
      <c r="L47" s="10">
        <v>12</v>
      </c>
      <c r="N47" s="10">
        <v>18</v>
      </c>
      <c r="P47" s="10">
        <v>11</v>
      </c>
      <c r="R47" s="10">
        <v>24</v>
      </c>
      <c r="T47" s="10">
        <v>24</v>
      </c>
      <c r="V47" s="35">
        <v>0.46111111111111114</v>
      </c>
    </row>
    <row r="48" spans="1:23" s="10" customFormat="1" x14ac:dyDescent="0.3">
      <c r="A48" s="27" t="s">
        <v>23</v>
      </c>
      <c r="B48" s="10" t="s">
        <v>24</v>
      </c>
      <c r="C48" s="10" t="s">
        <v>25</v>
      </c>
      <c r="D48" s="10">
        <v>2</v>
      </c>
      <c r="E48" s="10">
        <v>18</v>
      </c>
      <c r="F48" s="28">
        <v>46074</v>
      </c>
      <c r="H48" s="10">
        <v>20</v>
      </c>
      <c r="I48" s="10" t="s">
        <v>28</v>
      </c>
      <c r="J48" s="10">
        <v>25</v>
      </c>
      <c r="K48" s="10" t="s">
        <v>28</v>
      </c>
      <c r="L48" s="10">
        <v>17</v>
      </c>
      <c r="M48" s="10" t="s">
        <v>28</v>
      </c>
      <c r="N48" s="10">
        <v>26</v>
      </c>
      <c r="O48" s="10" t="s">
        <v>28</v>
      </c>
      <c r="P48" s="10">
        <v>29</v>
      </c>
      <c r="Q48" s="10" t="s">
        <v>28</v>
      </c>
      <c r="R48" s="10">
        <v>27</v>
      </c>
      <c r="S48" s="10" t="s">
        <v>28</v>
      </c>
      <c r="T48" s="10">
        <v>29</v>
      </c>
      <c r="U48" s="10" t="s">
        <v>28</v>
      </c>
    </row>
    <row r="49" spans="1:23" x14ac:dyDescent="0.3">
      <c r="A49" s="8" t="s">
        <v>23</v>
      </c>
      <c r="B49" t="s">
        <v>24</v>
      </c>
      <c r="C49" t="s">
        <v>25</v>
      </c>
      <c r="D49">
        <v>2</v>
      </c>
      <c r="E49">
        <v>18</v>
      </c>
      <c r="F49" s="9">
        <v>46074</v>
      </c>
      <c r="H49">
        <v>30</v>
      </c>
      <c r="I49" t="s">
        <v>36</v>
      </c>
      <c r="J49" t="s">
        <v>30</v>
      </c>
      <c r="T49">
        <v>0</v>
      </c>
      <c r="W49" t="s">
        <v>76</v>
      </c>
    </row>
    <row r="50" spans="1:23" s="12" customFormat="1" ht="15" thickBot="1" x14ac:dyDescent="0.35">
      <c r="A50" s="11" t="s">
        <v>23</v>
      </c>
      <c r="B50" s="12" t="s">
        <v>24</v>
      </c>
      <c r="C50" s="12" t="s">
        <v>25</v>
      </c>
      <c r="D50" s="12">
        <v>2</v>
      </c>
      <c r="E50" s="12">
        <v>18</v>
      </c>
      <c r="F50" s="13">
        <v>46074</v>
      </c>
      <c r="G50" s="12">
        <f>SUM(H46:H50)</f>
        <v>140</v>
      </c>
      <c r="H50" s="12">
        <v>40</v>
      </c>
      <c r="I50" s="12" t="s">
        <v>29</v>
      </c>
      <c r="J50" s="12" t="s">
        <v>30</v>
      </c>
      <c r="T50" s="12">
        <v>0</v>
      </c>
    </row>
    <row r="51" spans="1:23" s="6" customFormat="1" x14ac:dyDescent="0.3">
      <c r="A51" s="29" t="s">
        <v>23</v>
      </c>
      <c r="B51" s="6" t="s">
        <v>24</v>
      </c>
      <c r="C51" s="6" t="s">
        <v>25</v>
      </c>
      <c r="D51" s="6">
        <v>2</v>
      </c>
      <c r="E51" s="6">
        <v>24</v>
      </c>
      <c r="F51" s="30">
        <v>46074</v>
      </c>
      <c r="H51" s="6">
        <v>65</v>
      </c>
      <c r="I51" s="6" t="s">
        <v>28</v>
      </c>
      <c r="J51" s="6">
        <v>42</v>
      </c>
      <c r="K51" s="6" t="s">
        <v>28</v>
      </c>
      <c r="L51" s="6">
        <v>55</v>
      </c>
      <c r="M51" s="6" t="s">
        <v>28</v>
      </c>
      <c r="N51" s="6">
        <v>43</v>
      </c>
      <c r="O51" s="6" t="s">
        <v>28</v>
      </c>
      <c r="P51" s="6">
        <v>39</v>
      </c>
      <c r="Q51" s="6" t="s">
        <v>28</v>
      </c>
      <c r="R51" s="6">
        <v>32</v>
      </c>
      <c r="S51" s="6" t="s">
        <v>28</v>
      </c>
      <c r="T51" s="6">
        <v>55</v>
      </c>
      <c r="U51" s="6" t="s">
        <v>28</v>
      </c>
      <c r="V51" s="31">
        <v>0.46944444444444444</v>
      </c>
    </row>
    <row r="52" spans="1:23" x14ac:dyDescent="0.3">
      <c r="A52" s="8" t="s">
        <v>23</v>
      </c>
      <c r="B52" t="s">
        <v>24</v>
      </c>
      <c r="C52" t="s">
        <v>25</v>
      </c>
      <c r="D52">
        <v>2</v>
      </c>
      <c r="E52">
        <v>24</v>
      </c>
      <c r="F52" s="9">
        <v>46074</v>
      </c>
      <c r="H52">
        <v>25</v>
      </c>
      <c r="I52" t="s">
        <v>36</v>
      </c>
      <c r="J52" t="s">
        <v>30</v>
      </c>
      <c r="T52">
        <v>0</v>
      </c>
    </row>
    <row r="53" spans="1:23" x14ac:dyDescent="0.3">
      <c r="A53" s="8" t="s">
        <v>23</v>
      </c>
      <c r="B53" t="s">
        <v>24</v>
      </c>
      <c r="C53" t="s">
        <v>25</v>
      </c>
      <c r="D53">
        <v>2</v>
      </c>
      <c r="E53">
        <v>24</v>
      </c>
      <c r="F53" s="9">
        <v>46074</v>
      </c>
      <c r="H53">
        <v>20</v>
      </c>
      <c r="I53" t="s">
        <v>31</v>
      </c>
      <c r="J53" t="s">
        <v>30</v>
      </c>
      <c r="T53">
        <v>0</v>
      </c>
    </row>
    <row r="54" spans="1:23" s="12" customFormat="1" ht="15" thickBot="1" x14ac:dyDescent="0.35">
      <c r="A54" s="11" t="s">
        <v>23</v>
      </c>
      <c r="B54" s="12" t="s">
        <v>24</v>
      </c>
      <c r="C54" s="12" t="s">
        <v>25</v>
      </c>
      <c r="D54" s="12">
        <v>2</v>
      </c>
      <c r="E54" s="12">
        <v>24</v>
      </c>
      <c r="F54" s="13">
        <v>46074</v>
      </c>
      <c r="G54" s="12">
        <f>SUM(H51:H54)</f>
        <v>120</v>
      </c>
      <c r="H54" s="12">
        <v>10</v>
      </c>
      <c r="I54" s="12" t="s">
        <v>29</v>
      </c>
      <c r="J54" s="12" t="s">
        <v>30</v>
      </c>
      <c r="T54" s="12">
        <v>0</v>
      </c>
    </row>
    <row r="55" spans="1:23" s="6" customFormat="1" x14ac:dyDescent="0.3">
      <c r="A55" s="29" t="s">
        <v>23</v>
      </c>
      <c r="B55" s="6" t="s">
        <v>24</v>
      </c>
      <c r="C55" s="6" t="s">
        <v>25</v>
      </c>
      <c r="D55" s="6">
        <v>2</v>
      </c>
      <c r="E55" s="6">
        <v>48</v>
      </c>
      <c r="F55" s="30">
        <v>46074</v>
      </c>
      <c r="H55" s="6">
        <v>70</v>
      </c>
      <c r="I55" s="6" t="s">
        <v>28</v>
      </c>
      <c r="J55" s="6">
        <v>38</v>
      </c>
      <c r="K55" s="6" t="s">
        <v>28</v>
      </c>
      <c r="L55" s="6">
        <v>37.5</v>
      </c>
      <c r="M55" s="6" t="s">
        <v>28</v>
      </c>
      <c r="N55" s="6">
        <v>34</v>
      </c>
      <c r="O55" s="6" t="s">
        <v>28</v>
      </c>
      <c r="P55" s="6">
        <v>40</v>
      </c>
      <c r="Q55" s="6" t="s">
        <v>28</v>
      </c>
      <c r="R55" s="6">
        <v>42</v>
      </c>
      <c r="S55" s="6" t="s">
        <v>28</v>
      </c>
      <c r="T55" s="6">
        <v>42</v>
      </c>
      <c r="U55" s="6" t="s">
        <v>28</v>
      </c>
      <c r="V55" s="6" t="s">
        <v>40</v>
      </c>
    </row>
    <row r="56" spans="1:23" x14ac:dyDescent="0.3">
      <c r="A56" s="8" t="s">
        <v>23</v>
      </c>
      <c r="B56" t="s">
        <v>24</v>
      </c>
      <c r="C56" t="s">
        <v>25</v>
      </c>
      <c r="D56">
        <v>2</v>
      </c>
      <c r="E56">
        <v>48</v>
      </c>
      <c r="F56" s="9">
        <v>46074</v>
      </c>
      <c r="H56">
        <v>20</v>
      </c>
      <c r="I56" t="s">
        <v>31</v>
      </c>
      <c r="J56" t="s">
        <v>30</v>
      </c>
      <c r="T56">
        <v>0</v>
      </c>
    </row>
    <row r="57" spans="1:23" x14ac:dyDescent="0.3">
      <c r="A57" s="8" t="s">
        <v>23</v>
      </c>
      <c r="B57" t="s">
        <v>24</v>
      </c>
      <c r="C57" t="s">
        <v>25</v>
      </c>
      <c r="D57">
        <v>2</v>
      </c>
      <c r="E57">
        <v>48</v>
      </c>
      <c r="F57" s="9">
        <v>46074</v>
      </c>
      <c r="H57">
        <v>25</v>
      </c>
      <c r="I57" t="s">
        <v>36</v>
      </c>
      <c r="J57" t="s">
        <v>30</v>
      </c>
      <c r="T57">
        <v>0</v>
      </c>
    </row>
    <row r="58" spans="1:23" s="12" customFormat="1" ht="15" thickBot="1" x14ac:dyDescent="0.35">
      <c r="A58" s="11" t="s">
        <v>23</v>
      </c>
      <c r="B58" s="12" t="s">
        <v>24</v>
      </c>
      <c r="C58" s="12" t="s">
        <v>25</v>
      </c>
      <c r="D58" s="12">
        <v>2</v>
      </c>
      <c r="E58" s="12">
        <v>48</v>
      </c>
      <c r="F58" s="13">
        <v>46074</v>
      </c>
      <c r="G58" s="12">
        <f>SUM(H55:H58)</f>
        <v>130</v>
      </c>
      <c r="H58" s="12">
        <v>15</v>
      </c>
      <c r="I58" s="12" t="s">
        <v>29</v>
      </c>
      <c r="J58" s="12" t="s">
        <v>30</v>
      </c>
      <c r="T58" s="12">
        <v>0</v>
      </c>
    </row>
    <row r="59" spans="1:23" s="4" customFormat="1" x14ac:dyDescent="0.3">
      <c r="A59" s="3" t="s">
        <v>23</v>
      </c>
      <c r="B59" s="4" t="s">
        <v>24</v>
      </c>
      <c r="C59" s="4" t="s">
        <v>41</v>
      </c>
      <c r="D59" s="4">
        <v>1</v>
      </c>
      <c r="E59" s="4">
        <v>0.5</v>
      </c>
      <c r="F59" s="5">
        <v>46073</v>
      </c>
      <c r="H59" s="4">
        <v>10</v>
      </c>
      <c r="I59" s="4" t="s">
        <v>42</v>
      </c>
      <c r="J59" s="4" t="s">
        <v>30</v>
      </c>
      <c r="T59" s="4">
        <v>0</v>
      </c>
    </row>
    <row r="60" spans="1:23" s="10" customFormat="1" x14ac:dyDescent="0.3">
      <c r="A60" s="27" t="s">
        <v>23</v>
      </c>
      <c r="B60" s="10" t="s">
        <v>24</v>
      </c>
      <c r="C60" s="10" t="s">
        <v>41</v>
      </c>
      <c r="D60" s="10">
        <v>1</v>
      </c>
      <c r="E60" s="10">
        <v>0.5</v>
      </c>
      <c r="F60" s="28">
        <v>46073</v>
      </c>
      <c r="H60" s="10">
        <v>60</v>
      </c>
      <c r="I60" s="10" t="s">
        <v>31</v>
      </c>
      <c r="J60" s="10">
        <v>15</v>
      </c>
      <c r="K60" s="10" t="s">
        <v>43</v>
      </c>
      <c r="L60" s="10">
        <v>18</v>
      </c>
      <c r="N60" s="10">
        <v>13</v>
      </c>
      <c r="P60" s="10">
        <v>10</v>
      </c>
      <c r="R60" s="10">
        <v>20.5</v>
      </c>
      <c r="T60" s="10">
        <v>20.5</v>
      </c>
      <c r="V60" s="35">
        <v>0.43958333333333333</v>
      </c>
    </row>
    <row r="61" spans="1:23" s="10" customFormat="1" x14ac:dyDescent="0.3">
      <c r="A61" s="27" t="s">
        <v>23</v>
      </c>
      <c r="B61" s="10" t="s">
        <v>24</v>
      </c>
      <c r="C61" s="10" t="s">
        <v>41</v>
      </c>
      <c r="D61" s="10">
        <v>1</v>
      </c>
      <c r="E61" s="10">
        <v>0.5</v>
      </c>
      <c r="F61" s="28">
        <v>46073</v>
      </c>
      <c r="H61" s="10">
        <v>40</v>
      </c>
      <c r="I61" s="10" t="s">
        <v>28</v>
      </c>
      <c r="J61" s="10">
        <v>26</v>
      </c>
      <c r="K61" s="10" t="s">
        <v>28</v>
      </c>
      <c r="L61" s="10">
        <v>28</v>
      </c>
      <c r="M61" s="10" t="s">
        <v>28</v>
      </c>
      <c r="N61" s="10">
        <v>21.5</v>
      </c>
      <c r="O61" s="10" t="s">
        <v>28</v>
      </c>
      <c r="P61" s="10">
        <v>29</v>
      </c>
      <c r="Q61" s="10" t="s">
        <v>28</v>
      </c>
      <c r="R61" s="10">
        <v>26.5</v>
      </c>
      <c r="S61" s="10" t="s">
        <v>28</v>
      </c>
      <c r="T61" s="10">
        <v>29</v>
      </c>
      <c r="U61" s="10" t="s">
        <v>28</v>
      </c>
    </row>
    <row r="62" spans="1:23" s="12" customFormat="1" ht="15" thickBot="1" x14ac:dyDescent="0.35">
      <c r="A62" s="11" t="s">
        <v>23</v>
      </c>
      <c r="B62" s="12" t="s">
        <v>24</v>
      </c>
      <c r="C62" s="12" t="s">
        <v>41</v>
      </c>
      <c r="D62" s="12">
        <v>1</v>
      </c>
      <c r="E62" s="12">
        <v>0.5</v>
      </c>
      <c r="F62" s="13">
        <v>46073</v>
      </c>
      <c r="G62" s="12">
        <f>SUM(H59:H62)</f>
        <v>125</v>
      </c>
      <c r="H62" s="12">
        <v>15</v>
      </c>
      <c r="I62" s="12" t="s">
        <v>29</v>
      </c>
      <c r="J62" s="12" t="s">
        <v>30</v>
      </c>
      <c r="T62" s="12">
        <v>0</v>
      </c>
    </row>
    <row r="63" spans="1:23" s="4" customFormat="1" x14ac:dyDescent="0.3">
      <c r="A63" s="3" t="s">
        <v>23</v>
      </c>
      <c r="B63" s="4" t="s">
        <v>24</v>
      </c>
      <c r="C63" s="4" t="s">
        <v>41</v>
      </c>
      <c r="D63" s="4">
        <v>1</v>
      </c>
      <c r="E63" s="4">
        <v>2</v>
      </c>
      <c r="F63" s="5">
        <v>46073</v>
      </c>
      <c r="H63" s="4">
        <v>15</v>
      </c>
      <c r="I63" s="4" t="s">
        <v>31</v>
      </c>
      <c r="J63" s="4" t="s">
        <v>30</v>
      </c>
      <c r="T63" s="4">
        <v>0</v>
      </c>
      <c r="W63" s="4" t="s">
        <v>84</v>
      </c>
    </row>
    <row r="64" spans="1:23" s="10" customFormat="1" x14ac:dyDescent="0.3">
      <c r="A64" s="27" t="s">
        <v>23</v>
      </c>
      <c r="B64" s="10" t="s">
        <v>24</v>
      </c>
      <c r="C64" s="10" t="s">
        <v>41</v>
      </c>
      <c r="D64" s="10">
        <v>1</v>
      </c>
      <c r="E64" s="10">
        <v>2</v>
      </c>
      <c r="F64" s="28">
        <v>46073</v>
      </c>
      <c r="H64" s="10">
        <v>50</v>
      </c>
      <c r="I64" s="10" t="s">
        <v>28</v>
      </c>
      <c r="J64" s="10">
        <v>29</v>
      </c>
      <c r="K64" s="10" t="s">
        <v>28</v>
      </c>
      <c r="L64" s="10">
        <v>31</v>
      </c>
      <c r="M64" s="10" t="s">
        <v>28</v>
      </c>
      <c r="N64" s="10">
        <v>29</v>
      </c>
      <c r="O64" s="10" t="s">
        <v>28</v>
      </c>
      <c r="P64" s="10">
        <v>28</v>
      </c>
      <c r="Q64" s="10" t="s">
        <v>28</v>
      </c>
      <c r="R64" s="10">
        <v>27.5</v>
      </c>
      <c r="S64" s="10" t="s">
        <v>28</v>
      </c>
      <c r="T64" s="10">
        <v>31</v>
      </c>
      <c r="U64" s="10" t="s">
        <v>28</v>
      </c>
      <c r="V64" s="35">
        <v>0.45347222222222222</v>
      </c>
    </row>
    <row r="65" spans="1:23" s="12" customFormat="1" ht="15" thickBot="1" x14ac:dyDescent="0.35">
      <c r="A65" s="11" t="s">
        <v>23</v>
      </c>
      <c r="B65" s="12" t="s">
        <v>24</v>
      </c>
      <c r="C65" s="12" t="s">
        <v>41</v>
      </c>
      <c r="D65" s="12">
        <v>1</v>
      </c>
      <c r="E65" s="12">
        <v>2</v>
      </c>
      <c r="F65" s="13">
        <v>46073</v>
      </c>
      <c r="G65" s="12">
        <f>SUM(H63:H65)</f>
        <v>100</v>
      </c>
      <c r="H65" s="12">
        <v>35</v>
      </c>
      <c r="I65" s="12" t="s">
        <v>29</v>
      </c>
      <c r="J65" s="12" t="s">
        <v>30</v>
      </c>
      <c r="T65" s="12">
        <v>0</v>
      </c>
    </row>
    <row r="66" spans="1:23" s="6" customFormat="1" x14ac:dyDescent="0.3">
      <c r="A66" s="29" t="s">
        <v>23</v>
      </c>
      <c r="B66" s="6" t="s">
        <v>24</v>
      </c>
      <c r="C66" s="6" t="s">
        <v>41</v>
      </c>
      <c r="D66" s="6">
        <v>1</v>
      </c>
      <c r="E66" s="6">
        <v>6</v>
      </c>
      <c r="F66" s="30">
        <v>46073</v>
      </c>
      <c r="H66" s="6">
        <v>80</v>
      </c>
      <c r="I66" s="6" t="s">
        <v>28</v>
      </c>
      <c r="J66" s="6">
        <v>39</v>
      </c>
      <c r="K66" s="6" t="s">
        <v>28</v>
      </c>
      <c r="L66" s="6">
        <v>42.5</v>
      </c>
      <c r="M66" s="6" t="s">
        <v>28</v>
      </c>
      <c r="N66" s="6">
        <v>39</v>
      </c>
      <c r="O66" s="6" t="s">
        <v>28</v>
      </c>
      <c r="P66" s="6">
        <v>40</v>
      </c>
      <c r="Q66" s="6" t="s">
        <v>28</v>
      </c>
      <c r="R66" s="6">
        <v>35</v>
      </c>
      <c r="S66" s="6" t="s">
        <v>28</v>
      </c>
      <c r="T66" s="6">
        <v>42.5</v>
      </c>
      <c r="U66" s="6" t="s">
        <v>28</v>
      </c>
      <c r="V66" s="31">
        <v>0.46180555555555558</v>
      </c>
    </row>
    <row r="67" spans="1:23" x14ac:dyDescent="0.3">
      <c r="A67" s="8" t="s">
        <v>23</v>
      </c>
      <c r="B67" t="s">
        <v>24</v>
      </c>
      <c r="C67" t="s">
        <v>41</v>
      </c>
      <c r="D67">
        <v>1</v>
      </c>
      <c r="E67">
        <v>6</v>
      </c>
      <c r="F67" s="9">
        <v>46073</v>
      </c>
      <c r="H67">
        <v>5</v>
      </c>
      <c r="I67" t="s">
        <v>44</v>
      </c>
      <c r="J67" t="s">
        <v>30</v>
      </c>
      <c r="T67">
        <v>0</v>
      </c>
    </row>
    <row r="68" spans="1:23" s="12" customFormat="1" ht="15" thickBot="1" x14ac:dyDescent="0.35">
      <c r="A68" s="11" t="s">
        <v>23</v>
      </c>
      <c r="B68" s="12" t="s">
        <v>24</v>
      </c>
      <c r="C68" s="12" t="s">
        <v>41</v>
      </c>
      <c r="D68" s="12">
        <v>1</v>
      </c>
      <c r="E68" s="12">
        <v>6</v>
      </c>
      <c r="F68" s="13">
        <v>46073</v>
      </c>
      <c r="G68" s="12">
        <f>SUM(H66:H68)</f>
        <v>105</v>
      </c>
      <c r="H68" s="12">
        <v>20</v>
      </c>
      <c r="I68" s="12" t="s">
        <v>29</v>
      </c>
      <c r="J68" s="12" t="s">
        <v>30</v>
      </c>
      <c r="T68" s="12">
        <v>0</v>
      </c>
    </row>
    <row r="69" spans="1:23" s="6" customFormat="1" x14ac:dyDescent="0.3">
      <c r="A69" s="29" t="s">
        <v>23</v>
      </c>
      <c r="B69" s="6" t="s">
        <v>24</v>
      </c>
      <c r="C69" s="6" t="s">
        <v>41</v>
      </c>
      <c r="D69" s="6">
        <v>1</v>
      </c>
      <c r="E69" s="6">
        <v>12</v>
      </c>
      <c r="F69" s="30">
        <v>46073</v>
      </c>
      <c r="H69" s="6">
        <v>60</v>
      </c>
      <c r="I69" s="6" t="s">
        <v>28</v>
      </c>
      <c r="J69" s="6">
        <v>51</v>
      </c>
      <c r="K69" s="6" t="s">
        <v>28</v>
      </c>
      <c r="L69" s="6">
        <v>44</v>
      </c>
      <c r="M69" s="6" t="s">
        <v>28</v>
      </c>
      <c r="N69" s="6">
        <v>71</v>
      </c>
      <c r="O69" s="6" t="s">
        <v>28</v>
      </c>
      <c r="P69" s="6">
        <v>48.5</v>
      </c>
      <c r="Q69" s="6" t="s">
        <v>28</v>
      </c>
      <c r="R69" s="6">
        <v>41.5</v>
      </c>
      <c r="S69" s="6" t="s">
        <v>28</v>
      </c>
      <c r="T69" s="6">
        <v>71</v>
      </c>
      <c r="U69" s="6" t="s">
        <v>28</v>
      </c>
      <c r="V69" s="31">
        <v>0.46875</v>
      </c>
    </row>
    <row r="70" spans="1:23" s="12" customFormat="1" ht="15" thickBot="1" x14ac:dyDescent="0.35">
      <c r="A70" s="11" t="s">
        <v>23</v>
      </c>
      <c r="B70" s="12" t="s">
        <v>24</v>
      </c>
      <c r="C70" s="12" t="s">
        <v>41</v>
      </c>
      <c r="D70" s="12">
        <v>1</v>
      </c>
      <c r="E70" s="12">
        <v>12</v>
      </c>
      <c r="F70" s="13">
        <v>46073</v>
      </c>
      <c r="G70" s="12">
        <f>SUM(H69:H70)</f>
        <v>100</v>
      </c>
      <c r="H70" s="12">
        <v>40</v>
      </c>
      <c r="I70" s="12" t="s">
        <v>29</v>
      </c>
      <c r="J70" s="12" t="s">
        <v>30</v>
      </c>
      <c r="T70" s="12">
        <v>0</v>
      </c>
    </row>
    <row r="71" spans="1:23" s="6" customFormat="1" x14ac:dyDescent="0.3">
      <c r="A71" s="29" t="s">
        <v>23</v>
      </c>
      <c r="B71" s="6" t="s">
        <v>24</v>
      </c>
      <c r="C71" s="6" t="s">
        <v>41</v>
      </c>
      <c r="D71" s="6">
        <v>1</v>
      </c>
      <c r="E71" s="6">
        <v>18</v>
      </c>
      <c r="F71" s="30">
        <v>46073</v>
      </c>
      <c r="H71" s="6">
        <v>80</v>
      </c>
      <c r="I71" s="6" t="s">
        <v>28</v>
      </c>
      <c r="J71" s="6">
        <v>38</v>
      </c>
      <c r="K71" s="6" t="s">
        <v>28</v>
      </c>
      <c r="L71" s="6">
        <v>33</v>
      </c>
      <c r="M71" s="6" t="s">
        <v>28</v>
      </c>
      <c r="N71" s="6">
        <v>32</v>
      </c>
      <c r="O71" s="6" t="s">
        <v>28</v>
      </c>
      <c r="P71" s="6">
        <v>42</v>
      </c>
      <c r="Q71" s="6" t="s">
        <v>28</v>
      </c>
      <c r="R71" s="6">
        <v>44</v>
      </c>
      <c r="S71" s="6" t="s">
        <v>28</v>
      </c>
      <c r="T71" s="6">
        <v>44</v>
      </c>
      <c r="U71" s="6" t="s">
        <v>28</v>
      </c>
      <c r="V71" s="31">
        <v>0.47569444444444442</v>
      </c>
    </row>
    <row r="72" spans="1:23" s="12" customFormat="1" ht="15" thickBot="1" x14ac:dyDescent="0.35">
      <c r="A72" s="11" t="s">
        <v>23</v>
      </c>
      <c r="B72" s="12" t="s">
        <v>24</v>
      </c>
      <c r="C72" s="12" t="s">
        <v>41</v>
      </c>
      <c r="D72" s="12">
        <v>1</v>
      </c>
      <c r="E72" s="12">
        <v>18</v>
      </c>
      <c r="F72" s="13">
        <v>46073</v>
      </c>
      <c r="G72" s="12">
        <f>SUM(H71:H72)</f>
        <v>100</v>
      </c>
      <c r="H72" s="12">
        <v>20</v>
      </c>
      <c r="I72" s="12" t="s">
        <v>29</v>
      </c>
      <c r="J72" s="12" t="s">
        <v>30</v>
      </c>
      <c r="T72" s="12">
        <v>0</v>
      </c>
    </row>
    <row r="73" spans="1:23" s="4" customFormat="1" x14ac:dyDescent="0.3">
      <c r="A73" s="3" t="s">
        <v>23</v>
      </c>
      <c r="B73" s="4" t="s">
        <v>24</v>
      </c>
      <c r="C73" s="4" t="s">
        <v>41</v>
      </c>
      <c r="D73" s="4">
        <v>1</v>
      </c>
      <c r="E73" s="4">
        <v>24</v>
      </c>
      <c r="F73" s="5">
        <v>46073</v>
      </c>
      <c r="H73" s="4">
        <v>15</v>
      </c>
      <c r="I73" s="4" t="s">
        <v>29</v>
      </c>
      <c r="J73" s="4" t="s">
        <v>30</v>
      </c>
      <c r="T73" s="4">
        <v>0</v>
      </c>
    </row>
    <row r="74" spans="1:23" s="10" customFormat="1" x14ac:dyDescent="0.3">
      <c r="A74" s="27" t="s">
        <v>23</v>
      </c>
      <c r="B74" s="10" t="s">
        <v>24</v>
      </c>
      <c r="C74" s="10" t="s">
        <v>41</v>
      </c>
      <c r="D74" s="10">
        <v>1</v>
      </c>
      <c r="E74" s="10">
        <v>24</v>
      </c>
      <c r="F74" s="28">
        <v>46073</v>
      </c>
      <c r="H74" s="10">
        <v>85</v>
      </c>
      <c r="I74" s="10" t="s">
        <v>28</v>
      </c>
      <c r="J74" s="10">
        <v>36</v>
      </c>
      <c r="K74" s="10" t="s">
        <v>28</v>
      </c>
      <c r="L74" s="10">
        <v>33</v>
      </c>
      <c r="M74" s="10" t="s">
        <v>28</v>
      </c>
      <c r="N74" s="10">
        <v>35</v>
      </c>
      <c r="O74" s="10" t="s">
        <v>28</v>
      </c>
      <c r="P74" s="10">
        <v>37</v>
      </c>
      <c r="Q74" s="10" t="s">
        <v>28</v>
      </c>
      <c r="R74" s="10">
        <v>38</v>
      </c>
      <c r="S74" s="10" t="s">
        <v>28</v>
      </c>
      <c r="T74" s="10">
        <v>38</v>
      </c>
      <c r="U74" s="10" t="s">
        <v>28</v>
      </c>
      <c r="V74" s="35">
        <v>0.48194444444444445</v>
      </c>
    </row>
    <row r="75" spans="1:23" s="12" customFormat="1" ht="15" thickBot="1" x14ac:dyDescent="0.35">
      <c r="A75" s="11" t="s">
        <v>23</v>
      </c>
      <c r="B75" s="12" t="s">
        <v>24</v>
      </c>
      <c r="C75" s="12" t="s">
        <v>41</v>
      </c>
      <c r="D75" s="12">
        <v>1</v>
      </c>
      <c r="E75" s="12">
        <v>24</v>
      </c>
      <c r="F75" s="13">
        <v>46073</v>
      </c>
      <c r="G75" s="12">
        <f>SUM(H73:H75)</f>
        <v>140</v>
      </c>
      <c r="H75" s="12">
        <v>40</v>
      </c>
      <c r="I75" s="12" t="s">
        <v>36</v>
      </c>
      <c r="J75" s="12" t="s">
        <v>30</v>
      </c>
      <c r="T75" s="12">
        <v>0</v>
      </c>
      <c r="W75" s="12" t="s">
        <v>85</v>
      </c>
    </row>
    <row r="76" spans="1:23" s="4" customFormat="1" x14ac:dyDescent="0.3">
      <c r="A76" s="3" t="s">
        <v>23</v>
      </c>
      <c r="B76" s="4" t="s">
        <v>24</v>
      </c>
      <c r="C76" s="4" t="s">
        <v>41</v>
      </c>
      <c r="D76" s="4">
        <v>1</v>
      </c>
      <c r="E76" s="4">
        <v>48</v>
      </c>
      <c r="F76" s="5">
        <v>46073</v>
      </c>
      <c r="H76" s="4">
        <v>40</v>
      </c>
      <c r="I76" s="4" t="s">
        <v>35</v>
      </c>
      <c r="J76" s="4" t="s">
        <v>30</v>
      </c>
      <c r="T76" s="4">
        <v>0</v>
      </c>
    </row>
    <row r="77" spans="1:23" x14ac:dyDescent="0.3">
      <c r="A77" s="8" t="s">
        <v>23</v>
      </c>
      <c r="B77" t="s">
        <v>24</v>
      </c>
      <c r="C77" t="s">
        <v>41</v>
      </c>
      <c r="D77">
        <v>1</v>
      </c>
      <c r="E77">
        <v>48</v>
      </c>
      <c r="F77" s="9">
        <v>46073</v>
      </c>
      <c r="H77">
        <v>10</v>
      </c>
      <c r="I77" t="s">
        <v>45</v>
      </c>
      <c r="J77" t="s">
        <v>30</v>
      </c>
      <c r="T77">
        <v>0</v>
      </c>
    </row>
    <row r="78" spans="1:23" s="10" customFormat="1" x14ac:dyDescent="0.3">
      <c r="A78" s="27" t="s">
        <v>23</v>
      </c>
      <c r="B78" s="10" t="s">
        <v>24</v>
      </c>
      <c r="C78" s="10" t="s">
        <v>41</v>
      </c>
      <c r="D78" s="10">
        <v>1</v>
      </c>
      <c r="E78" s="10">
        <v>48</v>
      </c>
      <c r="F78" s="28">
        <v>46073</v>
      </c>
      <c r="H78" s="10">
        <v>45</v>
      </c>
      <c r="I78" s="10" t="s">
        <v>28</v>
      </c>
      <c r="J78" s="10">
        <v>36</v>
      </c>
      <c r="K78" s="10" t="s">
        <v>28</v>
      </c>
      <c r="L78" s="10">
        <v>45</v>
      </c>
      <c r="M78" s="10" t="s">
        <v>28</v>
      </c>
      <c r="N78" s="10">
        <v>42</v>
      </c>
      <c r="O78" s="10" t="s">
        <v>28</v>
      </c>
      <c r="P78" s="10">
        <v>29</v>
      </c>
      <c r="Q78" s="10" t="s">
        <v>28</v>
      </c>
      <c r="R78" s="10">
        <v>28.5</v>
      </c>
      <c r="S78" s="10" t="s">
        <v>28</v>
      </c>
      <c r="T78" s="10">
        <v>45</v>
      </c>
      <c r="U78" s="10" t="s">
        <v>28</v>
      </c>
      <c r="V78" s="35">
        <v>0.48888888888888887</v>
      </c>
      <c r="W78" s="10" t="s">
        <v>87</v>
      </c>
    </row>
    <row r="79" spans="1:23" x14ac:dyDescent="0.3">
      <c r="A79" s="8" t="s">
        <v>23</v>
      </c>
      <c r="B79" t="s">
        <v>24</v>
      </c>
      <c r="C79" t="s">
        <v>41</v>
      </c>
      <c r="D79">
        <v>1</v>
      </c>
      <c r="E79">
        <v>48</v>
      </c>
      <c r="F79" s="9">
        <v>46073</v>
      </c>
      <c r="H79">
        <v>40</v>
      </c>
      <c r="I79" t="s">
        <v>36</v>
      </c>
      <c r="J79" t="s">
        <v>30</v>
      </c>
      <c r="T79">
        <v>0</v>
      </c>
      <c r="W79" t="s">
        <v>85</v>
      </c>
    </row>
    <row r="80" spans="1:23" s="12" customFormat="1" ht="15" thickBot="1" x14ac:dyDescent="0.35">
      <c r="A80" s="11" t="s">
        <v>23</v>
      </c>
      <c r="B80" s="12" t="s">
        <v>24</v>
      </c>
      <c r="C80" s="12" t="s">
        <v>41</v>
      </c>
      <c r="D80" s="12">
        <v>1</v>
      </c>
      <c r="E80" s="12">
        <v>48</v>
      </c>
      <c r="F80" s="13">
        <v>46073</v>
      </c>
      <c r="G80" s="12">
        <f>SUM(H76:H80)</f>
        <v>145</v>
      </c>
      <c r="H80" s="12">
        <v>10</v>
      </c>
      <c r="I80" s="12" t="s">
        <v>29</v>
      </c>
      <c r="J80" s="12" t="s">
        <v>30</v>
      </c>
      <c r="T80" s="12">
        <v>0</v>
      </c>
      <c r="W80" s="12" t="s">
        <v>86</v>
      </c>
    </row>
    <row r="81" spans="1:22" s="4" customFormat="1" x14ac:dyDescent="0.3">
      <c r="A81" s="3" t="s">
        <v>23</v>
      </c>
      <c r="B81" s="4" t="s">
        <v>24</v>
      </c>
      <c r="C81" s="4" t="s">
        <v>41</v>
      </c>
      <c r="D81" s="4">
        <v>2</v>
      </c>
      <c r="E81" s="4">
        <v>0.5</v>
      </c>
      <c r="F81" s="5">
        <v>46073</v>
      </c>
      <c r="H81" s="4">
        <v>30</v>
      </c>
      <c r="I81" s="4" t="s">
        <v>46</v>
      </c>
      <c r="J81" s="4" t="s">
        <v>30</v>
      </c>
      <c r="T81" s="4">
        <v>0</v>
      </c>
    </row>
    <row r="82" spans="1:22" s="10" customFormat="1" x14ac:dyDescent="0.3">
      <c r="A82" s="27" t="s">
        <v>23</v>
      </c>
      <c r="B82" s="10" t="s">
        <v>24</v>
      </c>
      <c r="C82" s="10" t="s">
        <v>41</v>
      </c>
      <c r="D82" s="10">
        <v>2</v>
      </c>
      <c r="E82" s="10">
        <v>0.5</v>
      </c>
      <c r="F82" s="28">
        <v>46073</v>
      </c>
      <c r="H82" s="10">
        <v>10</v>
      </c>
      <c r="I82" s="10" t="s">
        <v>28</v>
      </c>
      <c r="J82" s="10">
        <v>28</v>
      </c>
      <c r="K82" s="10" t="s">
        <v>28</v>
      </c>
      <c r="L82" s="10">
        <v>28</v>
      </c>
      <c r="M82" s="10" t="s">
        <v>28</v>
      </c>
      <c r="N82" s="10" t="s">
        <v>30</v>
      </c>
      <c r="O82" s="10" t="s">
        <v>28</v>
      </c>
      <c r="P82" s="10" t="s">
        <v>30</v>
      </c>
      <c r="Q82" s="10" t="s">
        <v>28</v>
      </c>
      <c r="R82" s="10" t="s">
        <v>30</v>
      </c>
      <c r="S82" s="10" t="s">
        <v>28</v>
      </c>
      <c r="T82" s="10">
        <v>28</v>
      </c>
      <c r="U82" s="10" t="s">
        <v>28</v>
      </c>
      <c r="V82" s="10" t="s">
        <v>47</v>
      </c>
    </row>
    <row r="83" spans="1:22" s="12" customFormat="1" ht="15" thickBot="1" x14ac:dyDescent="0.35">
      <c r="A83" s="11" t="s">
        <v>23</v>
      </c>
      <c r="B83" s="12" t="s">
        <v>24</v>
      </c>
      <c r="C83" s="12" t="s">
        <v>41</v>
      </c>
      <c r="D83" s="12">
        <v>2</v>
      </c>
      <c r="E83" s="12">
        <v>0.5</v>
      </c>
      <c r="F83" s="13">
        <v>46073</v>
      </c>
      <c r="G83" s="12">
        <f>SUM(H81:H83)</f>
        <v>55</v>
      </c>
      <c r="H83" s="12">
        <v>15</v>
      </c>
      <c r="I83" s="12" t="s">
        <v>29</v>
      </c>
      <c r="J83" s="12" t="s">
        <v>30</v>
      </c>
      <c r="T83" s="12">
        <v>0</v>
      </c>
    </row>
    <row r="84" spans="1:22" s="6" customFormat="1" x14ac:dyDescent="0.3">
      <c r="A84" s="29" t="s">
        <v>23</v>
      </c>
      <c r="B84" s="6" t="s">
        <v>24</v>
      </c>
      <c r="C84" s="6" t="s">
        <v>41</v>
      </c>
      <c r="D84" s="6">
        <v>2</v>
      </c>
      <c r="E84" s="6">
        <v>2</v>
      </c>
      <c r="F84" s="30">
        <v>46073</v>
      </c>
      <c r="H84" s="6">
        <v>50</v>
      </c>
      <c r="I84" s="6" t="s">
        <v>28</v>
      </c>
      <c r="J84" s="6">
        <f>AVERAGE(L84, N84, P84, R84)</f>
        <v>23.375</v>
      </c>
      <c r="K84" s="6" t="s">
        <v>28</v>
      </c>
      <c r="L84" s="6">
        <v>29</v>
      </c>
      <c r="N84" s="6">
        <v>25</v>
      </c>
      <c r="P84" s="6">
        <v>19</v>
      </c>
      <c r="R84" s="6">
        <v>20.5</v>
      </c>
      <c r="S84" s="6" t="s">
        <v>28</v>
      </c>
      <c r="T84" s="6">
        <v>29</v>
      </c>
    </row>
    <row r="85" spans="1:22" x14ac:dyDescent="0.3">
      <c r="A85" s="8" t="s">
        <v>23</v>
      </c>
      <c r="B85" t="s">
        <v>24</v>
      </c>
      <c r="C85" t="s">
        <v>41</v>
      </c>
      <c r="D85">
        <v>2</v>
      </c>
      <c r="E85">
        <v>2</v>
      </c>
      <c r="F85" s="9">
        <v>46073</v>
      </c>
      <c r="H85">
        <v>50</v>
      </c>
      <c r="I85" t="s">
        <v>29</v>
      </c>
      <c r="J85" t="s">
        <v>30</v>
      </c>
      <c r="T85">
        <v>0</v>
      </c>
    </row>
    <row r="86" spans="1:22" s="12" customFormat="1" ht="15" thickBot="1" x14ac:dyDescent="0.35">
      <c r="A86" s="11" t="s">
        <v>23</v>
      </c>
      <c r="B86" s="12" t="s">
        <v>24</v>
      </c>
      <c r="C86" s="12" t="s">
        <v>41</v>
      </c>
      <c r="D86" s="12">
        <v>2</v>
      </c>
      <c r="E86" s="12">
        <v>2</v>
      </c>
      <c r="F86" s="13">
        <v>46073</v>
      </c>
      <c r="G86" s="12">
        <f>SUM(H84:H86)</f>
        <v>105</v>
      </c>
      <c r="H86" s="12">
        <v>5</v>
      </c>
      <c r="I86" s="12" t="s">
        <v>48</v>
      </c>
      <c r="J86" s="12" t="s">
        <v>30</v>
      </c>
      <c r="T86" s="12">
        <v>0</v>
      </c>
      <c r="V86" s="15">
        <v>0.41249999999999998</v>
      </c>
    </row>
    <row r="87" spans="1:22" s="6" customFormat="1" x14ac:dyDescent="0.3">
      <c r="A87" s="29" t="s">
        <v>23</v>
      </c>
      <c r="B87" s="6" t="s">
        <v>24</v>
      </c>
      <c r="C87" s="6" t="s">
        <v>41</v>
      </c>
      <c r="D87" s="6">
        <v>2</v>
      </c>
      <c r="E87" s="6">
        <v>6</v>
      </c>
      <c r="F87" s="30">
        <v>46073</v>
      </c>
      <c r="H87" s="6">
        <v>90</v>
      </c>
      <c r="I87" s="6" t="s">
        <v>28</v>
      </c>
      <c r="J87" s="6">
        <v>33</v>
      </c>
      <c r="K87" s="6" t="s">
        <v>28</v>
      </c>
      <c r="L87" s="6">
        <v>32.5</v>
      </c>
      <c r="M87" s="6" t="s">
        <v>28</v>
      </c>
      <c r="N87" s="6">
        <v>31</v>
      </c>
      <c r="O87" s="6" t="s">
        <v>28</v>
      </c>
      <c r="P87" s="6">
        <v>32</v>
      </c>
      <c r="Q87" s="6" t="s">
        <v>28</v>
      </c>
      <c r="R87" s="6">
        <v>37.5</v>
      </c>
      <c r="S87" s="6" t="s">
        <v>28</v>
      </c>
      <c r="T87" s="6">
        <v>37.5</v>
      </c>
      <c r="U87" s="6" t="s">
        <v>28</v>
      </c>
      <c r="V87" s="31">
        <v>0.39930555555555558</v>
      </c>
    </row>
    <row r="88" spans="1:22" x14ac:dyDescent="0.3">
      <c r="A88" s="8" t="s">
        <v>23</v>
      </c>
      <c r="B88" t="s">
        <v>24</v>
      </c>
      <c r="C88" t="s">
        <v>41</v>
      </c>
      <c r="D88">
        <v>2</v>
      </c>
      <c r="E88">
        <v>6</v>
      </c>
      <c r="F88" s="9">
        <v>46073</v>
      </c>
      <c r="H88">
        <v>20</v>
      </c>
      <c r="I88" t="s">
        <v>49</v>
      </c>
      <c r="J88" t="s">
        <v>30</v>
      </c>
      <c r="T88">
        <v>0</v>
      </c>
    </row>
    <row r="89" spans="1:22" x14ac:dyDescent="0.3">
      <c r="A89" s="8" t="s">
        <v>23</v>
      </c>
      <c r="B89" t="s">
        <v>24</v>
      </c>
      <c r="C89" t="s">
        <v>41</v>
      </c>
      <c r="D89">
        <v>2</v>
      </c>
      <c r="E89">
        <v>6</v>
      </c>
      <c r="F89" s="9">
        <v>46073</v>
      </c>
      <c r="H89">
        <v>15</v>
      </c>
      <c r="I89" t="s">
        <v>50</v>
      </c>
      <c r="J89" t="s">
        <v>30</v>
      </c>
      <c r="T89">
        <v>0</v>
      </c>
    </row>
    <row r="90" spans="1:22" s="12" customFormat="1" ht="15" thickBot="1" x14ac:dyDescent="0.35">
      <c r="A90" s="11" t="s">
        <v>23</v>
      </c>
      <c r="B90" s="12" t="s">
        <v>24</v>
      </c>
      <c r="C90" s="12" t="s">
        <v>41</v>
      </c>
      <c r="D90" s="12">
        <v>2</v>
      </c>
      <c r="E90" s="12">
        <v>6</v>
      </c>
      <c r="F90" s="13">
        <v>46073</v>
      </c>
      <c r="G90" s="12">
        <f>SUM(H87:H90)</f>
        <v>130</v>
      </c>
      <c r="H90" s="12">
        <v>5</v>
      </c>
      <c r="I90" s="12" t="s">
        <v>29</v>
      </c>
      <c r="J90" s="12" t="s">
        <v>30</v>
      </c>
      <c r="T90" s="12">
        <v>0</v>
      </c>
    </row>
    <row r="91" spans="1:22" s="6" customFormat="1" x14ac:dyDescent="0.3">
      <c r="A91" s="29" t="s">
        <v>23</v>
      </c>
      <c r="B91" s="6" t="s">
        <v>24</v>
      </c>
      <c r="C91" s="6" t="s">
        <v>41</v>
      </c>
      <c r="D91" s="6">
        <v>2</v>
      </c>
      <c r="E91" s="6">
        <v>12</v>
      </c>
      <c r="F91" s="30">
        <v>46073</v>
      </c>
      <c r="H91" s="6">
        <v>90</v>
      </c>
      <c r="I91" s="6" t="s">
        <v>28</v>
      </c>
      <c r="J91" s="6">
        <v>39</v>
      </c>
      <c r="K91" s="6" t="s">
        <v>28</v>
      </c>
      <c r="L91" s="6">
        <v>36</v>
      </c>
      <c r="M91" s="6" t="s">
        <v>28</v>
      </c>
      <c r="N91" s="6">
        <v>33</v>
      </c>
      <c r="O91" s="6" t="s">
        <v>28</v>
      </c>
      <c r="P91" s="6">
        <v>43</v>
      </c>
      <c r="Q91" s="6" t="s">
        <v>28</v>
      </c>
      <c r="R91" s="6">
        <v>45.5</v>
      </c>
      <c r="S91" s="6" t="s">
        <v>28</v>
      </c>
      <c r="T91" s="6">
        <v>45.5</v>
      </c>
      <c r="U91" s="6" t="s">
        <v>28</v>
      </c>
      <c r="V91" s="31">
        <v>0.38958333333333334</v>
      </c>
    </row>
    <row r="92" spans="1:22" s="12" customFormat="1" ht="15" thickBot="1" x14ac:dyDescent="0.35">
      <c r="A92" s="11" t="s">
        <v>23</v>
      </c>
      <c r="B92" s="12" t="s">
        <v>24</v>
      </c>
      <c r="C92" s="12" t="s">
        <v>41</v>
      </c>
      <c r="D92" s="12">
        <v>2</v>
      </c>
      <c r="E92" s="12">
        <v>12</v>
      </c>
      <c r="F92" s="13">
        <v>46073</v>
      </c>
      <c r="G92" s="12">
        <f>SUM(H91:H92)</f>
        <v>100</v>
      </c>
      <c r="H92" s="12">
        <v>10</v>
      </c>
      <c r="I92" s="12" t="s">
        <v>29</v>
      </c>
      <c r="J92" s="12" t="s">
        <v>30</v>
      </c>
      <c r="T92" s="12">
        <v>0</v>
      </c>
    </row>
    <row r="93" spans="1:22" s="6" customFormat="1" x14ac:dyDescent="0.3">
      <c r="A93" s="29" t="s">
        <v>23</v>
      </c>
      <c r="B93" s="6" t="s">
        <v>24</v>
      </c>
      <c r="C93" s="6" t="s">
        <v>41</v>
      </c>
      <c r="D93" s="6">
        <v>2</v>
      </c>
      <c r="E93" s="6">
        <v>18</v>
      </c>
      <c r="F93" s="30">
        <v>46073</v>
      </c>
      <c r="H93" s="6">
        <v>75</v>
      </c>
      <c r="I93" s="6" t="s">
        <v>28</v>
      </c>
      <c r="J93" s="6">
        <v>37</v>
      </c>
      <c r="K93" s="6" t="s">
        <v>28</v>
      </c>
      <c r="L93" s="6">
        <v>43</v>
      </c>
      <c r="M93" s="6" t="s">
        <v>28</v>
      </c>
      <c r="N93" s="6">
        <v>37</v>
      </c>
      <c r="O93" s="6" t="s">
        <v>28</v>
      </c>
      <c r="P93" s="6">
        <v>31</v>
      </c>
      <c r="Q93" s="6" t="s">
        <v>28</v>
      </c>
      <c r="R93" s="6">
        <v>38</v>
      </c>
      <c r="S93" s="6" t="s">
        <v>28</v>
      </c>
      <c r="T93" s="6">
        <v>43</v>
      </c>
      <c r="U93" s="6" t="s">
        <v>28</v>
      </c>
      <c r="V93" s="31">
        <v>0.38194444444444442</v>
      </c>
    </row>
    <row r="94" spans="1:22" s="12" customFormat="1" ht="15" thickBot="1" x14ac:dyDescent="0.35">
      <c r="A94" s="11" t="s">
        <v>23</v>
      </c>
      <c r="B94" s="12" t="s">
        <v>24</v>
      </c>
      <c r="C94" s="12" t="s">
        <v>41</v>
      </c>
      <c r="D94" s="12">
        <v>2</v>
      </c>
      <c r="E94" s="12">
        <v>18</v>
      </c>
      <c r="F94" s="13">
        <v>46073</v>
      </c>
      <c r="G94" s="12">
        <f>SUM(H93:H94)</f>
        <v>100</v>
      </c>
      <c r="H94" s="12">
        <v>25</v>
      </c>
      <c r="I94" s="12" t="s">
        <v>29</v>
      </c>
      <c r="J94" s="12" t="s">
        <v>30</v>
      </c>
      <c r="T94" s="12">
        <v>0</v>
      </c>
    </row>
    <row r="95" spans="1:22" s="6" customFormat="1" x14ac:dyDescent="0.3">
      <c r="A95" s="29" t="s">
        <v>23</v>
      </c>
      <c r="B95" s="6" t="s">
        <v>24</v>
      </c>
      <c r="C95" s="6" t="s">
        <v>41</v>
      </c>
      <c r="D95" s="6">
        <v>2</v>
      </c>
      <c r="E95" s="6">
        <v>24</v>
      </c>
      <c r="F95" s="30">
        <v>46073</v>
      </c>
      <c r="H95" s="6">
        <v>70</v>
      </c>
      <c r="I95" s="6" t="s">
        <v>28</v>
      </c>
      <c r="J95" s="6">
        <v>41</v>
      </c>
      <c r="K95" s="6" t="s">
        <v>28</v>
      </c>
      <c r="L95" s="6">
        <v>37</v>
      </c>
      <c r="M95" s="6" t="s">
        <v>28</v>
      </c>
      <c r="N95" s="6">
        <v>38</v>
      </c>
      <c r="O95" s="6" t="s">
        <v>28</v>
      </c>
      <c r="P95" s="6">
        <v>46</v>
      </c>
      <c r="Q95" s="6" t="s">
        <v>28</v>
      </c>
      <c r="R95" s="6">
        <v>43.5</v>
      </c>
      <c r="S95" s="6" t="s">
        <v>28</v>
      </c>
      <c r="T95" s="6">
        <v>46</v>
      </c>
      <c r="U95" s="6" t="s">
        <v>28</v>
      </c>
      <c r="V95" s="31">
        <v>0.37083333333333335</v>
      </c>
    </row>
    <row r="96" spans="1:22" s="12" customFormat="1" ht="15" thickBot="1" x14ac:dyDescent="0.35">
      <c r="A96" s="11" t="s">
        <v>23</v>
      </c>
      <c r="B96" s="12" t="s">
        <v>24</v>
      </c>
      <c r="C96" s="12" t="s">
        <v>41</v>
      </c>
      <c r="D96" s="12">
        <v>2</v>
      </c>
      <c r="E96" s="12">
        <v>24</v>
      </c>
      <c r="F96" s="13">
        <v>46073</v>
      </c>
      <c r="G96" s="12">
        <f>SUM(H95:H96)</f>
        <v>105</v>
      </c>
      <c r="H96" s="12">
        <v>35</v>
      </c>
      <c r="I96" s="12" t="s">
        <v>29</v>
      </c>
      <c r="J96" s="12" t="s">
        <v>30</v>
      </c>
      <c r="T96" s="12">
        <v>0</v>
      </c>
    </row>
    <row r="97" spans="1:22" s="6" customFormat="1" x14ac:dyDescent="0.3">
      <c r="A97" s="29" t="s">
        <v>23</v>
      </c>
      <c r="B97" s="6" t="s">
        <v>24</v>
      </c>
      <c r="C97" s="6" t="s">
        <v>41</v>
      </c>
      <c r="D97" s="6">
        <v>2</v>
      </c>
      <c r="E97" s="6">
        <v>48</v>
      </c>
      <c r="F97" s="30">
        <v>46073</v>
      </c>
      <c r="H97" s="6">
        <v>90</v>
      </c>
      <c r="I97" s="6" t="s">
        <v>28</v>
      </c>
      <c r="J97" s="6">
        <v>37</v>
      </c>
      <c r="K97" s="6" t="s">
        <v>28</v>
      </c>
      <c r="L97" s="6">
        <v>26</v>
      </c>
      <c r="M97" s="6" t="s">
        <v>28</v>
      </c>
      <c r="N97" s="6">
        <v>43</v>
      </c>
      <c r="O97" s="6" t="s">
        <v>28</v>
      </c>
      <c r="P97" s="6">
        <v>39.5</v>
      </c>
      <c r="Q97" s="6" t="s">
        <v>28</v>
      </c>
      <c r="R97" s="6">
        <v>38</v>
      </c>
      <c r="S97" s="6" t="s">
        <v>28</v>
      </c>
      <c r="T97" s="6">
        <v>43</v>
      </c>
      <c r="U97" s="6" t="s">
        <v>28</v>
      </c>
      <c r="V97" s="6" t="s">
        <v>51</v>
      </c>
    </row>
    <row r="98" spans="1:22" s="12" customFormat="1" ht="15" thickBot="1" x14ac:dyDescent="0.35">
      <c r="A98" s="11" t="s">
        <v>23</v>
      </c>
      <c r="B98" s="12" t="s">
        <v>24</v>
      </c>
      <c r="C98" s="12" t="s">
        <v>41</v>
      </c>
      <c r="D98" s="12">
        <v>2</v>
      </c>
      <c r="E98" s="12">
        <v>48</v>
      </c>
      <c r="F98" s="13">
        <v>46073</v>
      </c>
      <c r="G98" s="12">
        <f>SUM(H97:H98)</f>
        <v>100</v>
      </c>
      <c r="H98" s="12">
        <v>10</v>
      </c>
      <c r="I98" s="12" t="s">
        <v>29</v>
      </c>
      <c r="J98" s="12" t="s">
        <v>30</v>
      </c>
      <c r="T98" s="12">
        <v>0</v>
      </c>
    </row>
    <row r="99" spans="1:22" s="22" customFormat="1" ht="15" thickBot="1" x14ac:dyDescent="0.35">
      <c r="A99" s="21" t="s">
        <v>23</v>
      </c>
      <c r="B99" s="22" t="s">
        <v>24</v>
      </c>
      <c r="C99" s="22" t="s">
        <v>52</v>
      </c>
      <c r="D99" s="22">
        <v>1</v>
      </c>
      <c r="E99" s="22">
        <v>0.5</v>
      </c>
      <c r="F99" s="23">
        <v>46060</v>
      </c>
      <c r="H99" s="22">
        <v>55</v>
      </c>
      <c r="I99" s="22" t="s">
        <v>31</v>
      </c>
      <c r="J99" s="22">
        <f>R99</f>
        <v>16</v>
      </c>
      <c r="K99" s="22" t="s">
        <v>31</v>
      </c>
      <c r="R99" s="22">
        <v>16</v>
      </c>
      <c r="T99" s="22">
        <v>16</v>
      </c>
      <c r="V99" s="22" t="s">
        <v>97</v>
      </c>
    </row>
    <row r="100" spans="1:22" s="10" customFormat="1" x14ac:dyDescent="0.3">
      <c r="A100" s="27" t="s">
        <v>23</v>
      </c>
      <c r="B100" s="10" t="s">
        <v>24</v>
      </c>
      <c r="C100" s="10" t="s">
        <v>52</v>
      </c>
      <c r="D100" s="10">
        <v>1</v>
      </c>
      <c r="E100" s="10">
        <v>0.5</v>
      </c>
      <c r="F100" s="28">
        <v>46060</v>
      </c>
      <c r="H100" s="10">
        <v>70</v>
      </c>
      <c r="I100" s="10" t="s">
        <v>36</v>
      </c>
      <c r="J100" s="10">
        <f>AVERAGE(L100, N100, P100)</f>
        <v>13.833333333333334</v>
      </c>
      <c r="L100" s="6">
        <v>15</v>
      </c>
      <c r="M100" s="6"/>
      <c r="N100" s="6">
        <v>13.5</v>
      </c>
      <c r="O100" s="6"/>
      <c r="P100" s="6">
        <v>13</v>
      </c>
      <c r="T100" s="10">
        <v>15</v>
      </c>
    </row>
    <row r="101" spans="1:22" s="10" customFormat="1" x14ac:dyDescent="0.3">
      <c r="A101" s="27" t="s">
        <v>23</v>
      </c>
      <c r="B101" s="10" t="s">
        <v>24</v>
      </c>
      <c r="C101" s="10" t="s">
        <v>52</v>
      </c>
      <c r="D101" s="10">
        <v>1</v>
      </c>
      <c r="E101" s="10">
        <v>0.5</v>
      </c>
      <c r="F101" s="28">
        <v>46060</v>
      </c>
      <c r="H101" s="10">
        <v>15</v>
      </c>
      <c r="I101" s="10" t="s">
        <v>28</v>
      </c>
      <c r="J101" s="10">
        <v>22</v>
      </c>
      <c r="K101" s="10" t="s">
        <v>28</v>
      </c>
      <c r="L101" s="10">
        <v>25</v>
      </c>
      <c r="M101" s="10" t="s">
        <v>28</v>
      </c>
      <c r="N101" s="10">
        <v>24</v>
      </c>
      <c r="O101" s="10" t="s">
        <v>28</v>
      </c>
      <c r="P101" s="10">
        <v>22</v>
      </c>
      <c r="Q101" s="10" t="s">
        <v>28</v>
      </c>
      <c r="R101" s="10">
        <v>15</v>
      </c>
      <c r="S101" s="10" t="s">
        <v>28</v>
      </c>
      <c r="T101" s="10">
        <v>25</v>
      </c>
      <c r="U101" s="10" t="s">
        <v>28</v>
      </c>
      <c r="V101" s="10" t="s">
        <v>53</v>
      </c>
    </row>
    <row r="102" spans="1:22" s="25" customFormat="1" ht="15" thickBot="1" x14ac:dyDescent="0.35">
      <c r="A102" s="24" t="s">
        <v>23</v>
      </c>
      <c r="B102" s="25" t="s">
        <v>24</v>
      </c>
      <c r="C102" s="25" t="s">
        <v>52</v>
      </c>
      <c r="D102" s="25">
        <v>1</v>
      </c>
      <c r="E102" s="25">
        <v>0.5</v>
      </c>
      <c r="F102" s="26">
        <v>46060</v>
      </c>
      <c r="G102" s="25">
        <f>SUM(H99:H102)</f>
        <v>150</v>
      </c>
      <c r="H102" s="25">
        <v>10</v>
      </c>
      <c r="I102" s="25" t="s">
        <v>29</v>
      </c>
      <c r="J102" s="25" t="s">
        <v>30</v>
      </c>
      <c r="T102" s="25">
        <v>0</v>
      </c>
      <c r="V102" s="25" t="s">
        <v>96</v>
      </c>
    </row>
    <row r="103" spans="1:22" s="4" customFormat="1" x14ac:dyDescent="0.3">
      <c r="A103" s="3" t="s">
        <v>23</v>
      </c>
      <c r="B103" s="4" t="s">
        <v>24</v>
      </c>
      <c r="C103" s="4" t="s">
        <v>52</v>
      </c>
      <c r="D103" s="4">
        <v>1</v>
      </c>
      <c r="E103" s="4">
        <v>2</v>
      </c>
      <c r="F103" s="5">
        <v>46060</v>
      </c>
      <c r="H103" s="4">
        <v>40</v>
      </c>
      <c r="I103" s="4" t="s">
        <v>31</v>
      </c>
      <c r="J103" s="4">
        <v>21</v>
      </c>
      <c r="L103" s="4">
        <v>16</v>
      </c>
      <c r="N103" s="4">
        <v>24</v>
      </c>
      <c r="P103" s="4">
        <v>22</v>
      </c>
      <c r="T103" s="4">
        <v>24</v>
      </c>
      <c r="V103" s="4" t="s">
        <v>98</v>
      </c>
    </row>
    <row r="104" spans="1:22" s="10" customFormat="1" x14ac:dyDescent="0.3">
      <c r="A104" s="27" t="s">
        <v>23</v>
      </c>
      <c r="B104" s="10" t="s">
        <v>24</v>
      </c>
      <c r="C104" s="10" t="s">
        <v>52</v>
      </c>
      <c r="D104" s="10">
        <v>1</v>
      </c>
      <c r="E104" s="10">
        <v>2</v>
      </c>
      <c r="F104" s="28">
        <v>46060</v>
      </c>
      <c r="H104" s="10">
        <v>10</v>
      </c>
      <c r="I104" s="10" t="s">
        <v>28</v>
      </c>
      <c r="J104" s="10" t="s">
        <v>30</v>
      </c>
      <c r="K104" s="10">
        <v>35</v>
      </c>
      <c r="T104" s="10">
        <v>35</v>
      </c>
      <c r="V104" s="10" t="s">
        <v>99</v>
      </c>
    </row>
    <row r="105" spans="1:22" s="10" customFormat="1" x14ac:dyDescent="0.3">
      <c r="A105" s="27" t="s">
        <v>23</v>
      </c>
      <c r="B105" s="10" t="s">
        <v>24</v>
      </c>
      <c r="C105" s="10" t="s">
        <v>52</v>
      </c>
      <c r="D105" s="10">
        <v>1</v>
      </c>
      <c r="E105" s="10">
        <v>2</v>
      </c>
      <c r="F105" s="28">
        <v>46060</v>
      </c>
      <c r="H105" s="10">
        <v>70</v>
      </c>
      <c r="I105" s="10" t="s">
        <v>36</v>
      </c>
      <c r="J105" s="10">
        <v>15</v>
      </c>
      <c r="K105" s="10" t="s">
        <v>36</v>
      </c>
      <c r="L105" s="10">
        <v>17</v>
      </c>
      <c r="N105" s="10">
        <v>12</v>
      </c>
      <c r="P105" s="10">
        <v>17.5</v>
      </c>
      <c r="R105" s="10">
        <v>14</v>
      </c>
      <c r="T105" s="10">
        <v>17.5</v>
      </c>
      <c r="V105" s="10" t="s">
        <v>54</v>
      </c>
    </row>
    <row r="106" spans="1:22" s="12" customFormat="1" ht="15" thickBot="1" x14ac:dyDescent="0.35">
      <c r="A106" s="11" t="s">
        <v>23</v>
      </c>
      <c r="B106" s="12" t="s">
        <v>24</v>
      </c>
      <c r="C106" s="12" t="s">
        <v>52</v>
      </c>
      <c r="D106" s="12">
        <v>1</v>
      </c>
      <c r="E106" s="12">
        <v>2</v>
      </c>
      <c r="F106" s="13">
        <v>46060</v>
      </c>
      <c r="G106" s="12">
        <f>SUM(H103:H106)</f>
        <v>125</v>
      </c>
      <c r="H106" s="12">
        <v>5</v>
      </c>
      <c r="I106" s="12" t="s">
        <v>29</v>
      </c>
      <c r="J106" s="12" t="s">
        <v>30</v>
      </c>
      <c r="T106" s="12">
        <v>0</v>
      </c>
      <c r="V106" s="12" t="s">
        <v>76</v>
      </c>
    </row>
    <row r="107" spans="1:22" s="6" customFormat="1" x14ac:dyDescent="0.3">
      <c r="A107" s="29" t="s">
        <v>23</v>
      </c>
      <c r="B107" s="6" t="s">
        <v>24</v>
      </c>
      <c r="C107" s="6" t="s">
        <v>52</v>
      </c>
      <c r="D107" s="6">
        <v>1</v>
      </c>
      <c r="E107" s="6">
        <v>6</v>
      </c>
      <c r="F107" s="30">
        <v>46060</v>
      </c>
      <c r="H107" s="6">
        <v>90</v>
      </c>
      <c r="I107" s="6" t="s">
        <v>31</v>
      </c>
      <c r="J107" s="6">
        <v>25</v>
      </c>
      <c r="K107" s="6" t="s">
        <v>31</v>
      </c>
      <c r="L107" s="6">
        <v>31</v>
      </c>
      <c r="N107" s="6">
        <v>22</v>
      </c>
      <c r="P107" s="6">
        <v>22</v>
      </c>
      <c r="R107" s="6">
        <v>23</v>
      </c>
      <c r="T107" s="6">
        <v>31</v>
      </c>
    </row>
    <row r="108" spans="1:22" x14ac:dyDescent="0.3">
      <c r="A108" s="8" t="s">
        <v>23</v>
      </c>
      <c r="B108" t="s">
        <v>24</v>
      </c>
      <c r="C108" t="s">
        <v>52</v>
      </c>
      <c r="D108">
        <v>1</v>
      </c>
      <c r="E108">
        <v>6</v>
      </c>
      <c r="F108" s="9">
        <v>46060</v>
      </c>
      <c r="H108">
        <v>10</v>
      </c>
      <c r="I108" t="s">
        <v>29</v>
      </c>
      <c r="J108" t="s">
        <v>30</v>
      </c>
      <c r="T108">
        <v>0</v>
      </c>
    </row>
    <row r="109" spans="1:22" s="10" customFormat="1" x14ac:dyDescent="0.3">
      <c r="A109" s="27" t="s">
        <v>23</v>
      </c>
      <c r="B109" s="10" t="s">
        <v>24</v>
      </c>
      <c r="C109" s="10" t="s">
        <v>52</v>
      </c>
      <c r="D109" s="10">
        <v>1</v>
      </c>
      <c r="E109" s="10">
        <v>6</v>
      </c>
      <c r="F109" s="28">
        <v>46060</v>
      </c>
      <c r="H109" s="10">
        <v>15</v>
      </c>
      <c r="I109" s="10" t="s">
        <v>28</v>
      </c>
      <c r="J109" s="10">
        <v>31</v>
      </c>
      <c r="K109" s="10" t="s">
        <v>28</v>
      </c>
      <c r="M109" s="10" t="s">
        <v>28</v>
      </c>
      <c r="O109" s="10" t="s">
        <v>28</v>
      </c>
      <c r="P109" s="10">
        <v>30.5</v>
      </c>
      <c r="Q109" s="10" t="s">
        <v>28</v>
      </c>
      <c r="S109" s="10" t="s">
        <v>28</v>
      </c>
      <c r="T109" s="10">
        <v>30.5</v>
      </c>
      <c r="U109" s="10" t="s">
        <v>28</v>
      </c>
      <c r="V109" s="10" t="s">
        <v>55</v>
      </c>
    </row>
    <row r="110" spans="1:22" s="12" customFormat="1" ht="15" thickBot="1" x14ac:dyDescent="0.35">
      <c r="A110" s="11" t="s">
        <v>23</v>
      </c>
      <c r="B110" s="12" t="s">
        <v>24</v>
      </c>
      <c r="C110" s="12" t="s">
        <v>52</v>
      </c>
      <c r="D110" s="12">
        <v>1</v>
      </c>
      <c r="E110" s="12">
        <v>6</v>
      </c>
      <c r="F110" s="13">
        <v>46060</v>
      </c>
      <c r="G110" s="12">
        <f>SUM(H107:H110)</f>
        <v>120</v>
      </c>
      <c r="H110" s="12">
        <v>5</v>
      </c>
      <c r="I110" s="12" t="s">
        <v>36</v>
      </c>
      <c r="J110" s="12" t="s">
        <v>30</v>
      </c>
      <c r="T110" s="12">
        <v>0</v>
      </c>
      <c r="V110" s="12" t="s">
        <v>100</v>
      </c>
    </row>
    <row r="111" spans="1:22" s="6" customFormat="1" x14ac:dyDescent="0.3">
      <c r="A111" s="29" t="s">
        <v>23</v>
      </c>
      <c r="B111" s="6" t="s">
        <v>24</v>
      </c>
      <c r="C111" s="6" t="s">
        <v>52</v>
      </c>
      <c r="D111" s="6">
        <v>1</v>
      </c>
      <c r="E111" s="6">
        <v>12</v>
      </c>
      <c r="F111" s="30">
        <v>46060</v>
      </c>
      <c r="H111" s="6">
        <v>50</v>
      </c>
      <c r="I111" s="6" t="s">
        <v>28</v>
      </c>
      <c r="J111" s="6">
        <v>53</v>
      </c>
      <c r="K111" s="6" t="s">
        <v>28</v>
      </c>
      <c r="L111" s="6">
        <v>49</v>
      </c>
      <c r="M111" s="6" t="s">
        <v>28</v>
      </c>
      <c r="N111" s="6">
        <v>62</v>
      </c>
      <c r="O111" s="6" t="s">
        <v>28</v>
      </c>
      <c r="P111" s="6">
        <v>52</v>
      </c>
      <c r="Q111" s="6" t="s">
        <v>28</v>
      </c>
      <c r="R111" s="6">
        <v>48.5</v>
      </c>
      <c r="S111" s="6" t="s">
        <v>28</v>
      </c>
      <c r="T111" s="6">
        <v>62</v>
      </c>
      <c r="U111" s="6" t="s">
        <v>28</v>
      </c>
      <c r="V111" s="31">
        <v>0.43333333333333335</v>
      </c>
    </row>
    <row r="112" spans="1:22" s="10" customFormat="1" x14ac:dyDescent="0.3">
      <c r="A112" s="27" t="s">
        <v>23</v>
      </c>
      <c r="B112" s="10" t="s">
        <v>24</v>
      </c>
      <c r="C112" s="10" t="s">
        <v>52</v>
      </c>
      <c r="D112" s="10">
        <v>1</v>
      </c>
      <c r="E112" s="10">
        <v>12</v>
      </c>
      <c r="F112" s="28">
        <v>46060</v>
      </c>
      <c r="H112" s="10">
        <v>15</v>
      </c>
      <c r="I112" s="10" t="s">
        <v>56</v>
      </c>
      <c r="J112" s="10">
        <v>81</v>
      </c>
      <c r="K112" s="10" t="s">
        <v>26</v>
      </c>
      <c r="L112" s="10">
        <v>59.5</v>
      </c>
      <c r="N112" s="10">
        <v>98</v>
      </c>
      <c r="P112" s="10">
        <v>85</v>
      </c>
      <c r="R112" s="10" t="s">
        <v>30</v>
      </c>
      <c r="T112" s="10">
        <v>98</v>
      </c>
    </row>
    <row r="113" spans="1:23" x14ac:dyDescent="0.3">
      <c r="A113" s="8" t="s">
        <v>23</v>
      </c>
      <c r="B113" t="s">
        <v>24</v>
      </c>
      <c r="C113" t="s">
        <v>52</v>
      </c>
      <c r="D113">
        <v>1</v>
      </c>
      <c r="E113">
        <v>12</v>
      </c>
      <c r="F113" s="9">
        <v>46060</v>
      </c>
      <c r="H113">
        <v>5</v>
      </c>
      <c r="I113" t="s">
        <v>50</v>
      </c>
      <c r="J113" t="s">
        <v>30</v>
      </c>
      <c r="T113">
        <v>0</v>
      </c>
      <c r="V113" t="s">
        <v>101</v>
      </c>
    </row>
    <row r="114" spans="1:23" s="12" customFormat="1" ht="15" thickBot="1" x14ac:dyDescent="0.35">
      <c r="A114" s="11" t="s">
        <v>23</v>
      </c>
      <c r="B114" s="12" t="s">
        <v>24</v>
      </c>
      <c r="C114" s="12" t="s">
        <v>52</v>
      </c>
      <c r="D114" s="12">
        <v>1</v>
      </c>
      <c r="E114" s="12">
        <v>12</v>
      </c>
      <c r="F114" s="13">
        <v>46060</v>
      </c>
      <c r="G114" s="12">
        <f>SUM(H111:H114)</f>
        <v>120</v>
      </c>
      <c r="H114" s="12">
        <v>50</v>
      </c>
      <c r="I114" s="12" t="s">
        <v>29</v>
      </c>
      <c r="J114" s="12" t="s">
        <v>30</v>
      </c>
      <c r="T114" s="12">
        <v>0</v>
      </c>
    </row>
    <row r="115" spans="1:23" s="6" customFormat="1" x14ac:dyDescent="0.3">
      <c r="A115" s="29" t="s">
        <v>23</v>
      </c>
      <c r="B115" s="6" t="s">
        <v>24</v>
      </c>
      <c r="C115" s="6" t="s">
        <v>52</v>
      </c>
      <c r="D115" s="6">
        <v>1</v>
      </c>
      <c r="E115" s="6">
        <v>18</v>
      </c>
      <c r="F115" s="30">
        <v>46060</v>
      </c>
      <c r="H115" s="6">
        <v>65</v>
      </c>
      <c r="I115" s="6" t="s">
        <v>28</v>
      </c>
      <c r="J115" s="6">
        <v>46</v>
      </c>
      <c r="K115" s="6" t="s">
        <v>28</v>
      </c>
      <c r="L115" s="6">
        <v>48</v>
      </c>
      <c r="M115" s="6" t="s">
        <v>28</v>
      </c>
      <c r="N115" s="6">
        <v>43</v>
      </c>
      <c r="O115" s="6" t="s">
        <v>28</v>
      </c>
      <c r="P115" s="6">
        <v>45</v>
      </c>
      <c r="Q115" s="6" t="s">
        <v>28</v>
      </c>
      <c r="R115" s="6">
        <v>47</v>
      </c>
      <c r="S115" s="6" t="s">
        <v>28</v>
      </c>
      <c r="T115" s="6">
        <v>48</v>
      </c>
      <c r="U115" s="6" t="s">
        <v>28</v>
      </c>
      <c r="V115" s="6" t="s">
        <v>57</v>
      </c>
    </row>
    <row r="116" spans="1:23" x14ac:dyDescent="0.3">
      <c r="A116" s="8" t="s">
        <v>23</v>
      </c>
      <c r="B116" t="s">
        <v>24</v>
      </c>
      <c r="C116" t="s">
        <v>52</v>
      </c>
      <c r="D116">
        <v>1</v>
      </c>
      <c r="E116">
        <v>18</v>
      </c>
      <c r="F116" s="9">
        <v>46060</v>
      </c>
      <c r="H116">
        <v>10</v>
      </c>
      <c r="I116" t="s">
        <v>31</v>
      </c>
      <c r="J116" t="s">
        <v>30</v>
      </c>
      <c r="T116">
        <v>0</v>
      </c>
    </row>
    <row r="117" spans="1:23" s="10" customFormat="1" x14ac:dyDescent="0.3">
      <c r="A117" s="27" t="s">
        <v>23</v>
      </c>
      <c r="B117" s="10" t="s">
        <v>24</v>
      </c>
      <c r="C117" s="10" t="s">
        <v>52</v>
      </c>
      <c r="D117" s="10">
        <v>1</v>
      </c>
      <c r="E117" s="10">
        <v>18</v>
      </c>
      <c r="F117" s="28">
        <v>46060</v>
      </c>
      <c r="H117" s="10">
        <v>30</v>
      </c>
      <c r="I117" s="10" t="s">
        <v>26</v>
      </c>
      <c r="J117" s="10">
        <v>73</v>
      </c>
      <c r="K117" s="10" t="s">
        <v>26</v>
      </c>
      <c r="L117" s="10">
        <v>81</v>
      </c>
      <c r="N117" s="10">
        <v>78</v>
      </c>
      <c r="P117" s="10">
        <v>61.5</v>
      </c>
      <c r="R117" s="10">
        <v>71.5</v>
      </c>
      <c r="T117" s="10">
        <v>81</v>
      </c>
    </row>
    <row r="118" spans="1:23" s="12" customFormat="1" ht="15" thickBot="1" x14ac:dyDescent="0.35">
      <c r="A118" s="11" t="s">
        <v>23</v>
      </c>
      <c r="B118" s="12" t="s">
        <v>24</v>
      </c>
      <c r="C118" s="12" t="s">
        <v>52</v>
      </c>
      <c r="D118" s="12">
        <v>1</v>
      </c>
      <c r="E118" s="12">
        <v>18</v>
      </c>
      <c r="F118" s="13">
        <v>46060</v>
      </c>
      <c r="G118" s="12">
        <f>SUM(H115:H118)</f>
        <v>170</v>
      </c>
      <c r="H118" s="12">
        <v>65</v>
      </c>
      <c r="I118" s="12" t="s">
        <v>29</v>
      </c>
      <c r="J118" s="12" t="s">
        <v>30</v>
      </c>
      <c r="T118" s="12">
        <v>0</v>
      </c>
    </row>
    <row r="119" spans="1:23" s="6" customFormat="1" x14ac:dyDescent="0.3">
      <c r="A119" s="29" t="s">
        <v>23</v>
      </c>
      <c r="B119" s="6" t="s">
        <v>24</v>
      </c>
      <c r="C119" s="6" t="s">
        <v>52</v>
      </c>
      <c r="D119" s="6">
        <v>1</v>
      </c>
      <c r="E119" s="6">
        <v>24</v>
      </c>
      <c r="F119" s="30">
        <v>46060</v>
      </c>
      <c r="H119" s="6">
        <v>70</v>
      </c>
      <c r="I119" s="6" t="s">
        <v>28</v>
      </c>
      <c r="J119" s="6">
        <v>46</v>
      </c>
      <c r="K119" s="6" t="s">
        <v>28</v>
      </c>
      <c r="L119" s="6">
        <v>41</v>
      </c>
      <c r="M119" s="6" t="s">
        <v>28</v>
      </c>
      <c r="N119" s="6">
        <v>45</v>
      </c>
      <c r="O119" s="6" t="s">
        <v>28</v>
      </c>
      <c r="P119" s="6">
        <v>41.5</v>
      </c>
      <c r="Q119" s="6" t="s">
        <v>28</v>
      </c>
      <c r="R119" s="6">
        <v>56</v>
      </c>
      <c r="S119" s="6" t="s">
        <v>28</v>
      </c>
      <c r="T119" s="6">
        <v>56</v>
      </c>
      <c r="U119" s="6" t="s">
        <v>28</v>
      </c>
      <c r="V119" s="31">
        <v>0.40763888888888888</v>
      </c>
      <c r="W119" s="6" t="s">
        <v>103</v>
      </c>
    </row>
    <row r="120" spans="1:23" x14ac:dyDescent="0.3">
      <c r="A120" s="8" t="s">
        <v>23</v>
      </c>
      <c r="B120" t="s">
        <v>24</v>
      </c>
      <c r="C120" t="s">
        <v>52</v>
      </c>
      <c r="D120">
        <v>1</v>
      </c>
      <c r="E120">
        <v>24</v>
      </c>
      <c r="F120" s="9">
        <v>46060</v>
      </c>
      <c r="H120">
        <v>35</v>
      </c>
      <c r="I120" t="s">
        <v>36</v>
      </c>
      <c r="J120" t="s">
        <v>30</v>
      </c>
      <c r="T120">
        <v>0</v>
      </c>
    </row>
    <row r="121" spans="1:23" s="10" customFormat="1" x14ac:dyDescent="0.3">
      <c r="A121" s="27" t="s">
        <v>23</v>
      </c>
      <c r="B121" s="10" t="s">
        <v>24</v>
      </c>
      <c r="C121" s="10" t="s">
        <v>52</v>
      </c>
      <c r="D121" s="10">
        <v>1</v>
      </c>
      <c r="E121" s="10">
        <v>24</v>
      </c>
      <c r="F121" s="28">
        <v>46060</v>
      </c>
      <c r="H121" s="10">
        <v>30</v>
      </c>
      <c r="I121" s="10" t="s">
        <v>26</v>
      </c>
      <c r="J121" s="10">
        <v>68</v>
      </c>
      <c r="K121" s="10" t="s">
        <v>26</v>
      </c>
      <c r="L121" s="10">
        <v>74</v>
      </c>
      <c r="N121" s="10">
        <v>60</v>
      </c>
      <c r="P121" s="10">
        <v>70</v>
      </c>
      <c r="R121" s="10">
        <v>66</v>
      </c>
      <c r="T121" s="10">
        <v>74</v>
      </c>
      <c r="V121" s="10" t="s">
        <v>102</v>
      </c>
    </row>
    <row r="122" spans="1:23" x14ac:dyDescent="0.3">
      <c r="A122" s="8" t="s">
        <v>23</v>
      </c>
      <c r="B122" t="s">
        <v>24</v>
      </c>
      <c r="C122" t="s">
        <v>52</v>
      </c>
      <c r="D122">
        <v>1</v>
      </c>
      <c r="E122">
        <v>24</v>
      </c>
      <c r="F122" s="9">
        <v>46060</v>
      </c>
      <c r="H122">
        <v>25</v>
      </c>
      <c r="I122" t="s">
        <v>29</v>
      </c>
      <c r="J122" t="s">
        <v>30</v>
      </c>
      <c r="T122">
        <v>0</v>
      </c>
    </row>
    <row r="123" spans="1:23" s="12" customFormat="1" ht="15" thickBot="1" x14ac:dyDescent="0.35">
      <c r="A123" s="11" t="s">
        <v>23</v>
      </c>
      <c r="B123" s="12" t="s">
        <v>24</v>
      </c>
      <c r="C123" s="12" t="s">
        <v>52</v>
      </c>
      <c r="D123" s="12">
        <v>1</v>
      </c>
      <c r="E123" s="12">
        <v>24</v>
      </c>
      <c r="F123" s="13">
        <v>46060</v>
      </c>
      <c r="G123" s="12">
        <f>SUM(H119:H123)</f>
        <v>195</v>
      </c>
      <c r="H123" s="12">
        <v>35</v>
      </c>
      <c r="I123" s="12" t="s">
        <v>50</v>
      </c>
      <c r="J123" s="12" t="s">
        <v>30</v>
      </c>
      <c r="T123" s="12">
        <v>0</v>
      </c>
    </row>
    <row r="124" spans="1:23" s="4" customFormat="1" x14ac:dyDescent="0.3">
      <c r="A124" s="3" t="s">
        <v>23</v>
      </c>
      <c r="B124" s="4" t="s">
        <v>24</v>
      </c>
      <c r="C124" s="4" t="s">
        <v>52</v>
      </c>
      <c r="D124" s="4">
        <v>1</v>
      </c>
      <c r="E124" s="4">
        <v>48</v>
      </c>
      <c r="F124" s="5">
        <v>46060</v>
      </c>
      <c r="H124" s="4">
        <v>15</v>
      </c>
      <c r="I124" s="4" t="s">
        <v>29</v>
      </c>
      <c r="J124" s="4" t="s">
        <v>30</v>
      </c>
      <c r="T124" s="4">
        <v>0</v>
      </c>
    </row>
    <row r="125" spans="1:23" s="10" customFormat="1" x14ac:dyDescent="0.3">
      <c r="A125" s="27" t="s">
        <v>23</v>
      </c>
      <c r="B125" s="10" t="s">
        <v>24</v>
      </c>
      <c r="C125" s="10" t="s">
        <v>52</v>
      </c>
      <c r="D125" s="10">
        <v>1</v>
      </c>
      <c r="E125" s="10">
        <v>48</v>
      </c>
      <c r="F125" s="28">
        <v>46060</v>
      </c>
      <c r="H125" s="10">
        <v>75</v>
      </c>
      <c r="I125" s="10" t="s">
        <v>31</v>
      </c>
      <c r="J125" s="10">
        <v>34</v>
      </c>
      <c r="K125" s="10" t="s">
        <v>31</v>
      </c>
      <c r="L125" s="10">
        <v>33</v>
      </c>
      <c r="N125" s="10">
        <v>39</v>
      </c>
      <c r="P125" s="10">
        <v>33.5</v>
      </c>
      <c r="R125" s="10">
        <v>32</v>
      </c>
      <c r="T125" s="10">
        <v>39</v>
      </c>
      <c r="V125" s="35">
        <v>0.39583333333333331</v>
      </c>
    </row>
    <row r="126" spans="1:23" s="14" customFormat="1" ht="15" thickBot="1" x14ac:dyDescent="0.35">
      <c r="A126" s="32" t="s">
        <v>23</v>
      </c>
      <c r="B126" s="14" t="s">
        <v>24</v>
      </c>
      <c r="C126" s="14" t="s">
        <v>52</v>
      </c>
      <c r="D126" s="14">
        <v>1</v>
      </c>
      <c r="E126" s="14">
        <v>48</v>
      </c>
      <c r="F126" s="33">
        <v>46060</v>
      </c>
      <c r="G126" s="14">
        <v>105</v>
      </c>
      <c r="H126" s="14">
        <v>15</v>
      </c>
      <c r="I126" s="14" t="s">
        <v>28</v>
      </c>
      <c r="J126" s="14" t="s">
        <v>30</v>
      </c>
      <c r="T126" s="14">
        <v>0</v>
      </c>
      <c r="W126" s="14" t="s">
        <v>104</v>
      </c>
    </row>
    <row r="127" spans="1:23" s="6" customFormat="1" x14ac:dyDescent="0.3">
      <c r="A127" s="29" t="s">
        <v>23</v>
      </c>
      <c r="B127" s="6" t="s">
        <v>24</v>
      </c>
      <c r="C127" s="6" t="s">
        <v>52</v>
      </c>
      <c r="D127" s="6">
        <v>2</v>
      </c>
      <c r="E127" s="6">
        <v>0.5</v>
      </c>
      <c r="F127" s="30">
        <v>46060</v>
      </c>
      <c r="H127" s="6">
        <v>55</v>
      </c>
      <c r="I127" s="6" t="s">
        <v>28</v>
      </c>
      <c r="J127" s="6">
        <v>35</v>
      </c>
      <c r="K127" s="6" t="s">
        <v>28</v>
      </c>
      <c r="L127" s="6">
        <v>37.5</v>
      </c>
      <c r="M127" s="6" t="s">
        <v>28</v>
      </c>
      <c r="N127" s="6">
        <v>39</v>
      </c>
      <c r="O127" s="6" t="s">
        <v>28</v>
      </c>
      <c r="P127" s="6">
        <v>25.5</v>
      </c>
      <c r="Q127" s="6" t="s">
        <v>28</v>
      </c>
      <c r="R127" s="6">
        <v>37</v>
      </c>
      <c r="S127" s="6" t="s">
        <v>28</v>
      </c>
      <c r="T127" s="6">
        <v>39</v>
      </c>
      <c r="U127" s="6" t="s">
        <v>28</v>
      </c>
      <c r="V127" s="31">
        <v>0.48680555555555555</v>
      </c>
    </row>
    <row r="128" spans="1:23" s="10" customFormat="1" x14ac:dyDescent="0.3">
      <c r="A128" s="27" t="s">
        <v>23</v>
      </c>
      <c r="B128" s="10" t="s">
        <v>24</v>
      </c>
      <c r="C128" s="10" t="s">
        <v>52</v>
      </c>
      <c r="D128" s="10">
        <v>2</v>
      </c>
      <c r="E128" s="10">
        <v>0.5</v>
      </c>
      <c r="F128" s="28">
        <v>46060</v>
      </c>
      <c r="H128" s="10">
        <v>50</v>
      </c>
      <c r="I128" s="10" t="s">
        <v>36</v>
      </c>
      <c r="J128" s="10" t="s">
        <v>30</v>
      </c>
      <c r="T128" s="10">
        <v>0</v>
      </c>
      <c r="W128" s="10" t="s">
        <v>105</v>
      </c>
    </row>
    <row r="129" spans="1:23" x14ac:dyDescent="0.3">
      <c r="A129" s="8" t="s">
        <v>23</v>
      </c>
      <c r="B129" t="s">
        <v>24</v>
      </c>
      <c r="C129" t="s">
        <v>52</v>
      </c>
      <c r="D129">
        <v>2</v>
      </c>
      <c r="E129">
        <v>0.5</v>
      </c>
      <c r="F129" s="9">
        <v>46060</v>
      </c>
      <c r="H129">
        <v>35</v>
      </c>
      <c r="I129" t="s">
        <v>31</v>
      </c>
      <c r="J129" t="s">
        <v>30</v>
      </c>
      <c r="T129">
        <v>0</v>
      </c>
    </row>
    <row r="130" spans="1:23" s="12" customFormat="1" ht="15" thickBot="1" x14ac:dyDescent="0.35">
      <c r="A130" s="11" t="s">
        <v>23</v>
      </c>
      <c r="B130" s="12" t="s">
        <v>24</v>
      </c>
      <c r="C130" s="12" t="s">
        <v>52</v>
      </c>
      <c r="D130" s="12">
        <v>2</v>
      </c>
      <c r="E130" s="12">
        <v>0.5</v>
      </c>
      <c r="F130" s="13">
        <v>46060</v>
      </c>
      <c r="G130" s="12">
        <v>165</v>
      </c>
      <c r="H130" s="12">
        <v>25</v>
      </c>
      <c r="I130" s="12" t="s">
        <v>29</v>
      </c>
      <c r="J130" s="12" t="s">
        <v>30</v>
      </c>
      <c r="T130" s="12">
        <v>0</v>
      </c>
    </row>
    <row r="131" spans="1:23" s="6" customFormat="1" x14ac:dyDescent="0.3">
      <c r="A131" s="29" t="s">
        <v>23</v>
      </c>
      <c r="B131" s="6" t="s">
        <v>24</v>
      </c>
      <c r="C131" s="6" t="s">
        <v>52</v>
      </c>
      <c r="D131" s="6">
        <v>2</v>
      </c>
      <c r="E131" s="6">
        <v>2</v>
      </c>
      <c r="F131" s="30">
        <v>46060</v>
      </c>
      <c r="H131" s="6">
        <v>30</v>
      </c>
      <c r="I131" s="6" t="s">
        <v>28</v>
      </c>
      <c r="J131" s="6">
        <v>32</v>
      </c>
      <c r="K131" s="6" t="s">
        <v>28</v>
      </c>
      <c r="L131" s="6">
        <v>31.5</v>
      </c>
      <c r="M131" s="6" t="s">
        <v>28</v>
      </c>
      <c r="N131" s="6" t="s">
        <v>30</v>
      </c>
      <c r="O131" s="6" t="s">
        <v>28</v>
      </c>
      <c r="P131" s="6" t="s">
        <v>30</v>
      </c>
      <c r="Q131" s="6" t="s">
        <v>28</v>
      </c>
      <c r="R131" s="6" t="s">
        <v>30</v>
      </c>
      <c r="S131" s="6" t="s">
        <v>28</v>
      </c>
      <c r="T131" s="6">
        <v>31.5</v>
      </c>
      <c r="U131" s="6" t="s">
        <v>28</v>
      </c>
      <c r="V131" s="6" t="s">
        <v>58</v>
      </c>
    </row>
    <row r="132" spans="1:23" s="10" customFormat="1" x14ac:dyDescent="0.3">
      <c r="A132" s="27" t="s">
        <v>23</v>
      </c>
      <c r="B132" s="10" t="s">
        <v>24</v>
      </c>
      <c r="C132" s="10" t="s">
        <v>52</v>
      </c>
      <c r="D132" s="10">
        <v>2</v>
      </c>
      <c r="E132" s="10">
        <v>2</v>
      </c>
      <c r="F132" s="28">
        <v>46060</v>
      </c>
      <c r="H132" s="10">
        <v>60</v>
      </c>
      <c r="I132" s="10" t="s">
        <v>36</v>
      </c>
      <c r="J132" s="10">
        <v>13</v>
      </c>
      <c r="K132" s="10" t="s">
        <v>36</v>
      </c>
      <c r="L132" s="10">
        <v>15</v>
      </c>
      <c r="N132" s="10">
        <v>12</v>
      </c>
      <c r="P132" s="10">
        <v>13</v>
      </c>
      <c r="R132" s="10">
        <v>11</v>
      </c>
      <c r="T132" s="10">
        <v>15</v>
      </c>
    </row>
    <row r="133" spans="1:23" x14ac:dyDescent="0.3">
      <c r="A133" s="8" t="s">
        <v>23</v>
      </c>
      <c r="B133" t="s">
        <v>24</v>
      </c>
      <c r="C133" t="s">
        <v>52</v>
      </c>
      <c r="D133">
        <v>2</v>
      </c>
      <c r="E133">
        <v>2</v>
      </c>
      <c r="F133" s="9">
        <v>46060</v>
      </c>
      <c r="H133">
        <v>40</v>
      </c>
      <c r="I133" t="s">
        <v>31</v>
      </c>
      <c r="J133">
        <v>21</v>
      </c>
      <c r="K133" t="s">
        <v>31</v>
      </c>
      <c r="L133" t="s">
        <v>30</v>
      </c>
      <c r="N133">
        <v>20</v>
      </c>
      <c r="P133">
        <v>28</v>
      </c>
      <c r="R133">
        <v>16</v>
      </c>
      <c r="T133">
        <v>28</v>
      </c>
    </row>
    <row r="134" spans="1:23" s="12" customFormat="1" ht="15" thickBot="1" x14ac:dyDescent="0.35">
      <c r="A134" s="11" t="s">
        <v>23</v>
      </c>
      <c r="B134" s="12" t="s">
        <v>24</v>
      </c>
      <c r="C134" s="12" t="s">
        <v>52</v>
      </c>
      <c r="D134" s="12">
        <v>2</v>
      </c>
      <c r="E134" s="12">
        <v>2</v>
      </c>
      <c r="F134" s="13">
        <v>46060</v>
      </c>
      <c r="G134" s="12">
        <v>140</v>
      </c>
      <c r="H134" s="12">
        <v>10</v>
      </c>
      <c r="I134" s="12" t="s">
        <v>29</v>
      </c>
      <c r="J134" s="12" t="s">
        <v>30</v>
      </c>
      <c r="T134" s="12">
        <v>0</v>
      </c>
    </row>
    <row r="135" spans="1:23" s="6" customFormat="1" x14ac:dyDescent="0.3">
      <c r="A135" s="29" t="s">
        <v>23</v>
      </c>
      <c r="B135" s="6" t="s">
        <v>24</v>
      </c>
      <c r="C135" s="6" t="s">
        <v>52</v>
      </c>
      <c r="D135" s="6">
        <v>2</v>
      </c>
      <c r="E135" s="6">
        <v>6</v>
      </c>
      <c r="F135" s="30">
        <v>46060</v>
      </c>
      <c r="H135" s="6">
        <v>45</v>
      </c>
      <c r="I135" s="6" t="s">
        <v>28</v>
      </c>
      <c r="J135" s="6">
        <v>48</v>
      </c>
      <c r="K135" s="6" t="s">
        <v>28</v>
      </c>
      <c r="L135" s="6">
        <v>38</v>
      </c>
      <c r="M135" s="6" t="s">
        <v>28</v>
      </c>
      <c r="N135" s="6">
        <v>47</v>
      </c>
      <c r="O135" s="6" t="s">
        <v>28</v>
      </c>
      <c r="P135" s="6">
        <v>57</v>
      </c>
      <c r="Q135" s="6" t="s">
        <v>28</v>
      </c>
      <c r="R135" s="6">
        <v>51</v>
      </c>
      <c r="S135" s="6" t="s">
        <v>28</v>
      </c>
      <c r="T135" s="6">
        <v>57</v>
      </c>
      <c r="U135" s="6" t="s">
        <v>28</v>
      </c>
      <c r="V135" s="31">
        <v>0.50277777777777777</v>
      </c>
    </row>
    <row r="136" spans="1:23" x14ac:dyDescent="0.3">
      <c r="A136" s="8" t="s">
        <v>23</v>
      </c>
      <c r="B136" t="s">
        <v>24</v>
      </c>
      <c r="C136" t="s">
        <v>52</v>
      </c>
      <c r="D136">
        <v>2</v>
      </c>
      <c r="E136">
        <v>6</v>
      </c>
      <c r="F136" s="9">
        <v>46060</v>
      </c>
      <c r="H136">
        <v>30</v>
      </c>
      <c r="I136" t="s">
        <v>36</v>
      </c>
      <c r="J136" t="s">
        <v>30</v>
      </c>
      <c r="T136">
        <v>0</v>
      </c>
      <c r="V136" t="s">
        <v>73</v>
      </c>
    </row>
    <row r="137" spans="1:23" x14ac:dyDescent="0.3">
      <c r="A137" s="8" t="s">
        <v>23</v>
      </c>
      <c r="B137" t="s">
        <v>24</v>
      </c>
      <c r="C137" t="s">
        <v>52</v>
      </c>
      <c r="D137">
        <v>2</v>
      </c>
      <c r="E137">
        <v>6</v>
      </c>
      <c r="F137" s="9">
        <v>46060</v>
      </c>
      <c r="H137">
        <v>30</v>
      </c>
      <c r="I137" t="s">
        <v>31</v>
      </c>
      <c r="J137" t="s">
        <v>30</v>
      </c>
      <c r="T137">
        <v>0</v>
      </c>
    </row>
    <row r="138" spans="1:23" s="10" customFormat="1" x14ac:dyDescent="0.3">
      <c r="A138" s="27" t="s">
        <v>23</v>
      </c>
      <c r="B138" s="10" t="s">
        <v>24</v>
      </c>
      <c r="C138" s="10" t="s">
        <v>52</v>
      </c>
      <c r="D138" s="10">
        <v>2</v>
      </c>
      <c r="E138" s="10">
        <v>6</v>
      </c>
      <c r="F138" s="28">
        <v>46060</v>
      </c>
      <c r="H138" s="10">
        <v>20</v>
      </c>
      <c r="I138" s="10" t="s">
        <v>26</v>
      </c>
      <c r="J138" s="10">
        <v>70</v>
      </c>
      <c r="K138" s="10" t="s">
        <v>26</v>
      </c>
      <c r="L138" s="10">
        <v>66</v>
      </c>
      <c r="N138" s="10" t="s">
        <v>30</v>
      </c>
      <c r="P138" s="10">
        <v>81</v>
      </c>
      <c r="R138" s="10">
        <v>63</v>
      </c>
      <c r="T138" s="10">
        <v>81</v>
      </c>
    </row>
    <row r="139" spans="1:23" s="12" customFormat="1" ht="15" thickBot="1" x14ac:dyDescent="0.35">
      <c r="A139" s="11" t="s">
        <v>23</v>
      </c>
      <c r="B139" s="12" t="s">
        <v>24</v>
      </c>
      <c r="C139" s="12" t="s">
        <v>52</v>
      </c>
      <c r="D139" s="12">
        <v>2</v>
      </c>
      <c r="E139" s="12">
        <v>6</v>
      </c>
      <c r="F139" s="13">
        <v>46060</v>
      </c>
      <c r="G139" s="12">
        <v>155</v>
      </c>
      <c r="H139" s="12">
        <v>30</v>
      </c>
      <c r="I139" s="12" t="s">
        <v>29</v>
      </c>
      <c r="J139" s="12" t="s">
        <v>30</v>
      </c>
      <c r="T139" s="12">
        <v>0</v>
      </c>
    </row>
    <row r="140" spans="1:23" s="4" customFormat="1" x14ac:dyDescent="0.3">
      <c r="A140" s="3" t="s">
        <v>23</v>
      </c>
      <c r="B140" s="4" t="s">
        <v>24</v>
      </c>
      <c r="C140" s="4" t="s">
        <v>52</v>
      </c>
      <c r="D140" s="4">
        <v>2</v>
      </c>
      <c r="E140" s="4">
        <v>12</v>
      </c>
      <c r="F140" s="5">
        <v>46060</v>
      </c>
      <c r="H140" s="4">
        <v>70</v>
      </c>
      <c r="I140" s="4" t="s">
        <v>29</v>
      </c>
      <c r="J140" s="4" t="s">
        <v>30</v>
      </c>
      <c r="T140" s="4">
        <v>0</v>
      </c>
      <c r="V140" s="7">
        <v>0.51111111111111107</v>
      </c>
    </row>
    <row r="141" spans="1:23" s="10" customFormat="1" x14ac:dyDescent="0.3">
      <c r="A141" s="27" t="s">
        <v>23</v>
      </c>
      <c r="B141" s="10" t="s">
        <v>24</v>
      </c>
      <c r="C141" s="10" t="s">
        <v>52</v>
      </c>
      <c r="D141" s="10">
        <v>2</v>
      </c>
      <c r="E141" s="10">
        <v>12</v>
      </c>
      <c r="F141" s="28">
        <v>46060</v>
      </c>
      <c r="H141" s="10">
        <v>50</v>
      </c>
      <c r="I141" s="10" t="s">
        <v>28</v>
      </c>
      <c r="J141" s="10">
        <v>45</v>
      </c>
      <c r="K141" s="10" t="s">
        <v>28</v>
      </c>
      <c r="L141" s="10">
        <v>55</v>
      </c>
      <c r="M141" s="10" t="s">
        <v>28</v>
      </c>
      <c r="N141" s="10">
        <v>26</v>
      </c>
      <c r="O141" s="10" t="s">
        <v>28</v>
      </c>
      <c r="P141" s="10">
        <v>42.5</v>
      </c>
      <c r="Q141" s="10" t="s">
        <v>28</v>
      </c>
      <c r="R141" s="10">
        <v>57</v>
      </c>
      <c r="S141" s="10" t="s">
        <v>28</v>
      </c>
      <c r="T141" s="10">
        <v>57</v>
      </c>
      <c r="U141" s="10" t="s">
        <v>28</v>
      </c>
    </row>
    <row r="142" spans="1:23" x14ac:dyDescent="0.3">
      <c r="A142" s="8" t="s">
        <v>23</v>
      </c>
      <c r="B142" t="s">
        <v>24</v>
      </c>
      <c r="C142" t="s">
        <v>52</v>
      </c>
      <c r="D142">
        <v>2</v>
      </c>
      <c r="E142">
        <v>12</v>
      </c>
      <c r="F142" s="9">
        <v>46060</v>
      </c>
      <c r="H142">
        <v>30</v>
      </c>
      <c r="I142" t="s">
        <v>36</v>
      </c>
      <c r="J142" t="s">
        <v>30</v>
      </c>
      <c r="T142">
        <v>0</v>
      </c>
      <c r="W142" t="s">
        <v>106</v>
      </c>
    </row>
    <row r="143" spans="1:23" x14ac:dyDescent="0.3">
      <c r="A143" s="8" t="s">
        <v>23</v>
      </c>
      <c r="B143" t="s">
        <v>24</v>
      </c>
      <c r="C143" t="s">
        <v>52</v>
      </c>
      <c r="D143">
        <v>2</v>
      </c>
      <c r="E143">
        <v>12</v>
      </c>
      <c r="F143" s="9">
        <v>46060</v>
      </c>
      <c r="H143">
        <v>20</v>
      </c>
      <c r="I143" t="s">
        <v>31</v>
      </c>
      <c r="J143" t="s">
        <v>30</v>
      </c>
      <c r="T143">
        <v>0</v>
      </c>
    </row>
    <row r="144" spans="1:23" s="12" customFormat="1" ht="15" thickBot="1" x14ac:dyDescent="0.35">
      <c r="A144" s="11" t="s">
        <v>23</v>
      </c>
      <c r="B144" s="12" t="s">
        <v>24</v>
      </c>
      <c r="C144" s="12" t="s">
        <v>52</v>
      </c>
      <c r="D144" s="12">
        <v>2</v>
      </c>
      <c r="E144" s="12">
        <v>12</v>
      </c>
      <c r="F144" s="13">
        <v>46060</v>
      </c>
      <c r="G144" s="12">
        <v>185</v>
      </c>
      <c r="H144" s="12">
        <v>15</v>
      </c>
      <c r="I144" s="12" t="s">
        <v>26</v>
      </c>
      <c r="J144" s="12">
        <v>55</v>
      </c>
      <c r="K144" s="12" t="s">
        <v>26</v>
      </c>
      <c r="L144" s="12" t="s">
        <v>30</v>
      </c>
      <c r="N144" s="12">
        <v>46.5</v>
      </c>
      <c r="P144" s="12">
        <v>59.5</v>
      </c>
      <c r="R144" s="12">
        <v>59.5</v>
      </c>
      <c r="T144" s="12">
        <v>59.5</v>
      </c>
    </row>
    <row r="145" spans="1:23" s="4" customFormat="1" x14ac:dyDescent="0.3">
      <c r="A145" s="3" t="s">
        <v>23</v>
      </c>
      <c r="B145" s="4" t="s">
        <v>24</v>
      </c>
      <c r="C145" s="4" t="s">
        <v>52</v>
      </c>
      <c r="D145" s="4">
        <v>2</v>
      </c>
      <c r="E145" s="4">
        <v>18</v>
      </c>
      <c r="F145" s="5">
        <v>46060</v>
      </c>
      <c r="H145" s="4">
        <v>60</v>
      </c>
      <c r="I145" s="4" t="s">
        <v>29</v>
      </c>
      <c r="J145" s="4" t="s">
        <v>30</v>
      </c>
      <c r="T145" s="4">
        <v>0</v>
      </c>
      <c r="V145" s="7">
        <v>0.5180555555555556</v>
      </c>
    </row>
    <row r="146" spans="1:23" s="10" customFormat="1" x14ac:dyDescent="0.3">
      <c r="A146" s="27" t="s">
        <v>23</v>
      </c>
      <c r="B146" s="10" t="s">
        <v>24</v>
      </c>
      <c r="C146" s="10" t="s">
        <v>52</v>
      </c>
      <c r="D146" s="10">
        <v>2</v>
      </c>
      <c r="E146" s="10">
        <v>18</v>
      </c>
      <c r="F146" s="28">
        <v>46060</v>
      </c>
      <c r="H146" s="10">
        <v>45</v>
      </c>
      <c r="I146" s="10" t="s">
        <v>28</v>
      </c>
      <c r="J146" s="10">
        <v>48</v>
      </c>
      <c r="K146" s="10" t="s">
        <v>28</v>
      </c>
      <c r="L146" s="10">
        <v>42.5</v>
      </c>
      <c r="M146" s="10" t="s">
        <v>28</v>
      </c>
      <c r="N146" s="10">
        <v>50</v>
      </c>
      <c r="O146" s="10" t="s">
        <v>28</v>
      </c>
      <c r="P146" s="10">
        <v>55</v>
      </c>
      <c r="Q146" s="10" t="s">
        <v>28</v>
      </c>
      <c r="R146" s="10">
        <v>44</v>
      </c>
      <c r="S146" s="10" t="s">
        <v>28</v>
      </c>
      <c r="T146" s="10">
        <v>55</v>
      </c>
      <c r="U146" s="10" t="s">
        <v>28</v>
      </c>
    </row>
    <row r="147" spans="1:23" s="10" customFormat="1" x14ac:dyDescent="0.3">
      <c r="A147" s="27" t="s">
        <v>23</v>
      </c>
      <c r="B147" s="10" t="s">
        <v>24</v>
      </c>
      <c r="C147" s="10" t="s">
        <v>52</v>
      </c>
      <c r="D147" s="10">
        <v>2</v>
      </c>
      <c r="E147" s="10">
        <v>18</v>
      </c>
      <c r="F147" s="28">
        <v>46060</v>
      </c>
      <c r="H147" s="10">
        <v>40</v>
      </c>
      <c r="I147" s="10" t="s">
        <v>26</v>
      </c>
      <c r="J147" s="10">
        <v>66</v>
      </c>
      <c r="K147" s="10" t="s">
        <v>26</v>
      </c>
      <c r="L147" s="10">
        <v>58.5</v>
      </c>
      <c r="N147" s="10">
        <v>68</v>
      </c>
      <c r="P147" s="10">
        <v>70</v>
      </c>
      <c r="R147" s="10">
        <v>66</v>
      </c>
      <c r="T147" s="10">
        <v>70</v>
      </c>
    </row>
    <row r="148" spans="1:23" x14ac:dyDescent="0.3">
      <c r="A148" s="8" t="s">
        <v>23</v>
      </c>
      <c r="B148" t="s">
        <v>24</v>
      </c>
      <c r="C148" t="s">
        <v>52</v>
      </c>
      <c r="D148">
        <v>2</v>
      </c>
      <c r="E148">
        <v>18</v>
      </c>
      <c r="F148" s="9">
        <v>46060</v>
      </c>
      <c r="H148">
        <v>35</v>
      </c>
      <c r="I148" t="s">
        <v>36</v>
      </c>
      <c r="J148" t="s">
        <v>30</v>
      </c>
      <c r="T148">
        <v>0</v>
      </c>
      <c r="W148" t="s">
        <v>73</v>
      </c>
    </row>
    <row r="149" spans="1:23" s="12" customFormat="1" ht="15" thickBot="1" x14ac:dyDescent="0.35">
      <c r="A149" s="11" t="s">
        <v>23</v>
      </c>
      <c r="B149" s="12" t="s">
        <v>24</v>
      </c>
      <c r="C149" s="12" t="s">
        <v>52</v>
      </c>
      <c r="D149" s="12">
        <v>2</v>
      </c>
      <c r="E149" s="12">
        <v>18</v>
      </c>
      <c r="F149" s="13">
        <v>46060</v>
      </c>
      <c r="G149" s="12">
        <v>190</v>
      </c>
      <c r="H149" s="12">
        <v>10</v>
      </c>
      <c r="I149" s="12" t="s">
        <v>44</v>
      </c>
      <c r="J149" s="12" t="s">
        <v>30</v>
      </c>
      <c r="T149" s="12">
        <v>0</v>
      </c>
    </row>
    <row r="150" spans="1:23" s="4" customFormat="1" x14ac:dyDescent="0.3">
      <c r="A150" s="3" t="s">
        <v>23</v>
      </c>
      <c r="B150" s="4" t="s">
        <v>24</v>
      </c>
      <c r="C150" s="4" t="s">
        <v>52</v>
      </c>
      <c r="D150" s="4">
        <v>2</v>
      </c>
      <c r="E150" s="4">
        <v>24</v>
      </c>
      <c r="F150" s="5">
        <v>46060</v>
      </c>
      <c r="H150" s="4">
        <v>30</v>
      </c>
      <c r="I150" s="4" t="s">
        <v>29</v>
      </c>
      <c r="J150" s="4" t="s">
        <v>30</v>
      </c>
      <c r="T150" s="4">
        <v>0</v>
      </c>
    </row>
    <row r="151" spans="1:23" s="10" customFormat="1" x14ac:dyDescent="0.3">
      <c r="A151" s="27" t="s">
        <v>23</v>
      </c>
      <c r="B151" s="10" t="s">
        <v>24</v>
      </c>
      <c r="C151" s="10" t="s">
        <v>52</v>
      </c>
      <c r="D151" s="10">
        <v>2</v>
      </c>
      <c r="E151" s="10">
        <v>24</v>
      </c>
      <c r="F151" s="28">
        <v>46060</v>
      </c>
      <c r="H151" s="10">
        <v>15</v>
      </c>
      <c r="I151" s="10" t="s">
        <v>26</v>
      </c>
      <c r="J151" s="10">
        <v>60</v>
      </c>
      <c r="K151" s="10" t="s">
        <v>26</v>
      </c>
      <c r="L151" s="10" t="s">
        <v>30</v>
      </c>
      <c r="N151" s="10" t="s">
        <v>30</v>
      </c>
      <c r="P151" s="10">
        <v>55</v>
      </c>
      <c r="R151" s="10">
        <v>65</v>
      </c>
      <c r="T151" s="10">
        <v>65</v>
      </c>
    </row>
    <row r="152" spans="1:23" s="10" customFormat="1" x14ac:dyDescent="0.3">
      <c r="A152" s="27" t="s">
        <v>23</v>
      </c>
      <c r="B152" s="10" t="s">
        <v>24</v>
      </c>
      <c r="C152" s="10" t="s">
        <v>52</v>
      </c>
      <c r="D152" s="10">
        <v>2</v>
      </c>
      <c r="E152" s="10">
        <v>24</v>
      </c>
      <c r="F152" s="28">
        <v>46060</v>
      </c>
      <c r="H152" s="10">
        <v>45</v>
      </c>
      <c r="I152" s="10" t="s">
        <v>28</v>
      </c>
      <c r="J152" s="10">
        <v>42</v>
      </c>
      <c r="K152" s="10" t="s">
        <v>28</v>
      </c>
      <c r="L152" s="10">
        <v>52</v>
      </c>
      <c r="M152" s="10" t="s">
        <v>28</v>
      </c>
      <c r="N152" s="10">
        <v>33</v>
      </c>
      <c r="O152" s="10" t="s">
        <v>28</v>
      </c>
      <c r="P152" s="10">
        <v>41</v>
      </c>
      <c r="Q152" s="10" t="s">
        <v>28</v>
      </c>
      <c r="R152" s="10">
        <v>40</v>
      </c>
      <c r="S152" s="10" t="s">
        <v>28</v>
      </c>
      <c r="T152" s="10">
        <v>52</v>
      </c>
      <c r="U152" s="10" t="s">
        <v>28</v>
      </c>
      <c r="V152" s="35">
        <v>0.52638888888888891</v>
      </c>
    </row>
    <row r="153" spans="1:23" x14ac:dyDescent="0.3">
      <c r="A153" s="8" t="s">
        <v>23</v>
      </c>
      <c r="B153" t="s">
        <v>24</v>
      </c>
      <c r="C153" t="s">
        <v>52</v>
      </c>
      <c r="D153">
        <v>2</v>
      </c>
      <c r="E153">
        <v>24</v>
      </c>
      <c r="F153" s="9">
        <v>46060</v>
      </c>
      <c r="H153">
        <v>25</v>
      </c>
      <c r="I153" t="s">
        <v>31</v>
      </c>
      <c r="J153" t="s">
        <v>30</v>
      </c>
      <c r="T153">
        <v>0</v>
      </c>
    </row>
    <row r="154" spans="1:23" s="12" customFormat="1" ht="15" thickBot="1" x14ac:dyDescent="0.35">
      <c r="A154" s="11" t="s">
        <v>23</v>
      </c>
      <c r="B154" s="12" t="s">
        <v>24</v>
      </c>
      <c r="C154" s="12" t="s">
        <v>52</v>
      </c>
      <c r="D154" s="12">
        <v>2</v>
      </c>
      <c r="E154" s="12">
        <v>24</v>
      </c>
      <c r="F154" s="13">
        <v>46060</v>
      </c>
      <c r="G154" s="12">
        <v>140</v>
      </c>
      <c r="H154" s="12">
        <v>25</v>
      </c>
      <c r="I154" s="12" t="s">
        <v>36</v>
      </c>
      <c r="J154" s="12" t="s">
        <v>30</v>
      </c>
      <c r="T154" s="12">
        <v>0</v>
      </c>
      <c r="W154" s="12" t="s">
        <v>106</v>
      </c>
    </row>
    <row r="155" spans="1:23" s="4" customFormat="1" x14ac:dyDescent="0.3">
      <c r="A155" s="3" t="s">
        <v>23</v>
      </c>
      <c r="B155" s="4" t="s">
        <v>24</v>
      </c>
      <c r="C155" s="4" t="s">
        <v>52</v>
      </c>
      <c r="D155" s="4">
        <v>2</v>
      </c>
      <c r="E155" s="4">
        <v>48</v>
      </c>
      <c r="F155" s="5">
        <v>46060</v>
      </c>
      <c r="H155" s="4">
        <v>5</v>
      </c>
      <c r="I155" s="4" t="s">
        <v>29</v>
      </c>
      <c r="J155" s="4" t="s">
        <v>30</v>
      </c>
      <c r="T155" s="4">
        <v>0</v>
      </c>
      <c r="V155" s="4" t="s">
        <v>59</v>
      </c>
    </row>
    <row r="156" spans="1:23" x14ac:dyDescent="0.3">
      <c r="A156" s="8" t="s">
        <v>23</v>
      </c>
      <c r="B156" t="s">
        <v>24</v>
      </c>
      <c r="C156" t="s">
        <v>52</v>
      </c>
      <c r="D156">
        <v>2</v>
      </c>
      <c r="E156">
        <v>48</v>
      </c>
      <c r="F156" s="9">
        <v>46060</v>
      </c>
      <c r="H156">
        <v>10</v>
      </c>
      <c r="I156" t="s">
        <v>36</v>
      </c>
      <c r="J156" t="s">
        <v>30</v>
      </c>
      <c r="T156">
        <v>0</v>
      </c>
    </row>
    <row r="157" spans="1:23" s="10" customFormat="1" x14ac:dyDescent="0.3">
      <c r="A157" s="27" t="s">
        <v>23</v>
      </c>
      <c r="B157" s="10" t="s">
        <v>24</v>
      </c>
      <c r="C157" s="10" t="s">
        <v>52</v>
      </c>
      <c r="D157" s="10">
        <v>2</v>
      </c>
      <c r="E157" s="10">
        <v>48</v>
      </c>
      <c r="F157" s="28">
        <v>46060</v>
      </c>
      <c r="H157" s="10">
        <v>95</v>
      </c>
      <c r="I157" s="10" t="s">
        <v>31</v>
      </c>
      <c r="J157" s="10">
        <v>34</v>
      </c>
      <c r="K157" s="10" t="s">
        <v>31</v>
      </c>
      <c r="L157" s="10">
        <v>37</v>
      </c>
      <c r="N157" s="10">
        <v>28.5</v>
      </c>
      <c r="P157" s="10">
        <v>28</v>
      </c>
      <c r="R157" s="10">
        <v>44</v>
      </c>
      <c r="T157" s="10">
        <v>44</v>
      </c>
      <c r="V157" s="10" t="s">
        <v>107</v>
      </c>
    </row>
    <row r="158" spans="1:23" s="14" customFormat="1" ht="15" thickBot="1" x14ac:dyDescent="0.35">
      <c r="A158" s="32" t="s">
        <v>23</v>
      </c>
      <c r="B158" s="14" t="s">
        <v>24</v>
      </c>
      <c r="C158" s="14" t="s">
        <v>52</v>
      </c>
      <c r="D158" s="14">
        <v>2</v>
      </c>
      <c r="E158" s="14">
        <v>48</v>
      </c>
      <c r="F158" s="33">
        <v>46060</v>
      </c>
      <c r="G158" s="14">
        <v>115</v>
      </c>
      <c r="H158" s="14">
        <v>5</v>
      </c>
      <c r="I158" s="14" t="s">
        <v>26</v>
      </c>
      <c r="J158" s="14">
        <v>58</v>
      </c>
      <c r="K158" s="14" t="s">
        <v>26</v>
      </c>
      <c r="L158" s="14">
        <v>57.5</v>
      </c>
      <c r="N158" s="14" t="s">
        <v>30</v>
      </c>
      <c r="P158" s="14" t="s">
        <v>30</v>
      </c>
      <c r="R158" s="14" t="s">
        <v>30</v>
      </c>
      <c r="T158" s="14">
        <v>57.5</v>
      </c>
    </row>
    <row r="159" spans="1:23" s="6" customFormat="1" x14ac:dyDescent="0.3">
      <c r="A159" s="29" t="s">
        <v>23</v>
      </c>
      <c r="B159" s="6" t="s">
        <v>24</v>
      </c>
      <c r="C159" s="6" t="s">
        <v>60</v>
      </c>
      <c r="D159" s="6">
        <v>1</v>
      </c>
      <c r="E159" s="6">
        <v>0.5</v>
      </c>
      <c r="F159" s="30">
        <v>46059</v>
      </c>
      <c r="H159" s="6">
        <v>65</v>
      </c>
      <c r="I159" s="6" t="s">
        <v>28</v>
      </c>
      <c r="J159" s="6">
        <v>57</v>
      </c>
      <c r="K159" s="6" t="s">
        <v>28</v>
      </c>
      <c r="L159" s="6">
        <v>50</v>
      </c>
      <c r="M159" s="6" t="s">
        <v>28</v>
      </c>
      <c r="N159" s="6">
        <v>48.5</v>
      </c>
      <c r="O159" s="6" t="s">
        <v>28</v>
      </c>
      <c r="P159" s="6">
        <v>66</v>
      </c>
      <c r="Q159" s="6" t="s">
        <v>28</v>
      </c>
      <c r="R159" s="6">
        <v>63.5</v>
      </c>
      <c r="S159" s="6" t="s">
        <v>28</v>
      </c>
      <c r="T159" s="6">
        <v>66</v>
      </c>
      <c r="U159" s="6" t="s">
        <v>28</v>
      </c>
      <c r="V159" s="6" t="s">
        <v>61</v>
      </c>
    </row>
    <row r="160" spans="1:23" s="10" customFormat="1" x14ac:dyDescent="0.3">
      <c r="A160" s="27" t="s">
        <v>23</v>
      </c>
      <c r="B160" s="10" t="s">
        <v>24</v>
      </c>
      <c r="C160" s="10" t="s">
        <v>60</v>
      </c>
      <c r="D160" s="10">
        <v>1</v>
      </c>
      <c r="E160" s="10">
        <v>0.5</v>
      </c>
      <c r="F160" s="28">
        <v>46059</v>
      </c>
      <c r="H160" s="10">
        <v>20</v>
      </c>
      <c r="I160" s="10" t="s">
        <v>26</v>
      </c>
      <c r="J160" s="10" t="s">
        <v>30</v>
      </c>
      <c r="T160" s="10">
        <v>0</v>
      </c>
    </row>
    <row r="161" spans="1:23" s="12" customFormat="1" ht="15" thickBot="1" x14ac:dyDescent="0.35">
      <c r="A161" s="11" t="s">
        <v>23</v>
      </c>
      <c r="B161" s="12" t="s">
        <v>24</v>
      </c>
      <c r="C161" s="12" t="s">
        <v>60</v>
      </c>
      <c r="D161" s="12">
        <v>1</v>
      </c>
      <c r="E161" s="12">
        <v>0.5</v>
      </c>
      <c r="F161" s="13">
        <v>46059</v>
      </c>
      <c r="G161" s="12">
        <v>105</v>
      </c>
      <c r="H161" s="12">
        <v>20</v>
      </c>
      <c r="I161" s="12" t="s">
        <v>29</v>
      </c>
      <c r="J161" s="12" t="s">
        <v>30</v>
      </c>
      <c r="T161" s="12">
        <v>0</v>
      </c>
    </row>
    <row r="162" spans="1:23" s="4" customFormat="1" x14ac:dyDescent="0.3">
      <c r="A162" s="3" t="s">
        <v>23</v>
      </c>
      <c r="B162" s="4" t="s">
        <v>24</v>
      </c>
      <c r="C162" s="4" t="s">
        <v>60</v>
      </c>
      <c r="D162" s="4">
        <v>1</v>
      </c>
      <c r="E162" s="4">
        <v>2</v>
      </c>
      <c r="F162" s="5">
        <v>46059</v>
      </c>
      <c r="H162" s="4">
        <v>60</v>
      </c>
      <c r="I162" s="4" t="s">
        <v>62</v>
      </c>
      <c r="J162" s="4" t="s">
        <v>30</v>
      </c>
      <c r="T162" s="4">
        <v>0</v>
      </c>
    </row>
    <row r="163" spans="1:23" s="10" customFormat="1" x14ac:dyDescent="0.3">
      <c r="A163" s="27" t="s">
        <v>23</v>
      </c>
      <c r="B163" s="10" t="s">
        <v>24</v>
      </c>
      <c r="C163" s="10" t="s">
        <v>60</v>
      </c>
      <c r="D163" s="10">
        <v>1</v>
      </c>
      <c r="E163" s="10">
        <v>2</v>
      </c>
      <c r="F163" s="28">
        <v>46059</v>
      </c>
      <c r="H163" s="10">
        <v>70</v>
      </c>
      <c r="I163" s="10" t="s">
        <v>28</v>
      </c>
      <c r="J163" s="10">
        <v>53</v>
      </c>
      <c r="K163" s="10" t="s">
        <v>28</v>
      </c>
      <c r="L163" s="10">
        <v>53</v>
      </c>
      <c r="M163" s="10" t="s">
        <v>28</v>
      </c>
      <c r="N163" s="10">
        <v>62.5</v>
      </c>
      <c r="O163" s="10" t="s">
        <v>28</v>
      </c>
      <c r="P163" s="10">
        <v>48</v>
      </c>
      <c r="Q163" s="10" t="s">
        <v>28</v>
      </c>
      <c r="R163" s="10">
        <v>48</v>
      </c>
      <c r="S163" s="10" t="s">
        <v>28</v>
      </c>
      <c r="T163" s="10">
        <v>62.5</v>
      </c>
      <c r="U163" s="10" t="s">
        <v>28</v>
      </c>
      <c r="V163" s="35">
        <v>0.52013888888888893</v>
      </c>
    </row>
    <row r="164" spans="1:23" s="12" customFormat="1" ht="15" thickBot="1" x14ac:dyDescent="0.35">
      <c r="A164" s="11" t="s">
        <v>23</v>
      </c>
      <c r="B164" s="12" t="s">
        <v>24</v>
      </c>
      <c r="C164" s="12" t="s">
        <v>60</v>
      </c>
      <c r="D164" s="12">
        <v>1</v>
      </c>
      <c r="E164" s="12">
        <v>2</v>
      </c>
      <c r="F164" s="13">
        <v>46059</v>
      </c>
      <c r="G164" s="12">
        <v>180</v>
      </c>
      <c r="H164" s="12">
        <v>50</v>
      </c>
      <c r="I164" s="12" t="s">
        <v>29</v>
      </c>
      <c r="J164" s="12" t="s">
        <v>30</v>
      </c>
      <c r="T164" s="12">
        <v>0</v>
      </c>
      <c r="W164" s="12" t="s">
        <v>118</v>
      </c>
    </row>
    <row r="165" spans="1:23" s="4" customFormat="1" x14ac:dyDescent="0.3">
      <c r="A165" s="3" t="s">
        <v>23</v>
      </c>
      <c r="B165" s="4" t="s">
        <v>24</v>
      </c>
      <c r="C165" s="4" t="s">
        <v>60</v>
      </c>
      <c r="D165" s="4">
        <v>1</v>
      </c>
      <c r="E165" s="4">
        <v>6</v>
      </c>
      <c r="F165" s="5">
        <v>46059</v>
      </c>
      <c r="H165" s="4">
        <v>50</v>
      </c>
      <c r="I165" s="4" t="s">
        <v>63</v>
      </c>
      <c r="J165" s="4" t="s">
        <v>30</v>
      </c>
      <c r="T165" s="4">
        <v>0</v>
      </c>
    </row>
    <row r="166" spans="1:23" s="14" customFormat="1" ht="15" thickBot="1" x14ac:dyDescent="0.35">
      <c r="A166" s="32" t="s">
        <v>23</v>
      </c>
      <c r="B166" s="14" t="s">
        <v>24</v>
      </c>
      <c r="C166" s="14" t="s">
        <v>60</v>
      </c>
      <c r="D166" s="14">
        <v>1</v>
      </c>
      <c r="E166" s="14">
        <v>6</v>
      </c>
      <c r="F166" s="33">
        <v>46059</v>
      </c>
      <c r="G166" s="14">
        <v>100</v>
      </c>
      <c r="H166" s="14">
        <v>50</v>
      </c>
      <c r="I166" s="14" t="s">
        <v>28</v>
      </c>
      <c r="J166" s="14">
        <v>60</v>
      </c>
      <c r="K166" s="14" t="s">
        <v>28</v>
      </c>
      <c r="L166" s="14">
        <v>59.5</v>
      </c>
      <c r="M166" s="14" t="s">
        <v>28</v>
      </c>
      <c r="N166" s="14">
        <v>61</v>
      </c>
      <c r="O166" s="14" t="s">
        <v>28</v>
      </c>
      <c r="P166" s="14">
        <v>63</v>
      </c>
      <c r="Q166" s="14" t="s">
        <v>28</v>
      </c>
      <c r="R166" s="14">
        <v>57</v>
      </c>
      <c r="S166" s="14" t="s">
        <v>28</v>
      </c>
      <c r="T166" s="14">
        <v>63</v>
      </c>
      <c r="U166" s="14" t="s">
        <v>28</v>
      </c>
      <c r="V166" s="34">
        <v>0.52569444444444446</v>
      </c>
      <c r="W166" s="14" t="s">
        <v>119</v>
      </c>
    </row>
    <row r="167" spans="1:23" s="6" customFormat="1" x14ac:dyDescent="0.3">
      <c r="A167" s="29" t="s">
        <v>23</v>
      </c>
      <c r="B167" s="6" t="s">
        <v>24</v>
      </c>
      <c r="C167" s="6" t="s">
        <v>60</v>
      </c>
      <c r="D167" s="6">
        <v>1</v>
      </c>
      <c r="E167" s="6">
        <v>12</v>
      </c>
      <c r="F167" s="30">
        <v>46059</v>
      </c>
      <c r="H167" s="6">
        <v>65</v>
      </c>
      <c r="I167" s="6" t="s">
        <v>28</v>
      </c>
      <c r="J167" s="6">
        <v>50</v>
      </c>
      <c r="K167" s="6" t="s">
        <v>28</v>
      </c>
      <c r="L167" s="6">
        <v>50</v>
      </c>
      <c r="M167" s="6" t="s">
        <v>28</v>
      </c>
      <c r="N167" s="6">
        <v>49</v>
      </c>
      <c r="O167" s="6" t="s">
        <v>28</v>
      </c>
      <c r="P167" s="6">
        <v>51</v>
      </c>
      <c r="Q167" s="6" t="s">
        <v>28</v>
      </c>
      <c r="R167" s="6">
        <v>48</v>
      </c>
      <c r="S167" s="6" t="s">
        <v>28</v>
      </c>
      <c r="T167" s="6">
        <v>51</v>
      </c>
      <c r="U167" s="6" t="s">
        <v>28</v>
      </c>
      <c r="V167" s="31">
        <v>0.53194444444444444</v>
      </c>
    </row>
    <row r="168" spans="1:23" s="12" customFormat="1" ht="15" thickBot="1" x14ac:dyDescent="0.35">
      <c r="A168" s="11" t="s">
        <v>23</v>
      </c>
      <c r="B168" s="12" t="s">
        <v>24</v>
      </c>
      <c r="C168" s="12" t="s">
        <v>60</v>
      </c>
      <c r="D168" s="12">
        <v>1</v>
      </c>
      <c r="E168" s="12">
        <v>12</v>
      </c>
      <c r="F168" s="13">
        <v>46059</v>
      </c>
      <c r="G168" s="12">
        <v>100</v>
      </c>
      <c r="H168" s="12">
        <v>35</v>
      </c>
      <c r="I168" s="12" t="s">
        <v>29</v>
      </c>
      <c r="J168" s="12" t="s">
        <v>30</v>
      </c>
      <c r="T168" s="12">
        <v>0</v>
      </c>
      <c r="W168" s="12" t="s">
        <v>100</v>
      </c>
    </row>
    <row r="169" spans="1:23" s="6" customFormat="1" x14ac:dyDescent="0.3">
      <c r="A169" s="29" t="s">
        <v>23</v>
      </c>
      <c r="B169" s="6" t="s">
        <v>24</v>
      </c>
      <c r="C169" s="6" t="s">
        <v>60</v>
      </c>
      <c r="D169" s="6">
        <v>1</v>
      </c>
      <c r="E169" s="6">
        <v>18</v>
      </c>
      <c r="F169" s="30">
        <v>46059</v>
      </c>
      <c r="H169" s="6">
        <v>80</v>
      </c>
      <c r="I169" s="6" t="s">
        <v>28</v>
      </c>
      <c r="J169" s="6">
        <v>63</v>
      </c>
      <c r="K169" s="6" t="s">
        <v>28</v>
      </c>
      <c r="L169" s="6">
        <v>65.5</v>
      </c>
      <c r="M169" s="6" t="s">
        <v>28</v>
      </c>
      <c r="N169" s="6">
        <v>66.5</v>
      </c>
      <c r="O169" s="6" t="s">
        <v>28</v>
      </c>
      <c r="P169" s="6">
        <v>58.5</v>
      </c>
      <c r="Q169" s="6" t="s">
        <v>28</v>
      </c>
      <c r="R169" s="6">
        <v>61</v>
      </c>
      <c r="S169" s="6" t="s">
        <v>28</v>
      </c>
      <c r="T169" s="6">
        <v>66.5</v>
      </c>
      <c r="U169" s="6" t="s">
        <v>28</v>
      </c>
      <c r="V169" s="31">
        <v>0.53749999999999998</v>
      </c>
    </row>
    <row r="170" spans="1:23" x14ac:dyDescent="0.3">
      <c r="A170" s="8" t="s">
        <v>23</v>
      </c>
      <c r="B170" t="s">
        <v>24</v>
      </c>
      <c r="C170" t="s">
        <v>60</v>
      </c>
      <c r="D170">
        <v>1</v>
      </c>
      <c r="E170">
        <v>18</v>
      </c>
      <c r="F170" s="9">
        <v>46059</v>
      </c>
      <c r="H170">
        <v>20</v>
      </c>
      <c r="I170" t="s">
        <v>29</v>
      </c>
      <c r="J170" t="s">
        <v>30</v>
      </c>
      <c r="T170">
        <v>0</v>
      </c>
    </row>
    <row r="171" spans="1:23" s="12" customFormat="1" ht="15" thickBot="1" x14ac:dyDescent="0.35">
      <c r="A171" s="11" t="s">
        <v>23</v>
      </c>
      <c r="B171" s="12" t="s">
        <v>24</v>
      </c>
      <c r="C171" s="12" t="s">
        <v>60</v>
      </c>
      <c r="D171" s="12">
        <v>1</v>
      </c>
      <c r="E171" s="12">
        <v>18</v>
      </c>
      <c r="F171" s="13">
        <v>46059</v>
      </c>
      <c r="G171" s="12">
        <v>100</v>
      </c>
      <c r="H171" s="12" t="s">
        <v>64</v>
      </c>
      <c r="I171" s="12" t="s">
        <v>65</v>
      </c>
      <c r="J171" s="12" t="s">
        <v>30</v>
      </c>
      <c r="T171" s="12">
        <v>0</v>
      </c>
    </row>
    <row r="172" spans="1:23" s="4" customFormat="1" x14ac:dyDescent="0.3">
      <c r="A172" s="3" t="s">
        <v>23</v>
      </c>
      <c r="B172" s="4" t="s">
        <v>24</v>
      </c>
      <c r="C172" s="4" t="s">
        <v>60</v>
      </c>
      <c r="D172" s="4">
        <v>1</v>
      </c>
      <c r="E172" s="4">
        <v>24</v>
      </c>
      <c r="F172" s="5">
        <v>46059</v>
      </c>
      <c r="H172" s="4">
        <v>15</v>
      </c>
      <c r="I172" s="4" t="s">
        <v>50</v>
      </c>
      <c r="J172" s="4" t="s">
        <v>30</v>
      </c>
      <c r="T172" s="4">
        <v>0</v>
      </c>
    </row>
    <row r="173" spans="1:23" s="10" customFormat="1" x14ac:dyDescent="0.3">
      <c r="A173" s="27" t="s">
        <v>23</v>
      </c>
      <c r="B173" s="10" t="s">
        <v>24</v>
      </c>
      <c r="C173" s="10" t="s">
        <v>60</v>
      </c>
      <c r="D173" s="10">
        <v>1</v>
      </c>
      <c r="E173" s="10">
        <v>24</v>
      </c>
      <c r="F173" s="28">
        <v>46059</v>
      </c>
      <c r="H173" s="10">
        <v>85</v>
      </c>
      <c r="I173" s="10" t="s">
        <v>28</v>
      </c>
      <c r="J173" s="10">
        <v>57</v>
      </c>
      <c r="K173" s="10" t="s">
        <v>28</v>
      </c>
      <c r="L173" s="10">
        <v>57</v>
      </c>
      <c r="M173" s="10" t="s">
        <v>28</v>
      </c>
      <c r="N173" s="10">
        <v>55.5</v>
      </c>
      <c r="O173" s="10" t="s">
        <v>28</v>
      </c>
      <c r="P173" s="10">
        <v>60</v>
      </c>
      <c r="Q173" s="10" t="s">
        <v>28</v>
      </c>
      <c r="R173" s="10">
        <v>57</v>
      </c>
      <c r="S173" s="10" t="s">
        <v>28</v>
      </c>
      <c r="T173" s="10">
        <v>60</v>
      </c>
      <c r="V173" s="35">
        <v>0.54374999999999996</v>
      </c>
    </row>
    <row r="174" spans="1:23" s="12" customFormat="1" ht="15" thickBot="1" x14ac:dyDescent="0.35">
      <c r="A174" s="11" t="s">
        <v>23</v>
      </c>
      <c r="B174" s="12" t="s">
        <v>24</v>
      </c>
      <c r="C174" s="12" t="s">
        <v>60</v>
      </c>
      <c r="D174" s="12">
        <v>1</v>
      </c>
      <c r="E174" s="12">
        <v>24</v>
      </c>
      <c r="F174" s="13">
        <v>46059</v>
      </c>
      <c r="G174" s="12">
        <v>115</v>
      </c>
      <c r="H174" s="12">
        <v>15</v>
      </c>
      <c r="I174" s="12" t="s">
        <v>29</v>
      </c>
      <c r="J174" s="12" t="s">
        <v>30</v>
      </c>
      <c r="T174" s="12">
        <v>0</v>
      </c>
    </row>
    <row r="175" spans="1:23" s="6" customFormat="1" x14ac:dyDescent="0.3">
      <c r="A175" s="29" t="s">
        <v>23</v>
      </c>
      <c r="B175" s="6" t="s">
        <v>24</v>
      </c>
      <c r="C175" s="6" t="s">
        <v>60</v>
      </c>
      <c r="D175" s="6">
        <v>1</v>
      </c>
      <c r="E175" s="6">
        <v>48</v>
      </c>
      <c r="F175" s="30">
        <v>46059</v>
      </c>
      <c r="H175" s="6">
        <v>90</v>
      </c>
      <c r="I175" s="6" t="s">
        <v>28</v>
      </c>
      <c r="J175" s="6">
        <v>56</v>
      </c>
      <c r="K175" s="6" t="s">
        <v>28</v>
      </c>
      <c r="L175" s="6">
        <v>61.5</v>
      </c>
      <c r="M175" s="6" t="s">
        <v>28</v>
      </c>
      <c r="N175" s="6">
        <v>50</v>
      </c>
      <c r="O175" s="6" t="s">
        <v>28</v>
      </c>
      <c r="P175" s="6">
        <v>50.5</v>
      </c>
      <c r="R175" s="6">
        <v>51.5</v>
      </c>
      <c r="T175" s="6">
        <v>61.5</v>
      </c>
      <c r="V175" s="31">
        <v>0.55069444444444449</v>
      </c>
    </row>
    <row r="176" spans="1:23" s="12" customFormat="1" ht="15" thickBot="1" x14ac:dyDescent="0.35">
      <c r="A176" s="11" t="s">
        <v>23</v>
      </c>
      <c r="B176" s="12" t="s">
        <v>24</v>
      </c>
      <c r="C176" s="12" t="s">
        <v>60</v>
      </c>
      <c r="D176" s="12">
        <v>1</v>
      </c>
      <c r="E176" s="12">
        <v>48</v>
      </c>
      <c r="F176" s="13">
        <v>46059</v>
      </c>
      <c r="G176" s="12">
        <v>100</v>
      </c>
      <c r="H176" s="12">
        <v>10</v>
      </c>
      <c r="I176" s="12" t="s">
        <v>29</v>
      </c>
      <c r="J176" s="12" t="s">
        <v>30</v>
      </c>
      <c r="T176" s="12">
        <v>0</v>
      </c>
    </row>
    <row r="177" spans="1:22" s="4" customFormat="1" x14ac:dyDescent="0.3">
      <c r="A177" s="3" t="s">
        <v>23</v>
      </c>
      <c r="B177" s="4" t="s">
        <v>24</v>
      </c>
      <c r="C177" s="4" t="s">
        <v>60</v>
      </c>
      <c r="D177" s="4">
        <v>2</v>
      </c>
      <c r="E177" s="4">
        <v>0.5</v>
      </c>
      <c r="F177" s="5">
        <v>46059</v>
      </c>
      <c r="H177" s="4">
        <v>50</v>
      </c>
      <c r="I177" s="4" t="s">
        <v>29</v>
      </c>
      <c r="J177" s="4" t="s">
        <v>30</v>
      </c>
      <c r="T177" s="4">
        <v>0</v>
      </c>
    </row>
    <row r="178" spans="1:22" s="10" customFormat="1" x14ac:dyDescent="0.3">
      <c r="A178" s="27" t="s">
        <v>23</v>
      </c>
      <c r="B178" s="10" t="s">
        <v>24</v>
      </c>
      <c r="C178" s="10" t="s">
        <v>60</v>
      </c>
      <c r="D178" s="10">
        <v>2</v>
      </c>
      <c r="E178" s="10">
        <v>0.5</v>
      </c>
      <c r="F178" s="28">
        <v>46059</v>
      </c>
      <c r="H178" s="10">
        <v>20</v>
      </c>
      <c r="I178" s="10" t="s">
        <v>26</v>
      </c>
      <c r="J178" s="10">
        <f>AVERAGE(N178, R178)</f>
        <v>67</v>
      </c>
      <c r="L178" s="10" t="s">
        <v>30</v>
      </c>
      <c r="N178" s="10">
        <v>66.5</v>
      </c>
      <c r="P178" s="10" t="s">
        <v>30</v>
      </c>
      <c r="R178" s="10">
        <v>67.5</v>
      </c>
      <c r="T178" s="10">
        <v>67.5</v>
      </c>
      <c r="V178" s="10" t="s">
        <v>120</v>
      </c>
    </row>
    <row r="179" spans="1:22" s="10" customFormat="1" x14ac:dyDescent="0.3">
      <c r="A179" s="27" t="s">
        <v>23</v>
      </c>
      <c r="B179" s="10" t="s">
        <v>24</v>
      </c>
      <c r="C179" s="10" t="s">
        <v>60</v>
      </c>
      <c r="D179" s="10">
        <v>2</v>
      </c>
      <c r="E179" s="10">
        <v>0.5</v>
      </c>
      <c r="F179" s="28">
        <v>46059</v>
      </c>
      <c r="H179" s="10">
        <v>30</v>
      </c>
      <c r="I179" s="10" t="s">
        <v>28</v>
      </c>
      <c r="J179" s="10">
        <v>52</v>
      </c>
      <c r="K179" s="10" t="s">
        <v>28</v>
      </c>
      <c r="L179" s="10">
        <v>43.5</v>
      </c>
      <c r="M179" s="10" t="s">
        <v>28</v>
      </c>
      <c r="N179" s="10">
        <v>42</v>
      </c>
      <c r="O179" s="10" t="s">
        <v>28</v>
      </c>
      <c r="P179" s="10">
        <v>46</v>
      </c>
      <c r="Q179" s="10" t="s">
        <v>28</v>
      </c>
      <c r="R179" s="10">
        <v>57</v>
      </c>
      <c r="S179" s="10" t="s">
        <v>28</v>
      </c>
      <c r="T179" s="10">
        <v>57</v>
      </c>
      <c r="U179" s="10" t="s">
        <v>28</v>
      </c>
    </row>
    <row r="180" spans="1:22" s="12" customFormat="1" ht="15" thickBot="1" x14ac:dyDescent="0.35">
      <c r="A180" s="11" t="s">
        <v>23</v>
      </c>
      <c r="B180" s="12" t="s">
        <v>24</v>
      </c>
      <c r="C180" s="12" t="s">
        <v>60</v>
      </c>
      <c r="D180" s="12">
        <v>2</v>
      </c>
      <c r="E180" s="12">
        <v>0.5</v>
      </c>
      <c r="F180" s="13">
        <v>46059</v>
      </c>
      <c r="G180" s="12">
        <v>200</v>
      </c>
      <c r="H180" s="12">
        <v>50</v>
      </c>
      <c r="I180" s="12" t="s">
        <v>66</v>
      </c>
      <c r="J180" s="12" t="s">
        <v>30</v>
      </c>
      <c r="T180" s="12">
        <v>0</v>
      </c>
    </row>
    <row r="181" spans="1:22" s="6" customFormat="1" x14ac:dyDescent="0.3">
      <c r="A181" s="29" t="s">
        <v>23</v>
      </c>
      <c r="B181" s="6" t="s">
        <v>24</v>
      </c>
      <c r="C181" s="6" t="s">
        <v>60</v>
      </c>
      <c r="D181" s="6">
        <v>2</v>
      </c>
      <c r="E181" s="6">
        <v>2</v>
      </c>
      <c r="F181" s="30">
        <v>46059</v>
      </c>
      <c r="H181" s="6">
        <v>20</v>
      </c>
      <c r="I181" s="6" t="s">
        <v>26</v>
      </c>
      <c r="J181" s="6">
        <v>70</v>
      </c>
      <c r="K181" s="6" t="s">
        <v>26</v>
      </c>
      <c r="L181" s="6" t="s">
        <v>30</v>
      </c>
      <c r="N181" s="6">
        <v>79</v>
      </c>
      <c r="P181" s="6">
        <v>60.5</v>
      </c>
      <c r="R181" s="6" t="s">
        <v>30</v>
      </c>
      <c r="T181" s="6">
        <v>79</v>
      </c>
    </row>
    <row r="182" spans="1:22" s="10" customFormat="1" x14ac:dyDescent="0.3">
      <c r="A182" s="27" t="s">
        <v>23</v>
      </c>
      <c r="B182" s="10" t="s">
        <v>24</v>
      </c>
      <c r="C182" s="10" t="s">
        <v>60</v>
      </c>
      <c r="D182" s="10">
        <v>2</v>
      </c>
      <c r="E182" s="10">
        <v>2</v>
      </c>
      <c r="F182" s="28">
        <v>46059</v>
      </c>
      <c r="H182" s="10">
        <v>35</v>
      </c>
      <c r="I182" s="10" t="s">
        <v>28</v>
      </c>
      <c r="J182" s="10">
        <v>55</v>
      </c>
      <c r="K182" s="10" t="s">
        <v>28</v>
      </c>
      <c r="L182" s="10">
        <v>65.5</v>
      </c>
      <c r="M182" s="10" t="s">
        <v>28</v>
      </c>
      <c r="N182" s="10">
        <v>54</v>
      </c>
      <c r="O182" s="10" t="s">
        <v>28</v>
      </c>
      <c r="P182" s="10">
        <v>50</v>
      </c>
      <c r="Q182" s="10" t="s">
        <v>28</v>
      </c>
      <c r="R182" s="10">
        <v>49</v>
      </c>
      <c r="S182" s="10" t="s">
        <v>28</v>
      </c>
      <c r="T182" s="10">
        <v>65.5</v>
      </c>
      <c r="U182" s="10" t="s">
        <v>28</v>
      </c>
      <c r="V182" s="10" t="s">
        <v>121</v>
      </c>
    </row>
    <row r="183" spans="1:22" x14ac:dyDescent="0.3">
      <c r="A183" s="8" t="s">
        <v>23</v>
      </c>
      <c r="B183" t="s">
        <v>24</v>
      </c>
      <c r="C183" t="s">
        <v>60</v>
      </c>
      <c r="D183">
        <v>2</v>
      </c>
      <c r="E183">
        <v>2</v>
      </c>
      <c r="F183" s="9">
        <v>46059</v>
      </c>
      <c r="H183">
        <v>50</v>
      </c>
      <c r="I183" t="s">
        <v>63</v>
      </c>
      <c r="J183" t="s">
        <v>30</v>
      </c>
      <c r="T183">
        <v>0</v>
      </c>
      <c r="V183" t="s">
        <v>120</v>
      </c>
    </row>
    <row r="184" spans="1:22" s="12" customFormat="1" ht="15" thickBot="1" x14ac:dyDescent="0.35">
      <c r="A184" s="11" t="s">
        <v>23</v>
      </c>
      <c r="B184" s="12" t="s">
        <v>24</v>
      </c>
      <c r="C184" s="12" t="s">
        <v>60</v>
      </c>
      <c r="D184" s="12">
        <v>2</v>
      </c>
      <c r="E184" s="12">
        <v>2</v>
      </c>
      <c r="F184" s="13">
        <v>46059</v>
      </c>
      <c r="G184" s="12">
        <v>110</v>
      </c>
      <c r="H184" s="12">
        <v>5</v>
      </c>
      <c r="I184" s="12" t="s">
        <v>28</v>
      </c>
      <c r="J184" s="12" t="s">
        <v>30</v>
      </c>
      <c r="T184" s="12">
        <v>0</v>
      </c>
      <c r="V184" s="12" t="s">
        <v>122</v>
      </c>
    </row>
    <row r="185" spans="1:22" s="4" customFormat="1" x14ac:dyDescent="0.3">
      <c r="A185" s="3" t="s">
        <v>23</v>
      </c>
      <c r="B185" s="4" t="s">
        <v>24</v>
      </c>
      <c r="C185" s="4" t="s">
        <v>60</v>
      </c>
      <c r="D185" s="4">
        <v>2</v>
      </c>
      <c r="E185" s="4">
        <v>6</v>
      </c>
      <c r="F185" s="5">
        <v>46059</v>
      </c>
      <c r="H185" s="4">
        <v>35</v>
      </c>
      <c r="I185" s="4" t="s">
        <v>29</v>
      </c>
      <c r="J185" s="4" t="s">
        <v>30</v>
      </c>
      <c r="T185" s="4">
        <v>0</v>
      </c>
    </row>
    <row r="186" spans="1:22" s="10" customFormat="1" x14ac:dyDescent="0.3">
      <c r="A186" s="27" t="s">
        <v>23</v>
      </c>
      <c r="B186" s="10" t="s">
        <v>24</v>
      </c>
      <c r="C186" s="10" t="s">
        <v>60</v>
      </c>
      <c r="D186" s="10">
        <v>2</v>
      </c>
      <c r="E186" s="10">
        <v>6</v>
      </c>
      <c r="F186" s="28">
        <v>46059</v>
      </c>
      <c r="H186" s="10">
        <v>65</v>
      </c>
      <c r="I186" s="10" t="s">
        <v>28</v>
      </c>
      <c r="J186" s="10">
        <v>52</v>
      </c>
      <c r="K186" s="10" t="s">
        <v>28</v>
      </c>
      <c r="L186" s="10">
        <v>50</v>
      </c>
      <c r="M186" s="10" t="s">
        <v>28</v>
      </c>
      <c r="N186" s="10">
        <v>47</v>
      </c>
      <c r="O186" s="10" t="s">
        <v>28</v>
      </c>
      <c r="P186" s="10">
        <v>62</v>
      </c>
      <c r="Q186" s="10" t="s">
        <v>28</v>
      </c>
      <c r="R186" s="10">
        <v>49</v>
      </c>
      <c r="S186" s="10" t="s">
        <v>28</v>
      </c>
      <c r="T186" s="10">
        <v>62</v>
      </c>
      <c r="U186" s="10" t="s">
        <v>28</v>
      </c>
      <c r="V186" s="10" t="s">
        <v>120</v>
      </c>
    </row>
    <row r="187" spans="1:22" s="12" customFormat="1" ht="15" thickBot="1" x14ac:dyDescent="0.35">
      <c r="A187" s="11" t="s">
        <v>23</v>
      </c>
      <c r="B187" s="12" t="s">
        <v>24</v>
      </c>
      <c r="C187" s="12" t="s">
        <v>60</v>
      </c>
      <c r="D187" s="12">
        <v>2</v>
      </c>
      <c r="E187" s="12">
        <v>6</v>
      </c>
      <c r="F187" s="13">
        <v>46059</v>
      </c>
      <c r="G187" s="12">
        <v>180</v>
      </c>
      <c r="H187" s="12">
        <v>80</v>
      </c>
      <c r="I187" s="12" t="s">
        <v>67</v>
      </c>
      <c r="J187" s="12" t="s">
        <v>30</v>
      </c>
      <c r="T187" s="12">
        <v>0</v>
      </c>
    </row>
    <row r="188" spans="1:22" s="4" customFormat="1" x14ac:dyDescent="0.3">
      <c r="A188" s="3" t="s">
        <v>23</v>
      </c>
      <c r="B188" s="4" t="s">
        <v>24</v>
      </c>
      <c r="C188" s="4" t="s">
        <v>60</v>
      </c>
      <c r="D188" s="4">
        <v>2</v>
      </c>
      <c r="E188" s="4">
        <v>12</v>
      </c>
      <c r="F188" s="5">
        <v>46059</v>
      </c>
      <c r="H188" s="4">
        <v>5</v>
      </c>
      <c r="I188" s="4" t="s">
        <v>68</v>
      </c>
      <c r="J188" s="4" t="s">
        <v>30</v>
      </c>
      <c r="T188" s="4">
        <v>0</v>
      </c>
    </row>
    <row r="189" spans="1:22" s="10" customFormat="1" x14ac:dyDescent="0.3">
      <c r="A189" s="27" t="s">
        <v>23</v>
      </c>
      <c r="B189" s="10" t="s">
        <v>24</v>
      </c>
      <c r="C189" s="10" t="s">
        <v>60</v>
      </c>
      <c r="D189" s="10">
        <v>2</v>
      </c>
      <c r="E189" s="10">
        <v>12</v>
      </c>
      <c r="F189" s="28">
        <v>46059</v>
      </c>
      <c r="H189" s="10">
        <v>75</v>
      </c>
      <c r="I189" s="10" t="s">
        <v>28</v>
      </c>
      <c r="J189" s="10">
        <v>54</v>
      </c>
      <c r="K189" s="10" t="s">
        <v>28</v>
      </c>
      <c r="L189" s="10">
        <v>54.5</v>
      </c>
      <c r="M189" s="10" t="s">
        <v>28</v>
      </c>
      <c r="N189" s="10">
        <v>53</v>
      </c>
      <c r="O189" s="10" t="s">
        <v>28</v>
      </c>
      <c r="P189" s="10">
        <v>53</v>
      </c>
      <c r="Q189" s="10" t="s">
        <v>28</v>
      </c>
      <c r="R189" s="10">
        <v>57</v>
      </c>
      <c r="S189" s="10" t="s">
        <v>28</v>
      </c>
      <c r="T189" s="10">
        <v>57</v>
      </c>
      <c r="U189" s="10" t="s">
        <v>28</v>
      </c>
      <c r="V189" s="10" t="s">
        <v>120</v>
      </c>
    </row>
    <row r="190" spans="1:22" s="12" customFormat="1" ht="15" thickBot="1" x14ac:dyDescent="0.35">
      <c r="A190" s="11" t="s">
        <v>23</v>
      </c>
      <c r="B190" s="12" t="s">
        <v>24</v>
      </c>
      <c r="C190" s="12" t="s">
        <v>60</v>
      </c>
      <c r="D190" s="12">
        <v>2</v>
      </c>
      <c r="E190" s="12">
        <v>12</v>
      </c>
      <c r="F190" s="13">
        <v>46059</v>
      </c>
      <c r="G190" s="12">
        <v>105</v>
      </c>
      <c r="H190" s="12">
        <v>25</v>
      </c>
      <c r="I190" s="12" t="s">
        <v>29</v>
      </c>
      <c r="J190" s="12" t="s">
        <v>30</v>
      </c>
      <c r="T190" s="12">
        <v>0</v>
      </c>
    </row>
    <row r="191" spans="1:22" s="4" customFormat="1" x14ac:dyDescent="0.3">
      <c r="A191" s="3" t="s">
        <v>23</v>
      </c>
      <c r="B191" s="4" t="s">
        <v>24</v>
      </c>
      <c r="C191" s="4" t="s">
        <v>60</v>
      </c>
      <c r="D191" s="4">
        <v>2</v>
      </c>
      <c r="E191" s="4">
        <v>18</v>
      </c>
      <c r="F191" s="5">
        <v>46059</v>
      </c>
      <c r="H191" s="4">
        <v>10</v>
      </c>
      <c r="I191" s="4" t="s">
        <v>29</v>
      </c>
      <c r="J191" s="4" t="s">
        <v>30</v>
      </c>
      <c r="T191" s="4">
        <v>0</v>
      </c>
    </row>
    <row r="192" spans="1:22" s="14" customFormat="1" ht="15" thickBot="1" x14ac:dyDescent="0.35">
      <c r="A192" s="32" t="s">
        <v>23</v>
      </c>
      <c r="B192" s="14" t="s">
        <v>24</v>
      </c>
      <c r="C192" s="14" t="s">
        <v>60</v>
      </c>
      <c r="D192" s="14">
        <v>2</v>
      </c>
      <c r="E192" s="14">
        <v>18</v>
      </c>
      <c r="F192" s="33">
        <v>46059</v>
      </c>
      <c r="G192" s="14">
        <v>100</v>
      </c>
      <c r="H192" s="14">
        <v>90</v>
      </c>
      <c r="I192" s="14" t="s">
        <v>28</v>
      </c>
      <c r="J192" s="14">
        <v>65</v>
      </c>
      <c r="K192" s="14" t="s">
        <v>28</v>
      </c>
      <c r="L192" s="14">
        <v>64.5</v>
      </c>
      <c r="M192" s="14" t="s">
        <v>28</v>
      </c>
      <c r="N192" s="14">
        <v>61.5</v>
      </c>
      <c r="O192" s="14" t="s">
        <v>28</v>
      </c>
      <c r="P192" s="14">
        <v>68.5</v>
      </c>
      <c r="Q192" s="14" t="s">
        <v>28</v>
      </c>
      <c r="R192" s="14">
        <v>64</v>
      </c>
      <c r="S192" s="14" t="s">
        <v>28</v>
      </c>
      <c r="T192" s="14">
        <v>68.5</v>
      </c>
      <c r="U192" s="14" t="s">
        <v>28</v>
      </c>
      <c r="V192" s="10" t="s">
        <v>120</v>
      </c>
    </row>
    <row r="193" spans="1:22" s="4" customFormat="1" x14ac:dyDescent="0.3">
      <c r="A193" s="3" t="s">
        <v>23</v>
      </c>
      <c r="B193" s="4" t="s">
        <v>24</v>
      </c>
      <c r="C193" s="4" t="s">
        <v>60</v>
      </c>
      <c r="D193" s="4">
        <v>2</v>
      </c>
      <c r="E193" s="4">
        <v>24</v>
      </c>
      <c r="F193" s="5">
        <v>46059</v>
      </c>
      <c r="H193" s="4">
        <v>10</v>
      </c>
      <c r="I193" s="4" t="s">
        <v>50</v>
      </c>
      <c r="J193" s="4" t="s">
        <v>30</v>
      </c>
      <c r="T193" s="4">
        <v>0</v>
      </c>
      <c r="V193" t="s">
        <v>120</v>
      </c>
    </row>
    <row r="194" spans="1:22" s="14" customFormat="1" ht="15" thickBot="1" x14ac:dyDescent="0.35">
      <c r="A194" s="32" t="s">
        <v>23</v>
      </c>
      <c r="B194" s="14" t="s">
        <v>24</v>
      </c>
      <c r="C194" s="14" t="s">
        <v>60</v>
      </c>
      <c r="D194" s="14">
        <v>2</v>
      </c>
      <c r="E194" s="14">
        <v>24</v>
      </c>
      <c r="F194" s="33">
        <v>46059</v>
      </c>
      <c r="G194" s="14">
        <v>80</v>
      </c>
      <c r="H194" s="14">
        <v>70</v>
      </c>
      <c r="I194" s="14" t="s">
        <v>28</v>
      </c>
      <c r="J194" s="14">
        <v>57</v>
      </c>
      <c r="K194" s="14" t="s">
        <v>28</v>
      </c>
      <c r="L194" s="14">
        <v>57.5</v>
      </c>
      <c r="M194" s="14" t="s">
        <v>28</v>
      </c>
      <c r="N194" s="14">
        <v>55</v>
      </c>
      <c r="O194" s="14" t="s">
        <v>28</v>
      </c>
      <c r="P194" s="14">
        <v>62.5</v>
      </c>
      <c r="Q194" s="14" t="s">
        <v>28</v>
      </c>
      <c r="R194" s="14">
        <v>51</v>
      </c>
      <c r="S194" s="14" t="s">
        <v>28</v>
      </c>
      <c r="T194" s="14">
        <v>62.5</v>
      </c>
      <c r="U194" s="14" t="s">
        <v>28</v>
      </c>
    </row>
    <row r="195" spans="1:22" s="6" customFormat="1" x14ac:dyDescent="0.3">
      <c r="A195" s="29" t="s">
        <v>23</v>
      </c>
      <c r="B195" s="6" t="s">
        <v>24</v>
      </c>
      <c r="C195" s="6" t="s">
        <v>60</v>
      </c>
      <c r="D195" s="6">
        <v>2</v>
      </c>
      <c r="E195" s="6">
        <v>48</v>
      </c>
      <c r="F195" s="30">
        <v>46059</v>
      </c>
      <c r="H195" s="6">
        <v>75</v>
      </c>
      <c r="I195" s="6" t="s">
        <v>28</v>
      </c>
      <c r="J195" s="6">
        <f>AVERAGE(L195, N195, P195, R195)</f>
        <v>47.25</v>
      </c>
      <c r="K195" s="6" t="s">
        <v>28</v>
      </c>
      <c r="L195" s="6">
        <v>50</v>
      </c>
      <c r="M195" s="6" t="s">
        <v>28</v>
      </c>
      <c r="N195" s="6">
        <v>42</v>
      </c>
      <c r="O195" s="6" t="s">
        <v>28</v>
      </c>
      <c r="P195" s="6">
        <v>47</v>
      </c>
      <c r="Q195" s="6" t="s">
        <v>28</v>
      </c>
      <c r="R195" s="6">
        <v>50</v>
      </c>
      <c r="S195" s="6" t="s">
        <v>28</v>
      </c>
      <c r="T195" s="6">
        <v>50</v>
      </c>
      <c r="U195" s="6" t="s">
        <v>28</v>
      </c>
      <c r="V195" s="10" t="s">
        <v>124</v>
      </c>
    </row>
    <row r="196" spans="1:22" s="12" customFormat="1" ht="15" thickBot="1" x14ac:dyDescent="0.35">
      <c r="A196" s="11" t="s">
        <v>23</v>
      </c>
      <c r="B196" s="12" t="s">
        <v>24</v>
      </c>
      <c r="C196" s="12" t="s">
        <v>60</v>
      </c>
      <c r="D196" s="12">
        <v>2</v>
      </c>
      <c r="E196" s="12">
        <v>48</v>
      </c>
      <c r="F196" s="13">
        <v>46059</v>
      </c>
      <c r="G196" s="12">
        <v>100</v>
      </c>
      <c r="H196" s="12">
        <v>25</v>
      </c>
      <c r="I196" s="12" t="s">
        <v>29</v>
      </c>
      <c r="J196" s="12" t="s">
        <v>30</v>
      </c>
      <c r="T196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CEE9-636F-466F-921D-3147F6CA4EBD}">
  <dimension ref="A1:W185"/>
  <sheetViews>
    <sheetView workbookViewId="0">
      <pane ySplit="1" topLeftCell="A67" activePane="bottomLeft" state="frozen"/>
      <selection pane="bottomLeft" activeCell="I70" sqref="I70"/>
    </sheetView>
  </sheetViews>
  <sheetFormatPr defaultRowHeight="14.4" x14ac:dyDescent="0.3"/>
  <cols>
    <col min="6" max="6" width="9.33203125" bestFit="1" customWidth="1"/>
    <col min="7" max="8" width="8.44140625" bestFit="1" customWidth="1"/>
    <col min="9" max="9" width="12.77734375" customWidth="1"/>
    <col min="10" max="10" width="11.6640625" customWidth="1"/>
    <col min="11" max="11" width="9.109375" bestFit="1" customWidth="1"/>
    <col min="12" max="12" width="7.88671875" bestFit="1" customWidth="1"/>
    <col min="13" max="13" width="8.77734375" bestFit="1" customWidth="1"/>
    <col min="14" max="14" width="7.88671875" bestFit="1" customWidth="1"/>
    <col min="15" max="15" width="8.77734375" bestFit="1" customWidth="1"/>
    <col min="16" max="16" width="7.88671875" bestFit="1" customWidth="1"/>
    <col min="17" max="17" width="8.77734375" bestFit="1" customWidth="1"/>
    <col min="18" max="18" width="7.88671875" bestFit="1" customWidth="1"/>
    <col min="19" max="19" width="8.77734375" bestFit="1" customWidth="1"/>
    <col min="21" max="21" width="14.5546875" hidden="1" customWidth="1"/>
    <col min="22" max="22" width="11.77734375" customWidth="1"/>
  </cols>
  <sheetData>
    <row r="1" spans="1:23" s="17" customFormat="1" ht="58.2" thickBo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</row>
    <row r="2" spans="1:23" s="6" customFormat="1" x14ac:dyDescent="0.3">
      <c r="A2" s="29" t="s">
        <v>69</v>
      </c>
      <c r="B2" s="6" t="s">
        <v>70</v>
      </c>
      <c r="C2" s="6" t="s">
        <v>25</v>
      </c>
      <c r="D2" s="6">
        <v>1</v>
      </c>
      <c r="E2" s="6">
        <v>0.5</v>
      </c>
      <c r="F2" s="30">
        <v>46184</v>
      </c>
      <c r="H2" s="6">
        <v>30</v>
      </c>
      <c r="I2" s="6" t="s">
        <v>26</v>
      </c>
      <c r="J2" s="6">
        <f>AVERAGE(L2, N2, P2, R2)</f>
        <v>89.5</v>
      </c>
      <c r="K2" s="6" t="s">
        <v>26</v>
      </c>
      <c r="L2" s="6" t="s">
        <v>77</v>
      </c>
      <c r="M2" s="6" t="s">
        <v>26</v>
      </c>
      <c r="N2" s="6">
        <v>89</v>
      </c>
      <c r="O2" s="6" t="s">
        <v>26</v>
      </c>
      <c r="P2" s="6">
        <v>95.5</v>
      </c>
      <c r="Q2" s="6" t="s">
        <v>26</v>
      </c>
      <c r="R2" s="6">
        <v>84</v>
      </c>
      <c r="S2" s="6" t="s">
        <v>26</v>
      </c>
      <c r="T2" s="6">
        <v>95.5</v>
      </c>
      <c r="U2" s="6" t="s">
        <v>26</v>
      </c>
      <c r="V2" s="31">
        <v>0.66527777777777775</v>
      </c>
    </row>
    <row r="3" spans="1:23" s="10" customFormat="1" ht="12.6" customHeight="1" x14ac:dyDescent="0.3">
      <c r="A3" s="27" t="s">
        <v>69</v>
      </c>
      <c r="B3" s="10" t="s">
        <v>70</v>
      </c>
      <c r="C3" s="10" t="s">
        <v>25</v>
      </c>
      <c r="D3" s="10">
        <v>1</v>
      </c>
      <c r="E3" s="10">
        <v>0.5</v>
      </c>
      <c r="F3" s="28">
        <v>46184</v>
      </c>
      <c r="H3" s="10">
        <v>45</v>
      </c>
      <c r="I3" s="10" t="s">
        <v>28</v>
      </c>
      <c r="J3" s="10">
        <f>AVERAGE(L3, N3, P3, R3)</f>
        <v>52.75</v>
      </c>
      <c r="K3" s="10" t="s">
        <v>28</v>
      </c>
      <c r="L3" s="10">
        <v>60</v>
      </c>
      <c r="M3" s="10" t="s">
        <v>28</v>
      </c>
      <c r="N3" s="10">
        <v>55</v>
      </c>
      <c r="O3" s="10" t="s">
        <v>28</v>
      </c>
      <c r="P3" s="10">
        <v>43</v>
      </c>
      <c r="Q3" s="10" t="s">
        <v>28</v>
      </c>
      <c r="R3" s="10">
        <v>53</v>
      </c>
      <c r="S3" s="10" t="s">
        <v>28</v>
      </c>
      <c r="T3" s="10">
        <v>60</v>
      </c>
      <c r="U3" s="10" t="s">
        <v>28</v>
      </c>
    </row>
    <row r="4" spans="1:23" s="12" customFormat="1" ht="15" thickBot="1" x14ac:dyDescent="0.35">
      <c r="A4" s="11" t="s">
        <v>69</v>
      </c>
      <c r="B4" s="12" t="s">
        <v>70</v>
      </c>
      <c r="C4" s="12" t="s">
        <v>25</v>
      </c>
      <c r="D4" s="12">
        <v>1</v>
      </c>
      <c r="E4" s="12">
        <v>0.5</v>
      </c>
      <c r="F4" s="13">
        <v>46184</v>
      </c>
      <c r="G4" s="12">
        <f>SUM(H2:H3)</f>
        <v>75</v>
      </c>
      <c r="H4" s="12">
        <v>25</v>
      </c>
      <c r="I4" s="12" t="s">
        <v>29</v>
      </c>
      <c r="J4" s="12" t="e">
        <f>AVERAGE(L4, N4, P4, R4)</f>
        <v>#DIV/0!</v>
      </c>
      <c r="T4" s="12">
        <v>0</v>
      </c>
    </row>
    <row r="5" spans="1:23" s="4" customFormat="1" x14ac:dyDescent="0.3">
      <c r="A5" s="3" t="s">
        <v>69</v>
      </c>
      <c r="B5" s="4" t="s">
        <v>70</v>
      </c>
      <c r="C5" s="4" t="s">
        <v>25</v>
      </c>
      <c r="D5" s="4">
        <v>1</v>
      </c>
      <c r="E5" s="4">
        <v>2</v>
      </c>
      <c r="F5" s="5">
        <v>46184</v>
      </c>
      <c r="H5" s="4">
        <v>10</v>
      </c>
      <c r="I5" s="4" t="s">
        <v>31</v>
      </c>
      <c r="J5" s="4" t="e">
        <f t="shared" ref="J5:J63" si="0">AVERAGE(L5, N5, P5, R5)</f>
        <v>#DIV/0!</v>
      </c>
      <c r="U5" s="4" t="s">
        <v>28</v>
      </c>
      <c r="V5" s="7">
        <v>0.65972222222222221</v>
      </c>
      <c r="W5" s="4" t="s">
        <v>32</v>
      </c>
    </row>
    <row r="6" spans="1:23" s="10" customFormat="1" x14ac:dyDescent="0.3">
      <c r="A6" s="27" t="s">
        <v>69</v>
      </c>
      <c r="B6" s="10" t="s">
        <v>70</v>
      </c>
      <c r="C6" s="10" t="s">
        <v>25</v>
      </c>
      <c r="D6" s="10">
        <v>1</v>
      </c>
      <c r="E6" s="10">
        <v>2</v>
      </c>
      <c r="F6" s="28">
        <v>46184</v>
      </c>
      <c r="H6" s="10">
        <v>55</v>
      </c>
      <c r="I6" s="10" t="s">
        <v>28</v>
      </c>
      <c r="J6" s="10">
        <f t="shared" si="0"/>
        <v>38.875</v>
      </c>
      <c r="K6" s="10" t="s">
        <v>28</v>
      </c>
      <c r="L6" s="10">
        <v>39</v>
      </c>
      <c r="M6" s="10" t="s">
        <v>28</v>
      </c>
      <c r="N6" s="10">
        <v>39.5</v>
      </c>
      <c r="O6" s="10" t="s">
        <v>28</v>
      </c>
      <c r="P6" s="10">
        <v>42</v>
      </c>
      <c r="Q6" s="10" t="s">
        <v>28</v>
      </c>
      <c r="R6" s="10">
        <v>35</v>
      </c>
      <c r="S6" s="10" t="s">
        <v>28</v>
      </c>
      <c r="T6" s="10">
        <v>42</v>
      </c>
    </row>
    <row r="7" spans="1:23" s="12" customFormat="1" ht="15" thickBot="1" x14ac:dyDescent="0.35">
      <c r="A7" s="11" t="s">
        <v>69</v>
      </c>
      <c r="B7" s="12" t="s">
        <v>70</v>
      </c>
      <c r="C7" s="12" t="s">
        <v>25</v>
      </c>
      <c r="D7" s="12">
        <v>1</v>
      </c>
      <c r="E7" s="12">
        <v>2</v>
      </c>
      <c r="F7" s="13">
        <v>46184</v>
      </c>
      <c r="G7" s="12">
        <f>SUM(H5:H6)</f>
        <v>65</v>
      </c>
      <c r="H7" s="12">
        <v>35</v>
      </c>
      <c r="I7" s="12" t="s">
        <v>29</v>
      </c>
      <c r="J7" s="12" t="e">
        <f t="shared" si="0"/>
        <v>#DIV/0!</v>
      </c>
      <c r="T7" s="12">
        <v>0</v>
      </c>
    </row>
    <row r="8" spans="1:23" s="6" customFormat="1" x14ac:dyDescent="0.3">
      <c r="A8" s="29" t="s">
        <v>69</v>
      </c>
      <c r="B8" s="6" t="s">
        <v>70</v>
      </c>
      <c r="C8" s="6" t="s">
        <v>25</v>
      </c>
      <c r="D8" s="6">
        <v>1</v>
      </c>
      <c r="E8" s="6">
        <v>6</v>
      </c>
      <c r="F8" s="30">
        <v>46184</v>
      </c>
      <c r="H8" s="6">
        <v>90</v>
      </c>
      <c r="I8" s="6" t="s">
        <v>28</v>
      </c>
      <c r="J8" s="6">
        <f t="shared" si="0"/>
        <v>38.875</v>
      </c>
      <c r="K8" s="6" t="s">
        <v>28</v>
      </c>
      <c r="L8" s="6">
        <v>44</v>
      </c>
      <c r="M8" s="6" t="s">
        <v>28</v>
      </c>
      <c r="N8" s="6">
        <v>35</v>
      </c>
      <c r="O8" s="6" t="s">
        <v>28</v>
      </c>
      <c r="P8" s="6">
        <v>38</v>
      </c>
      <c r="Q8" s="6" t="s">
        <v>28</v>
      </c>
      <c r="R8" s="6">
        <v>38.5</v>
      </c>
      <c r="S8" s="6" t="s">
        <v>28</v>
      </c>
      <c r="T8" s="6">
        <v>44</v>
      </c>
      <c r="U8" s="6" t="s">
        <v>28</v>
      </c>
      <c r="V8" s="31">
        <v>0.64861111111111114</v>
      </c>
      <c r="W8" s="6" t="s">
        <v>71</v>
      </c>
    </row>
    <row r="9" spans="1:23" x14ac:dyDescent="0.3">
      <c r="A9" s="8" t="s">
        <v>69</v>
      </c>
      <c r="B9" t="s">
        <v>70</v>
      </c>
      <c r="C9" t="s">
        <v>25</v>
      </c>
      <c r="D9">
        <v>1</v>
      </c>
      <c r="E9">
        <v>6</v>
      </c>
      <c r="F9" s="9">
        <v>46184</v>
      </c>
      <c r="H9">
        <v>5</v>
      </c>
      <c r="I9" t="s">
        <v>31</v>
      </c>
      <c r="J9" t="e">
        <f t="shared" si="0"/>
        <v>#DIV/0!</v>
      </c>
      <c r="T9">
        <v>0</v>
      </c>
    </row>
    <row r="10" spans="1:23" s="12" customFormat="1" ht="15" thickBot="1" x14ac:dyDescent="0.35">
      <c r="A10" s="11" t="s">
        <v>69</v>
      </c>
      <c r="B10" s="12" t="s">
        <v>70</v>
      </c>
      <c r="C10" s="12" t="s">
        <v>25</v>
      </c>
      <c r="D10" s="12">
        <v>1</v>
      </c>
      <c r="E10" s="12">
        <v>6</v>
      </c>
      <c r="F10" s="13">
        <v>46184</v>
      </c>
      <c r="G10" s="12">
        <f>SUM(H8:H9)</f>
        <v>95</v>
      </c>
      <c r="H10" s="12">
        <v>5</v>
      </c>
      <c r="I10" s="12" t="s">
        <v>29</v>
      </c>
      <c r="J10" s="12" t="e">
        <f t="shared" si="0"/>
        <v>#DIV/0!</v>
      </c>
      <c r="T10" s="12">
        <v>0</v>
      </c>
    </row>
    <row r="11" spans="1:23" s="4" customFormat="1" x14ac:dyDescent="0.3">
      <c r="A11" s="3" t="s">
        <v>69</v>
      </c>
      <c r="B11" s="4" t="s">
        <v>70</v>
      </c>
      <c r="C11" s="4" t="s">
        <v>25</v>
      </c>
      <c r="D11" s="4">
        <v>1</v>
      </c>
      <c r="E11" s="4">
        <v>12</v>
      </c>
      <c r="F11" s="5">
        <v>46184</v>
      </c>
      <c r="H11" s="4">
        <v>10</v>
      </c>
      <c r="I11" s="4" t="s">
        <v>29</v>
      </c>
      <c r="J11" s="4" t="e">
        <f t="shared" si="0"/>
        <v>#DIV/0!</v>
      </c>
      <c r="L11" s="4" t="s">
        <v>33</v>
      </c>
      <c r="T11" s="4">
        <v>0</v>
      </c>
    </row>
    <row r="12" spans="1:23" x14ac:dyDescent="0.3">
      <c r="A12" s="8" t="s">
        <v>69</v>
      </c>
      <c r="B12" t="s">
        <v>70</v>
      </c>
      <c r="C12" t="s">
        <v>25</v>
      </c>
      <c r="D12">
        <v>1</v>
      </c>
      <c r="E12">
        <v>12</v>
      </c>
      <c r="F12" s="9">
        <v>46184</v>
      </c>
      <c r="H12">
        <v>5</v>
      </c>
      <c r="I12" t="s">
        <v>31</v>
      </c>
      <c r="J12" t="e">
        <f t="shared" si="0"/>
        <v>#DIV/0!</v>
      </c>
    </row>
    <row r="13" spans="1:23" s="14" customFormat="1" ht="15" thickBot="1" x14ac:dyDescent="0.35">
      <c r="A13" s="32" t="s">
        <v>69</v>
      </c>
      <c r="B13" s="14" t="s">
        <v>70</v>
      </c>
      <c r="C13" s="14" t="s">
        <v>25</v>
      </c>
      <c r="D13" s="14">
        <v>1</v>
      </c>
      <c r="E13" s="14">
        <v>12</v>
      </c>
      <c r="F13" s="33">
        <v>46184</v>
      </c>
      <c r="G13" s="14">
        <f>SUM(H12:H13)</f>
        <v>95</v>
      </c>
      <c r="H13" s="14">
        <v>90</v>
      </c>
      <c r="I13" s="14" t="s">
        <v>28</v>
      </c>
      <c r="J13" s="14">
        <f t="shared" si="0"/>
        <v>36.875</v>
      </c>
      <c r="K13" s="14" t="s">
        <v>28</v>
      </c>
      <c r="L13" s="14">
        <v>36.5</v>
      </c>
      <c r="M13" s="14" t="s">
        <v>28</v>
      </c>
      <c r="N13" s="14">
        <v>34.5</v>
      </c>
      <c r="O13" s="14" t="s">
        <v>28</v>
      </c>
      <c r="P13" s="14">
        <v>37.5</v>
      </c>
      <c r="Q13" s="14" t="s">
        <v>28</v>
      </c>
      <c r="R13" s="14">
        <v>39</v>
      </c>
      <c r="S13" s="14" t="s">
        <v>28</v>
      </c>
      <c r="T13" s="14">
        <v>39</v>
      </c>
      <c r="U13" s="14" t="s">
        <v>28</v>
      </c>
      <c r="V13" s="34">
        <v>0.64652777777777781</v>
      </c>
    </row>
    <row r="14" spans="1:23" s="4" customFormat="1" x14ac:dyDescent="0.3">
      <c r="A14" s="3" t="s">
        <v>69</v>
      </c>
      <c r="B14" s="4" t="s">
        <v>70</v>
      </c>
      <c r="C14" s="4" t="s">
        <v>25</v>
      </c>
      <c r="D14" s="4">
        <v>1</v>
      </c>
      <c r="E14" s="4">
        <v>18</v>
      </c>
      <c r="F14" s="5">
        <v>46184</v>
      </c>
      <c r="H14" s="4">
        <v>10</v>
      </c>
      <c r="I14" s="4" t="s">
        <v>31</v>
      </c>
      <c r="J14" s="4" t="e">
        <f t="shared" si="0"/>
        <v>#DIV/0!</v>
      </c>
      <c r="T14" s="4">
        <v>0</v>
      </c>
    </row>
    <row r="15" spans="1:23" s="10" customFormat="1" x14ac:dyDescent="0.3">
      <c r="A15" s="27" t="s">
        <v>69</v>
      </c>
      <c r="B15" s="10" t="s">
        <v>70</v>
      </c>
      <c r="C15" s="10" t="s">
        <v>25</v>
      </c>
      <c r="D15" s="10">
        <v>1</v>
      </c>
      <c r="E15" s="10">
        <v>18</v>
      </c>
      <c r="F15" s="28">
        <v>46184</v>
      </c>
      <c r="H15" s="10">
        <v>65</v>
      </c>
      <c r="I15" s="10" t="s">
        <v>34</v>
      </c>
      <c r="J15" s="10">
        <f t="shared" si="0"/>
        <v>20.75</v>
      </c>
      <c r="K15" s="10" t="s">
        <v>34</v>
      </c>
      <c r="L15" s="10">
        <v>20</v>
      </c>
      <c r="M15" s="10" t="s">
        <v>34</v>
      </c>
      <c r="N15" s="10">
        <v>23</v>
      </c>
      <c r="O15" s="10" t="s">
        <v>34</v>
      </c>
      <c r="P15" s="10">
        <v>20</v>
      </c>
      <c r="Q15" s="10" t="s">
        <v>34</v>
      </c>
      <c r="R15" s="10">
        <v>20</v>
      </c>
      <c r="S15" s="10" t="s">
        <v>34</v>
      </c>
      <c r="T15" s="10">
        <v>18.5</v>
      </c>
      <c r="U15" s="10" t="s">
        <v>34</v>
      </c>
      <c r="V15" s="35">
        <v>0.63472222222222219</v>
      </c>
      <c r="W15" s="10" t="s">
        <v>78</v>
      </c>
    </row>
    <row r="16" spans="1:23" s="10" customFormat="1" x14ac:dyDescent="0.3">
      <c r="A16" s="27" t="s">
        <v>69</v>
      </c>
      <c r="B16" s="10" t="s">
        <v>70</v>
      </c>
      <c r="C16" s="10" t="s">
        <v>25</v>
      </c>
      <c r="D16" s="10">
        <v>1</v>
      </c>
      <c r="E16" s="10">
        <v>18</v>
      </c>
      <c r="F16" s="28">
        <v>46184</v>
      </c>
      <c r="H16" s="10">
        <v>15</v>
      </c>
      <c r="I16" s="10" t="s">
        <v>28</v>
      </c>
      <c r="J16" s="10">
        <f t="shared" si="0"/>
        <v>30.75</v>
      </c>
      <c r="K16" s="10" t="s">
        <v>28</v>
      </c>
      <c r="L16" s="10">
        <v>26.5</v>
      </c>
      <c r="M16" s="10" t="s">
        <v>28</v>
      </c>
      <c r="N16" s="10" t="s">
        <v>77</v>
      </c>
      <c r="O16" s="10" t="s">
        <v>28</v>
      </c>
      <c r="P16" s="10" t="s">
        <v>77</v>
      </c>
      <c r="Q16" s="10" t="s">
        <v>28</v>
      </c>
      <c r="R16" s="10">
        <v>35</v>
      </c>
      <c r="S16" s="10" t="s">
        <v>28</v>
      </c>
      <c r="T16" s="10">
        <v>35</v>
      </c>
      <c r="U16" s="10" t="s">
        <v>28</v>
      </c>
    </row>
    <row r="17" spans="1:23" x14ac:dyDescent="0.3">
      <c r="A17" s="8" t="s">
        <v>69</v>
      </c>
      <c r="B17" t="s">
        <v>70</v>
      </c>
      <c r="C17" t="s">
        <v>25</v>
      </c>
      <c r="D17">
        <v>1</v>
      </c>
      <c r="E17">
        <v>18</v>
      </c>
      <c r="F17" s="9">
        <v>46184</v>
      </c>
      <c r="H17">
        <v>5</v>
      </c>
      <c r="I17" t="s">
        <v>35</v>
      </c>
      <c r="J17" t="e">
        <f t="shared" si="0"/>
        <v>#DIV/0!</v>
      </c>
      <c r="T17">
        <v>0</v>
      </c>
    </row>
    <row r="18" spans="1:23" x14ac:dyDescent="0.3">
      <c r="A18" s="8" t="s">
        <v>69</v>
      </c>
      <c r="B18" t="s">
        <v>70</v>
      </c>
      <c r="C18" t="s">
        <v>25</v>
      </c>
      <c r="D18">
        <v>1</v>
      </c>
      <c r="E18">
        <v>18</v>
      </c>
      <c r="F18" s="9">
        <v>46184</v>
      </c>
      <c r="H18">
        <v>10</v>
      </c>
      <c r="I18" t="s">
        <v>29</v>
      </c>
      <c r="J18" t="e">
        <f t="shared" si="0"/>
        <v>#DIV/0!</v>
      </c>
      <c r="T18">
        <v>0</v>
      </c>
    </row>
    <row r="19" spans="1:23" s="12" customFormat="1" ht="15" thickBot="1" x14ac:dyDescent="0.35">
      <c r="A19" s="11" t="s">
        <v>69</v>
      </c>
      <c r="B19" s="12" t="s">
        <v>70</v>
      </c>
      <c r="C19" s="12" t="s">
        <v>25</v>
      </c>
      <c r="D19" s="12">
        <v>1</v>
      </c>
      <c r="E19" s="12">
        <v>18</v>
      </c>
      <c r="F19" s="13">
        <v>46184</v>
      </c>
      <c r="G19" s="12">
        <f>SUM(H14:H17, H19)</f>
        <v>105</v>
      </c>
      <c r="H19" s="12">
        <v>10</v>
      </c>
      <c r="I19" s="12" t="s">
        <v>36</v>
      </c>
      <c r="J19" s="12" t="e">
        <f t="shared" si="0"/>
        <v>#DIV/0!</v>
      </c>
      <c r="T19" s="12">
        <v>0</v>
      </c>
    </row>
    <row r="20" spans="1:23" s="6" customFormat="1" x14ac:dyDescent="0.3">
      <c r="A20" s="29" t="s">
        <v>69</v>
      </c>
      <c r="B20" s="6" t="s">
        <v>70</v>
      </c>
      <c r="C20" s="6" t="s">
        <v>25</v>
      </c>
      <c r="D20" s="6">
        <v>1</v>
      </c>
      <c r="E20" s="6">
        <v>24</v>
      </c>
      <c r="F20" s="30">
        <v>46184</v>
      </c>
      <c r="H20" s="6">
        <v>35</v>
      </c>
      <c r="I20" s="6" t="s">
        <v>28</v>
      </c>
      <c r="J20" s="6">
        <f t="shared" si="0"/>
        <v>30.375</v>
      </c>
      <c r="K20" s="6" t="s">
        <v>28</v>
      </c>
      <c r="L20" s="6">
        <v>23</v>
      </c>
      <c r="M20" s="6" t="s">
        <v>28</v>
      </c>
      <c r="N20" s="6">
        <v>34</v>
      </c>
      <c r="O20" s="6" t="s">
        <v>28</v>
      </c>
      <c r="P20" s="6">
        <v>38.5</v>
      </c>
      <c r="Q20" s="6" t="s">
        <v>28</v>
      </c>
      <c r="R20" s="6">
        <v>26</v>
      </c>
      <c r="S20" s="6" t="s">
        <v>28</v>
      </c>
      <c r="T20" s="6">
        <v>38.5</v>
      </c>
      <c r="U20" s="6" t="s">
        <v>28</v>
      </c>
      <c r="V20" s="31">
        <v>0.625</v>
      </c>
      <c r="W20" s="6" t="s">
        <v>37</v>
      </c>
    </row>
    <row r="21" spans="1:23" x14ac:dyDescent="0.3">
      <c r="A21" s="8" t="s">
        <v>69</v>
      </c>
      <c r="B21" t="s">
        <v>70</v>
      </c>
      <c r="C21" t="s">
        <v>25</v>
      </c>
      <c r="D21">
        <v>1</v>
      </c>
      <c r="E21">
        <v>24</v>
      </c>
      <c r="F21" s="9">
        <v>46184</v>
      </c>
      <c r="H21">
        <v>25</v>
      </c>
      <c r="I21" t="s">
        <v>36</v>
      </c>
      <c r="J21" t="e">
        <f t="shared" si="0"/>
        <v>#DIV/0!</v>
      </c>
      <c r="T21">
        <v>17</v>
      </c>
      <c r="U21" t="s">
        <v>36</v>
      </c>
      <c r="W21" t="s">
        <v>79</v>
      </c>
    </row>
    <row r="22" spans="1:23" x14ac:dyDescent="0.3">
      <c r="A22" s="8" t="s">
        <v>69</v>
      </c>
      <c r="B22" t="s">
        <v>70</v>
      </c>
      <c r="C22" t="s">
        <v>25</v>
      </c>
      <c r="D22">
        <v>1</v>
      </c>
      <c r="E22">
        <v>24</v>
      </c>
      <c r="F22" s="9">
        <v>46184</v>
      </c>
      <c r="H22">
        <v>15</v>
      </c>
      <c r="I22" t="s">
        <v>31</v>
      </c>
      <c r="J22" t="e">
        <f t="shared" si="0"/>
        <v>#DIV/0!</v>
      </c>
      <c r="T22">
        <v>0</v>
      </c>
    </row>
    <row r="23" spans="1:23" x14ac:dyDescent="0.3">
      <c r="A23" s="8" t="s">
        <v>69</v>
      </c>
      <c r="B23" t="s">
        <v>70</v>
      </c>
      <c r="C23" t="s">
        <v>25</v>
      </c>
      <c r="D23">
        <v>1</v>
      </c>
      <c r="E23">
        <v>24</v>
      </c>
      <c r="F23" s="9">
        <v>46184</v>
      </c>
      <c r="H23">
        <v>25</v>
      </c>
      <c r="I23" t="s">
        <v>35</v>
      </c>
      <c r="J23" t="e">
        <f t="shared" si="0"/>
        <v>#DIV/0!</v>
      </c>
      <c r="T23">
        <v>0</v>
      </c>
    </row>
    <row r="24" spans="1:23" x14ac:dyDescent="0.3">
      <c r="A24" s="8" t="s">
        <v>69</v>
      </c>
      <c r="B24" t="s">
        <v>70</v>
      </c>
      <c r="C24" t="s">
        <v>25</v>
      </c>
      <c r="D24">
        <v>1</v>
      </c>
      <c r="E24">
        <v>24</v>
      </c>
      <c r="F24" s="9">
        <v>46184</v>
      </c>
      <c r="H24">
        <v>30</v>
      </c>
      <c r="I24" t="s">
        <v>29</v>
      </c>
      <c r="J24" t="e">
        <f t="shared" si="0"/>
        <v>#DIV/0!</v>
      </c>
      <c r="T24">
        <v>0</v>
      </c>
    </row>
    <row r="25" spans="1:23" s="14" customFormat="1" ht="15" thickBot="1" x14ac:dyDescent="0.35">
      <c r="A25" s="32" t="s">
        <v>69</v>
      </c>
      <c r="B25" s="14" t="s">
        <v>70</v>
      </c>
      <c r="C25" s="14" t="s">
        <v>25</v>
      </c>
      <c r="D25" s="14">
        <v>1</v>
      </c>
      <c r="E25" s="14">
        <v>24</v>
      </c>
      <c r="F25" s="33">
        <v>46184</v>
      </c>
      <c r="G25" s="14">
        <f>SUM(H20:H23, H25)</f>
        <v>140</v>
      </c>
      <c r="H25" s="14">
        <v>40</v>
      </c>
      <c r="I25" s="14" t="s">
        <v>34</v>
      </c>
      <c r="J25" s="14">
        <f t="shared" si="0"/>
        <v>15.75</v>
      </c>
      <c r="K25" s="14" t="s">
        <v>38</v>
      </c>
      <c r="L25" s="14">
        <v>17</v>
      </c>
      <c r="N25" s="14">
        <v>12</v>
      </c>
      <c r="P25" s="14">
        <v>17</v>
      </c>
      <c r="R25" s="14">
        <v>17</v>
      </c>
      <c r="T25" s="14">
        <v>18.5</v>
      </c>
      <c r="U25" s="14" t="s">
        <v>38</v>
      </c>
    </row>
    <row r="26" spans="1:23" s="6" customFormat="1" x14ac:dyDescent="0.3">
      <c r="A26" s="29" t="s">
        <v>69</v>
      </c>
      <c r="B26" s="6" t="s">
        <v>70</v>
      </c>
      <c r="C26" s="6" t="s">
        <v>25</v>
      </c>
      <c r="D26" s="6">
        <v>1</v>
      </c>
      <c r="E26" s="6">
        <v>48</v>
      </c>
      <c r="F26" s="30">
        <v>46184</v>
      </c>
      <c r="H26" s="6">
        <v>75</v>
      </c>
      <c r="I26" s="6" t="s">
        <v>28</v>
      </c>
      <c r="J26" s="6">
        <f t="shared" si="0"/>
        <v>35</v>
      </c>
      <c r="K26" s="6" t="s">
        <v>28</v>
      </c>
      <c r="L26" s="6">
        <v>31.5</v>
      </c>
      <c r="M26" s="6" t="s">
        <v>28</v>
      </c>
      <c r="N26" s="6">
        <v>40.5</v>
      </c>
      <c r="O26" s="6" t="s">
        <v>28</v>
      </c>
      <c r="P26" s="6">
        <v>35</v>
      </c>
      <c r="Q26" s="6" t="s">
        <v>28</v>
      </c>
      <c r="R26" s="6">
        <v>33</v>
      </c>
      <c r="S26" s="6" t="s">
        <v>28</v>
      </c>
      <c r="T26" s="6">
        <v>40.5</v>
      </c>
      <c r="U26" s="6" t="s">
        <v>28</v>
      </c>
      <c r="V26" s="31">
        <v>0.61597222222222225</v>
      </c>
    </row>
    <row r="27" spans="1:23" x14ac:dyDescent="0.3">
      <c r="A27" s="8" t="s">
        <v>69</v>
      </c>
      <c r="B27" t="s">
        <v>70</v>
      </c>
      <c r="C27" t="s">
        <v>25</v>
      </c>
      <c r="D27">
        <v>1</v>
      </c>
      <c r="E27">
        <v>48</v>
      </c>
      <c r="F27" s="9">
        <v>46184</v>
      </c>
      <c r="H27">
        <v>15</v>
      </c>
      <c r="I27" t="s">
        <v>36</v>
      </c>
      <c r="J27" t="e">
        <f t="shared" si="0"/>
        <v>#DIV/0!</v>
      </c>
      <c r="T27">
        <v>0</v>
      </c>
      <c r="W27" t="s">
        <v>80</v>
      </c>
    </row>
    <row r="28" spans="1:23" x14ac:dyDescent="0.3">
      <c r="A28" s="8" t="s">
        <v>69</v>
      </c>
      <c r="B28" t="s">
        <v>70</v>
      </c>
      <c r="C28" t="s">
        <v>25</v>
      </c>
      <c r="D28">
        <v>1</v>
      </c>
      <c r="E28">
        <v>48</v>
      </c>
      <c r="F28" s="9">
        <v>46184</v>
      </c>
      <c r="H28">
        <v>5</v>
      </c>
      <c r="I28" t="s">
        <v>29</v>
      </c>
      <c r="J28" t="e">
        <f t="shared" si="0"/>
        <v>#DIV/0!</v>
      </c>
      <c r="T28">
        <v>0</v>
      </c>
    </row>
    <row r="29" spans="1:23" s="12" customFormat="1" ht="15" thickBot="1" x14ac:dyDescent="0.35">
      <c r="A29" s="11" t="s">
        <v>69</v>
      </c>
      <c r="B29" s="12" t="s">
        <v>70</v>
      </c>
      <c r="C29" s="12" t="s">
        <v>25</v>
      </c>
      <c r="D29" s="12">
        <v>1</v>
      </c>
      <c r="E29" s="12">
        <v>48</v>
      </c>
      <c r="F29" s="13">
        <v>46184</v>
      </c>
      <c r="G29" s="12">
        <f>SUM(H26:H27, H29)</f>
        <v>100</v>
      </c>
      <c r="H29" s="12">
        <v>10</v>
      </c>
      <c r="I29" s="12" t="s">
        <v>31</v>
      </c>
      <c r="J29" s="12" t="e">
        <f t="shared" si="0"/>
        <v>#DIV/0!</v>
      </c>
      <c r="T29" s="12">
        <v>0</v>
      </c>
    </row>
    <row r="30" spans="1:23" s="6" customFormat="1" x14ac:dyDescent="0.3">
      <c r="A30" s="29" t="s">
        <v>69</v>
      </c>
      <c r="B30" s="6" t="s">
        <v>70</v>
      </c>
      <c r="C30" s="6" t="s">
        <v>25</v>
      </c>
      <c r="D30" s="6">
        <v>2</v>
      </c>
      <c r="E30" s="6">
        <v>0.5</v>
      </c>
      <c r="F30" s="30">
        <v>46184</v>
      </c>
      <c r="H30" s="6">
        <v>10</v>
      </c>
      <c r="I30" s="6" t="s">
        <v>26</v>
      </c>
      <c r="J30" s="6">
        <f t="shared" si="0"/>
        <v>64.75</v>
      </c>
      <c r="K30" s="6" t="s">
        <v>26</v>
      </c>
      <c r="L30" s="6">
        <v>67</v>
      </c>
      <c r="N30" s="6">
        <v>71.5</v>
      </c>
      <c r="P30" s="6">
        <v>66.5</v>
      </c>
      <c r="R30" s="6">
        <v>54</v>
      </c>
      <c r="T30" s="6">
        <v>71.5</v>
      </c>
      <c r="V30" s="31">
        <v>0.67847222222222225</v>
      </c>
    </row>
    <row r="31" spans="1:23" s="10" customFormat="1" x14ac:dyDescent="0.3">
      <c r="A31" s="27" t="s">
        <v>69</v>
      </c>
      <c r="B31" s="10" t="s">
        <v>70</v>
      </c>
      <c r="C31" s="10" t="s">
        <v>25</v>
      </c>
      <c r="D31" s="10">
        <v>2</v>
      </c>
      <c r="E31" s="10">
        <v>0.5</v>
      </c>
      <c r="F31" s="28">
        <v>46184</v>
      </c>
      <c r="H31" s="10">
        <v>50</v>
      </c>
      <c r="I31" s="10" t="s">
        <v>28</v>
      </c>
      <c r="J31" s="10">
        <f t="shared" si="0"/>
        <v>40.125</v>
      </c>
      <c r="K31" s="10" t="s">
        <v>28</v>
      </c>
      <c r="L31" s="10">
        <v>34.5</v>
      </c>
      <c r="M31" s="10" t="s">
        <v>28</v>
      </c>
      <c r="N31" s="10">
        <v>41</v>
      </c>
      <c r="O31" s="10" t="s">
        <v>28</v>
      </c>
      <c r="P31" s="10">
        <v>46</v>
      </c>
      <c r="Q31" s="10" t="s">
        <v>28</v>
      </c>
      <c r="R31" s="10">
        <v>39</v>
      </c>
      <c r="S31" s="10" t="s">
        <v>28</v>
      </c>
      <c r="T31" s="10">
        <v>46</v>
      </c>
      <c r="U31" s="10" t="s">
        <v>28</v>
      </c>
    </row>
    <row r="32" spans="1:23" x14ac:dyDescent="0.3">
      <c r="A32" s="8" t="s">
        <v>69</v>
      </c>
      <c r="B32" t="s">
        <v>70</v>
      </c>
      <c r="C32" t="s">
        <v>25</v>
      </c>
      <c r="D32">
        <v>2</v>
      </c>
      <c r="E32">
        <v>0.5</v>
      </c>
      <c r="F32" s="9">
        <v>46184</v>
      </c>
      <c r="H32">
        <v>25</v>
      </c>
      <c r="I32" t="s">
        <v>31</v>
      </c>
      <c r="J32" t="e">
        <f t="shared" si="0"/>
        <v>#DIV/0!</v>
      </c>
      <c r="T32">
        <v>0</v>
      </c>
    </row>
    <row r="33" spans="1:23" s="12" customFormat="1" ht="15" thickBot="1" x14ac:dyDescent="0.35">
      <c r="A33" s="11" t="s">
        <v>69</v>
      </c>
      <c r="B33" s="12" t="s">
        <v>70</v>
      </c>
      <c r="C33" s="12" t="s">
        <v>25</v>
      </c>
      <c r="D33" s="12">
        <v>2</v>
      </c>
      <c r="E33" s="12">
        <v>0.5</v>
      </c>
      <c r="F33" s="13">
        <v>46184</v>
      </c>
      <c r="G33" s="12">
        <f>SUM(H30:H33)</f>
        <v>130</v>
      </c>
      <c r="H33" s="12">
        <v>45</v>
      </c>
      <c r="I33" s="12" t="s">
        <v>36</v>
      </c>
      <c r="J33" s="12" t="e">
        <f t="shared" si="0"/>
        <v>#DIV/0!</v>
      </c>
      <c r="T33" s="12">
        <v>32</v>
      </c>
    </row>
    <row r="34" spans="1:23" s="6" customFormat="1" x14ac:dyDescent="0.3">
      <c r="A34" s="29" t="s">
        <v>69</v>
      </c>
      <c r="B34" s="6" t="s">
        <v>70</v>
      </c>
      <c r="C34" s="6" t="s">
        <v>25</v>
      </c>
      <c r="D34" s="6">
        <v>2</v>
      </c>
      <c r="E34" s="6">
        <v>2</v>
      </c>
      <c r="F34" s="30">
        <v>46184</v>
      </c>
      <c r="H34" s="6">
        <v>55</v>
      </c>
      <c r="I34" s="6" t="s">
        <v>28</v>
      </c>
      <c r="J34" s="6">
        <f t="shared" si="0"/>
        <v>33.875</v>
      </c>
      <c r="K34" s="6" t="s">
        <v>28</v>
      </c>
      <c r="L34" s="6">
        <v>32.5</v>
      </c>
      <c r="M34" s="6" t="s">
        <v>28</v>
      </c>
      <c r="N34" s="6">
        <v>33</v>
      </c>
      <c r="O34" s="6" t="s">
        <v>28</v>
      </c>
      <c r="P34" s="6">
        <v>35</v>
      </c>
      <c r="Q34" s="6" t="s">
        <v>28</v>
      </c>
      <c r="R34" s="6">
        <v>35</v>
      </c>
      <c r="S34" s="6" t="s">
        <v>28</v>
      </c>
      <c r="T34" s="6">
        <v>35</v>
      </c>
      <c r="U34" s="6" t="s">
        <v>28</v>
      </c>
      <c r="V34" s="31">
        <v>0.68680555555555556</v>
      </c>
    </row>
    <row r="35" spans="1:23" x14ac:dyDescent="0.3">
      <c r="A35" s="8" t="s">
        <v>69</v>
      </c>
      <c r="B35" t="s">
        <v>70</v>
      </c>
      <c r="C35" t="s">
        <v>25</v>
      </c>
      <c r="D35">
        <v>2</v>
      </c>
      <c r="E35">
        <v>2</v>
      </c>
      <c r="F35" s="9">
        <v>46184</v>
      </c>
      <c r="H35">
        <v>20</v>
      </c>
      <c r="I35" t="s">
        <v>31</v>
      </c>
      <c r="J35" t="e">
        <f t="shared" si="0"/>
        <v>#DIV/0!</v>
      </c>
      <c r="T35">
        <v>0</v>
      </c>
    </row>
    <row r="36" spans="1:23" x14ac:dyDescent="0.3">
      <c r="A36" s="8" t="s">
        <v>69</v>
      </c>
      <c r="B36" t="s">
        <v>70</v>
      </c>
      <c r="C36" t="s">
        <v>25</v>
      </c>
      <c r="D36">
        <v>2</v>
      </c>
      <c r="E36">
        <v>2</v>
      </c>
      <c r="F36" s="9">
        <v>46184</v>
      </c>
      <c r="H36">
        <v>30</v>
      </c>
      <c r="I36" t="s">
        <v>36</v>
      </c>
      <c r="J36" t="e">
        <f t="shared" si="0"/>
        <v>#DIV/0!</v>
      </c>
      <c r="T36">
        <v>0</v>
      </c>
    </row>
    <row r="37" spans="1:23" s="12" customFormat="1" ht="15" thickBot="1" x14ac:dyDescent="0.35">
      <c r="A37" s="11" t="s">
        <v>69</v>
      </c>
      <c r="B37" s="12" t="s">
        <v>70</v>
      </c>
      <c r="C37" s="12" t="s">
        <v>25</v>
      </c>
      <c r="D37" s="12">
        <v>2</v>
      </c>
      <c r="E37" s="12">
        <v>2</v>
      </c>
      <c r="F37" s="13">
        <v>46184</v>
      </c>
      <c r="G37" s="12">
        <f>SUM(H34:H36)</f>
        <v>105</v>
      </c>
      <c r="H37" s="12">
        <v>5</v>
      </c>
      <c r="I37" s="12" t="s">
        <v>29</v>
      </c>
      <c r="J37" s="12" t="e">
        <f t="shared" si="0"/>
        <v>#DIV/0!</v>
      </c>
      <c r="T37" s="12">
        <v>0</v>
      </c>
    </row>
    <row r="38" spans="1:23" s="6" customFormat="1" x14ac:dyDescent="0.3">
      <c r="A38" s="29" t="s">
        <v>69</v>
      </c>
      <c r="B38" s="6" t="s">
        <v>70</v>
      </c>
      <c r="C38" s="6" t="s">
        <v>25</v>
      </c>
      <c r="D38" s="6">
        <v>2</v>
      </c>
      <c r="E38" s="6">
        <v>6</v>
      </c>
      <c r="F38" s="30">
        <v>46184</v>
      </c>
      <c r="H38" s="6">
        <v>85</v>
      </c>
      <c r="I38" s="6" t="s">
        <v>28</v>
      </c>
      <c r="J38" s="6">
        <f t="shared" si="0"/>
        <v>36.5</v>
      </c>
      <c r="K38" s="6" t="s">
        <v>28</v>
      </c>
      <c r="L38" s="6">
        <v>32</v>
      </c>
      <c r="M38" s="6" t="s">
        <v>28</v>
      </c>
      <c r="N38" s="6">
        <v>44</v>
      </c>
      <c r="O38" s="6" t="s">
        <v>28</v>
      </c>
      <c r="P38" s="6">
        <v>35</v>
      </c>
      <c r="Q38" s="6" t="s">
        <v>28</v>
      </c>
      <c r="R38" s="6">
        <v>35</v>
      </c>
      <c r="S38" s="6" t="s">
        <v>28</v>
      </c>
      <c r="T38" s="6">
        <v>44</v>
      </c>
      <c r="U38" s="6" t="s">
        <v>28</v>
      </c>
      <c r="V38" s="31">
        <v>0.69305555555555554</v>
      </c>
      <c r="W38" s="6" t="s">
        <v>75</v>
      </c>
    </row>
    <row r="39" spans="1:23" x14ac:dyDescent="0.3">
      <c r="A39" s="8" t="s">
        <v>69</v>
      </c>
      <c r="B39" t="s">
        <v>70</v>
      </c>
      <c r="C39" t="s">
        <v>25</v>
      </c>
      <c r="D39">
        <v>2</v>
      </c>
      <c r="E39">
        <v>6</v>
      </c>
      <c r="F39" s="9">
        <v>46184</v>
      </c>
      <c r="H39">
        <v>10</v>
      </c>
      <c r="I39" t="s">
        <v>31</v>
      </c>
      <c r="J39" t="e">
        <f t="shared" si="0"/>
        <v>#DIV/0!</v>
      </c>
      <c r="T39">
        <v>0</v>
      </c>
    </row>
    <row r="40" spans="1:23" s="12" customFormat="1" ht="15" thickBot="1" x14ac:dyDescent="0.35">
      <c r="A40" s="11" t="s">
        <v>69</v>
      </c>
      <c r="B40" s="12" t="s">
        <v>70</v>
      </c>
      <c r="C40" s="12" t="s">
        <v>25</v>
      </c>
      <c r="D40" s="12">
        <v>2</v>
      </c>
      <c r="E40" s="12">
        <v>6</v>
      </c>
      <c r="F40" s="13">
        <v>46184</v>
      </c>
      <c r="G40" s="12">
        <f>SUM(H38:H40)</f>
        <v>100</v>
      </c>
      <c r="H40" s="12">
        <v>5</v>
      </c>
      <c r="I40" s="12" t="s">
        <v>36</v>
      </c>
      <c r="J40" s="12" t="e">
        <f t="shared" si="0"/>
        <v>#DIV/0!</v>
      </c>
      <c r="T40" s="12">
        <v>0</v>
      </c>
    </row>
    <row r="41" spans="1:23" s="6" customFormat="1" x14ac:dyDescent="0.3">
      <c r="A41" s="29" t="s">
        <v>69</v>
      </c>
      <c r="B41" s="6" t="s">
        <v>70</v>
      </c>
      <c r="C41" s="6" t="s">
        <v>25</v>
      </c>
      <c r="D41" s="6">
        <v>2</v>
      </c>
      <c r="E41" s="6">
        <v>12</v>
      </c>
      <c r="F41" s="30">
        <v>46184</v>
      </c>
      <c r="H41" s="6">
        <v>75</v>
      </c>
      <c r="I41" s="6" t="s">
        <v>28</v>
      </c>
      <c r="J41" s="6">
        <f t="shared" si="0"/>
        <v>35.25</v>
      </c>
      <c r="K41" s="6" t="s">
        <v>28</v>
      </c>
      <c r="L41" s="6">
        <v>31.5</v>
      </c>
      <c r="M41" s="6" t="s">
        <v>28</v>
      </c>
      <c r="N41" s="6">
        <v>35.5</v>
      </c>
      <c r="O41" s="6" t="s">
        <v>28</v>
      </c>
      <c r="P41" s="6">
        <v>35</v>
      </c>
      <c r="Q41" s="6" t="s">
        <v>28</v>
      </c>
      <c r="R41" s="6">
        <v>39</v>
      </c>
      <c r="S41" s="6" t="s">
        <v>28</v>
      </c>
      <c r="T41" s="6">
        <v>39</v>
      </c>
      <c r="U41" s="6" t="s">
        <v>28</v>
      </c>
      <c r="V41" s="31">
        <v>0.7</v>
      </c>
    </row>
    <row r="42" spans="1:23" x14ac:dyDescent="0.3">
      <c r="A42" s="8" t="s">
        <v>69</v>
      </c>
      <c r="B42" t="s">
        <v>70</v>
      </c>
      <c r="C42" t="s">
        <v>25</v>
      </c>
      <c r="D42">
        <v>2</v>
      </c>
      <c r="E42">
        <v>12</v>
      </c>
      <c r="F42" s="9">
        <v>46184</v>
      </c>
      <c r="H42">
        <v>10</v>
      </c>
      <c r="I42" t="s">
        <v>36</v>
      </c>
      <c r="J42" t="e">
        <f t="shared" si="0"/>
        <v>#DIV/0!</v>
      </c>
      <c r="T42">
        <v>0</v>
      </c>
    </row>
    <row r="43" spans="1:23" x14ac:dyDescent="0.3">
      <c r="A43" s="8" t="s">
        <v>69</v>
      </c>
      <c r="B43" t="s">
        <v>70</v>
      </c>
      <c r="C43" t="s">
        <v>25</v>
      </c>
      <c r="D43">
        <v>2</v>
      </c>
      <c r="E43">
        <v>12</v>
      </c>
      <c r="F43" s="9">
        <v>46184</v>
      </c>
      <c r="H43">
        <v>10</v>
      </c>
      <c r="I43" t="s">
        <v>31</v>
      </c>
      <c r="J43" t="e">
        <f t="shared" si="0"/>
        <v>#DIV/0!</v>
      </c>
      <c r="T43">
        <v>0</v>
      </c>
    </row>
    <row r="44" spans="1:23" s="12" customFormat="1" ht="15" thickBot="1" x14ac:dyDescent="0.35">
      <c r="A44" s="11" t="s">
        <v>69</v>
      </c>
      <c r="B44" s="12" t="s">
        <v>70</v>
      </c>
      <c r="C44" s="12" t="s">
        <v>25</v>
      </c>
      <c r="D44" s="12">
        <v>2</v>
      </c>
      <c r="E44" s="12">
        <v>12</v>
      </c>
      <c r="F44" s="13">
        <v>46184</v>
      </c>
      <c r="G44" s="12">
        <f>SUM(H41:H43)</f>
        <v>95</v>
      </c>
      <c r="H44" s="12">
        <v>5</v>
      </c>
      <c r="I44" s="12" t="s">
        <v>29</v>
      </c>
      <c r="J44" s="12" t="e">
        <f t="shared" si="0"/>
        <v>#DIV/0!</v>
      </c>
      <c r="T44" s="12">
        <v>0</v>
      </c>
    </row>
    <row r="45" spans="1:23" s="4" customFormat="1" x14ac:dyDescent="0.3">
      <c r="A45" s="3" t="s">
        <v>69</v>
      </c>
      <c r="B45" s="4" t="s">
        <v>70</v>
      </c>
      <c r="C45" s="4" t="s">
        <v>25</v>
      </c>
      <c r="D45" s="4">
        <v>2</v>
      </c>
      <c r="E45" s="4">
        <v>18</v>
      </c>
      <c r="F45" s="5">
        <v>46184</v>
      </c>
      <c r="H45" s="4">
        <v>65</v>
      </c>
      <c r="I45" s="4" t="s">
        <v>31</v>
      </c>
      <c r="J45" s="4" t="e">
        <f t="shared" si="0"/>
        <v>#DIV/0!</v>
      </c>
      <c r="T45" s="4">
        <v>0</v>
      </c>
    </row>
    <row r="46" spans="1:23" s="10" customFormat="1" x14ac:dyDescent="0.3">
      <c r="A46" s="27" t="s">
        <v>69</v>
      </c>
      <c r="B46" s="10" t="s">
        <v>70</v>
      </c>
      <c r="C46" s="10" t="s">
        <v>25</v>
      </c>
      <c r="D46" s="10">
        <v>2</v>
      </c>
      <c r="E46" s="10">
        <v>18</v>
      </c>
      <c r="F46" s="28">
        <v>46184</v>
      </c>
      <c r="H46" s="10">
        <v>70</v>
      </c>
      <c r="I46" s="10" t="s">
        <v>38</v>
      </c>
      <c r="J46" s="10">
        <f t="shared" si="0"/>
        <v>21.5</v>
      </c>
      <c r="K46" s="10" t="s">
        <v>38</v>
      </c>
      <c r="L46" s="10">
        <v>18</v>
      </c>
      <c r="N46" s="10">
        <v>21</v>
      </c>
      <c r="P46" s="10">
        <v>20</v>
      </c>
      <c r="R46" s="10">
        <v>27</v>
      </c>
      <c r="T46" s="10">
        <v>27</v>
      </c>
      <c r="V46" s="35">
        <v>0.70694444444444449</v>
      </c>
    </row>
    <row r="47" spans="1:23" s="10" customFormat="1" x14ac:dyDescent="0.3">
      <c r="A47" s="27" t="s">
        <v>69</v>
      </c>
      <c r="B47" s="10" t="s">
        <v>70</v>
      </c>
      <c r="C47" s="10" t="s">
        <v>25</v>
      </c>
      <c r="D47" s="10">
        <v>2</v>
      </c>
      <c r="E47" s="10">
        <v>18</v>
      </c>
      <c r="F47" s="28">
        <v>46184</v>
      </c>
      <c r="H47" s="10">
        <v>15</v>
      </c>
      <c r="I47" s="10" t="s">
        <v>28</v>
      </c>
      <c r="J47" s="10">
        <f t="shared" si="0"/>
        <v>30</v>
      </c>
      <c r="K47" s="10" t="s">
        <v>28</v>
      </c>
      <c r="L47" s="10">
        <v>45</v>
      </c>
      <c r="M47" s="10" t="s">
        <v>28</v>
      </c>
      <c r="N47" s="10">
        <v>29</v>
      </c>
      <c r="O47" s="10" t="s">
        <v>28</v>
      </c>
      <c r="P47" s="10">
        <v>20</v>
      </c>
      <c r="Q47" s="10" t="s">
        <v>28</v>
      </c>
      <c r="R47" s="10">
        <v>26</v>
      </c>
      <c r="S47" s="10" t="s">
        <v>28</v>
      </c>
      <c r="T47" s="10">
        <v>45</v>
      </c>
      <c r="U47" s="10" t="s">
        <v>28</v>
      </c>
    </row>
    <row r="48" spans="1:23" s="12" customFormat="1" ht="15" thickBot="1" x14ac:dyDescent="0.35">
      <c r="A48" s="11" t="s">
        <v>69</v>
      </c>
      <c r="B48" s="12" t="s">
        <v>70</v>
      </c>
      <c r="C48" s="12" t="s">
        <v>25</v>
      </c>
      <c r="D48" s="12">
        <v>2</v>
      </c>
      <c r="E48" s="12">
        <v>18</v>
      </c>
      <c r="F48" s="13">
        <v>46184</v>
      </c>
      <c r="G48" s="12">
        <f>SUM(H45:H48)</f>
        <v>170</v>
      </c>
      <c r="H48" s="12">
        <v>20</v>
      </c>
      <c r="I48" s="12" t="s">
        <v>36</v>
      </c>
      <c r="J48" s="12" t="e">
        <f t="shared" si="0"/>
        <v>#DIV/0!</v>
      </c>
      <c r="T48" s="12">
        <v>0</v>
      </c>
      <c r="W48" s="12" t="s">
        <v>82</v>
      </c>
    </row>
    <row r="49" spans="1:23" s="6" customFormat="1" x14ac:dyDescent="0.3">
      <c r="A49" s="29" t="s">
        <v>69</v>
      </c>
      <c r="B49" s="6" t="s">
        <v>70</v>
      </c>
      <c r="C49" s="6" t="s">
        <v>25</v>
      </c>
      <c r="D49" s="6">
        <v>2</v>
      </c>
      <c r="E49" s="6">
        <v>24</v>
      </c>
      <c r="F49" s="30">
        <v>46184</v>
      </c>
      <c r="H49" s="6">
        <v>80</v>
      </c>
      <c r="I49" s="6" t="s">
        <v>28</v>
      </c>
      <c r="J49" s="6">
        <f t="shared" si="0"/>
        <v>42.125</v>
      </c>
      <c r="K49" s="6" t="s">
        <v>28</v>
      </c>
      <c r="L49" s="6">
        <v>55.5</v>
      </c>
      <c r="M49" s="6" t="s">
        <v>28</v>
      </c>
      <c r="N49" s="6">
        <v>48</v>
      </c>
      <c r="O49" s="6" t="s">
        <v>28</v>
      </c>
      <c r="P49" s="6">
        <v>37</v>
      </c>
      <c r="Q49" s="6" t="s">
        <v>28</v>
      </c>
      <c r="R49" s="6">
        <v>28</v>
      </c>
      <c r="S49" s="6" t="s">
        <v>28</v>
      </c>
      <c r="T49" s="6">
        <v>55.5</v>
      </c>
      <c r="U49" s="6" t="s">
        <v>28</v>
      </c>
      <c r="V49" s="31">
        <v>0.71388888888888891</v>
      </c>
    </row>
    <row r="50" spans="1:23" x14ac:dyDescent="0.3">
      <c r="A50" s="8" t="s">
        <v>69</v>
      </c>
      <c r="B50" t="s">
        <v>70</v>
      </c>
      <c r="C50" t="s">
        <v>25</v>
      </c>
      <c r="D50">
        <v>2</v>
      </c>
      <c r="E50">
        <v>24</v>
      </c>
      <c r="F50" s="9">
        <v>46184</v>
      </c>
      <c r="H50">
        <v>15</v>
      </c>
      <c r="I50" t="s">
        <v>36</v>
      </c>
      <c r="J50" t="e">
        <f t="shared" si="0"/>
        <v>#DIV/0!</v>
      </c>
      <c r="T50">
        <v>0</v>
      </c>
      <c r="W50" t="s">
        <v>83</v>
      </c>
    </row>
    <row r="51" spans="1:23" x14ac:dyDescent="0.3">
      <c r="A51" s="8" t="s">
        <v>69</v>
      </c>
      <c r="B51" t="s">
        <v>70</v>
      </c>
      <c r="C51" t="s">
        <v>25</v>
      </c>
      <c r="D51">
        <v>2</v>
      </c>
      <c r="E51">
        <v>24</v>
      </c>
      <c r="F51" s="9">
        <v>46184</v>
      </c>
      <c r="H51">
        <v>10</v>
      </c>
      <c r="I51" t="s">
        <v>31</v>
      </c>
      <c r="J51" t="e">
        <f t="shared" si="0"/>
        <v>#DIV/0!</v>
      </c>
      <c r="T51">
        <v>0</v>
      </c>
    </row>
    <row r="52" spans="1:23" s="12" customFormat="1" ht="15" thickBot="1" x14ac:dyDescent="0.35">
      <c r="A52" s="11" t="s">
        <v>69</v>
      </c>
      <c r="B52" s="12" t="s">
        <v>70</v>
      </c>
      <c r="C52" s="12" t="s">
        <v>25</v>
      </c>
      <c r="D52" s="12">
        <v>2</v>
      </c>
      <c r="E52" s="12">
        <v>24</v>
      </c>
      <c r="F52" s="13">
        <v>46184</v>
      </c>
      <c r="G52" s="12">
        <f>SUM(H49:H51)</f>
        <v>105</v>
      </c>
      <c r="H52" s="12">
        <v>5</v>
      </c>
      <c r="I52" s="12" t="s">
        <v>29</v>
      </c>
      <c r="J52" s="12" t="e">
        <f t="shared" si="0"/>
        <v>#DIV/0!</v>
      </c>
      <c r="T52" s="12">
        <v>0</v>
      </c>
    </row>
    <row r="53" spans="1:23" s="6" customFormat="1" x14ac:dyDescent="0.3">
      <c r="A53" s="29" t="s">
        <v>69</v>
      </c>
      <c r="B53" s="6" t="s">
        <v>70</v>
      </c>
      <c r="C53" s="6" t="s">
        <v>25</v>
      </c>
      <c r="D53" s="6">
        <v>2</v>
      </c>
      <c r="E53" s="6">
        <v>48</v>
      </c>
      <c r="F53" s="30">
        <v>46184</v>
      </c>
      <c r="H53" s="6">
        <v>55</v>
      </c>
      <c r="I53" s="6" t="s">
        <v>28</v>
      </c>
      <c r="J53" s="6">
        <f t="shared" si="0"/>
        <v>40.5</v>
      </c>
      <c r="K53" s="6" t="s">
        <v>28</v>
      </c>
      <c r="L53" s="6">
        <v>46</v>
      </c>
      <c r="M53" s="6" t="s">
        <v>28</v>
      </c>
      <c r="N53" s="6">
        <v>39</v>
      </c>
      <c r="O53" s="6" t="s">
        <v>28</v>
      </c>
      <c r="P53" s="6">
        <v>38</v>
      </c>
      <c r="Q53" s="6" t="s">
        <v>28</v>
      </c>
      <c r="R53" s="6">
        <v>39</v>
      </c>
      <c r="S53" s="6" t="s">
        <v>28</v>
      </c>
      <c r="T53" s="6">
        <v>46</v>
      </c>
      <c r="U53" s="6" t="s">
        <v>28</v>
      </c>
      <c r="V53" s="31">
        <v>0.72083333333333333</v>
      </c>
    </row>
    <row r="54" spans="1:23" x14ac:dyDescent="0.3">
      <c r="A54" s="8" t="s">
        <v>69</v>
      </c>
      <c r="B54" t="s">
        <v>70</v>
      </c>
      <c r="C54" t="s">
        <v>25</v>
      </c>
      <c r="D54">
        <v>2</v>
      </c>
      <c r="E54">
        <v>48</v>
      </c>
      <c r="F54" s="9">
        <v>46184</v>
      </c>
      <c r="H54">
        <v>20</v>
      </c>
      <c r="I54" t="s">
        <v>31</v>
      </c>
      <c r="J54" t="e">
        <f t="shared" si="0"/>
        <v>#DIV/0!</v>
      </c>
      <c r="T54">
        <v>0</v>
      </c>
    </row>
    <row r="55" spans="1:23" x14ac:dyDescent="0.3">
      <c r="A55" s="8" t="s">
        <v>69</v>
      </c>
      <c r="B55" t="s">
        <v>70</v>
      </c>
      <c r="C55" t="s">
        <v>25</v>
      </c>
      <c r="D55">
        <v>2</v>
      </c>
      <c r="E55">
        <v>48</v>
      </c>
      <c r="F55" s="9">
        <v>46184</v>
      </c>
      <c r="H55">
        <v>40</v>
      </c>
      <c r="I55" t="s">
        <v>36</v>
      </c>
      <c r="J55" t="e">
        <f t="shared" si="0"/>
        <v>#DIV/0!</v>
      </c>
      <c r="T55">
        <v>0</v>
      </c>
    </row>
    <row r="56" spans="1:23" s="12" customFormat="1" ht="15" thickBot="1" x14ac:dyDescent="0.35">
      <c r="A56" s="11" t="s">
        <v>69</v>
      </c>
      <c r="B56" s="12" t="s">
        <v>70</v>
      </c>
      <c r="C56" s="12" t="s">
        <v>25</v>
      </c>
      <c r="D56" s="12">
        <v>2</v>
      </c>
      <c r="E56" s="12">
        <v>48</v>
      </c>
      <c r="F56" s="13">
        <v>46184</v>
      </c>
      <c r="G56" s="12">
        <f>SUM(H53:H55)</f>
        <v>115</v>
      </c>
      <c r="H56" s="12">
        <v>10</v>
      </c>
      <c r="I56" s="12" t="s">
        <v>29</v>
      </c>
      <c r="J56" s="12" t="e">
        <f t="shared" si="0"/>
        <v>#DIV/0!</v>
      </c>
      <c r="T56" s="12">
        <v>0</v>
      </c>
    </row>
    <row r="57" spans="1:23" s="6" customFormat="1" x14ac:dyDescent="0.3">
      <c r="A57" s="29" t="s">
        <v>69</v>
      </c>
      <c r="B57" s="6" t="s">
        <v>70</v>
      </c>
      <c r="C57" s="6" t="s">
        <v>41</v>
      </c>
      <c r="D57" s="6">
        <v>1</v>
      </c>
      <c r="E57" s="6">
        <v>0.5</v>
      </c>
      <c r="F57" s="30">
        <v>46182</v>
      </c>
      <c r="H57" s="6">
        <v>30</v>
      </c>
      <c r="I57" s="6" t="s">
        <v>31</v>
      </c>
      <c r="J57" s="6" t="e">
        <f t="shared" si="0"/>
        <v>#DIV/0!</v>
      </c>
      <c r="T57" s="6">
        <v>20.5</v>
      </c>
      <c r="V57" s="31" t="s">
        <v>89</v>
      </c>
    </row>
    <row r="58" spans="1:23" s="10" customFormat="1" x14ac:dyDescent="0.3">
      <c r="A58" s="27" t="s">
        <v>69</v>
      </c>
      <c r="B58" s="10" t="s">
        <v>70</v>
      </c>
      <c r="C58" s="10" t="s">
        <v>41</v>
      </c>
      <c r="D58" s="10">
        <v>1</v>
      </c>
      <c r="E58" s="10">
        <v>0.5</v>
      </c>
      <c r="F58" s="28">
        <v>46182</v>
      </c>
      <c r="H58" s="10">
        <v>15</v>
      </c>
      <c r="I58" s="10" t="s">
        <v>28</v>
      </c>
      <c r="J58" s="10">
        <f t="shared" si="0"/>
        <v>24.833333333333332</v>
      </c>
      <c r="K58" s="10" t="s">
        <v>28</v>
      </c>
      <c r="L58" s="10">
        <v>33</v>
      </c>
      <c r="M58" s="10" t="s">
        <v>28</v>
      </c>
      <c r="N58" s="10" t="s">
        <v>77</v>
      </c>
      <c r="O58" s="10" t="s">
        <v>28</v>
      </c>
      <c r="P58" s="10">
        <v>17.5</v>
      </c>
      <c r="Q58" s="10" t="s">
        <v>28</v>
      </c>
      <c r="R58" s="10">
        <v>24</v>
      </c>
      <c r="S58" s="10" t="s">
        <v>28</v>
      </c>
      <c r="T58" s="10">
        <v>33</v>
      </c>
      <c r="U58" s="10" t="s">
        <v>28</v>
      </c>
    </row>
    <row r="59" spans="1:23" s="14" customFormat="1" ht="15" thickBot="1" x14ac:dyDescent="0.35">
      <c r="A59" s="32" t="s">
        <v>69</v>
      </c>
      <c r="B59" s="14" t="s">
        <v>70</v>
      </c>
      <c r="C59" s="14" t="s">
        <v>41</v>
      </c>
      <c r="D59" s="14">
        <v>1</v>
      </c>
      <c r="E59" s="14">
        <v>0.5</v>
      </c>
      <c r="F59" s="28">
        <v>46182</v>
      </c>
      <c r="G59" s="14">
        <f>SUM(H57:H59)</f>
        <v>110</v>
      </c>
      <c r="H59" s="14">
        <v>65</v>
      </c>
      <c r="I59" s="14" t="s">
        <v>88</v>
      </c>
      <c r="J59" s="14">
        <f t="shared" si="0"/>
        <v>7.25</v>
      </c>
      <c r="K59" s="14" t="s">
        <v>88</v>
      </c>
      <c r="L59" s="14">
        <v>7</v>
      </c>
      <c r="M59" s="14" t="s">
        <v>88</v>
      </c>
      <c r="N59" s="14">
        <v>8</v>
      </c>
      <c r="O59" s="14" t="s">
        <v>88</v>
      </c>
      <c r="P59" s="14">
        <v>5</v>
      </c>
      <c r="Q59" s="14" t="s">
        <v>88</v>
      </c>
      <c r="R59" s="14">
        <v>9</v>
      </c>
      <c r="S59" s="14" t="s">
        <v>88</v>
      </c>
      <c r="T59" s="14">
        <v>9</v>
      </c>
    </row>
    <row r="60" spans="1:23" s="6" customFormat="1" x14ac:dyDescent="0.3">
      <c r="A60" s="29" t="s">
        <v>69</v>
      </c>
      <c r="B60" s="6" t="s">
        <v>70</v>
      </c>
      <c r="C60" s="6" t="s">
        <v>41</v>
      </c>
      <c r="D60" s="6">
        <v>1</v>
      </c>
      <c r="E60" s="6">
        <v>2</v>
      </c>
      <c r="F60" s="28">
        <v>46182</v>
      </c>
      <c r="H60" s="6">
        <v>40</v>
      </c>
      <c r="I60" s="6" t="s">
        <v>31</v>
      </c>
      <c r="J60" s="6" t="e">
        <f t="shared" si="0"/>
        <v>#DIV/0!</v>
      </c>
      <c r="T60" s="6">
        <v>0</v>
      </c>
    </row>
    <row r="61" spans="1:23" s="10" customFormat="1" x14ac:dyDescent="0.3">
      <c r="A61" s="27" t="s">
        <v>69</v>
      </c>
      <c r="B61" s="10" t="s">
        <v>70</v>
      </c>
      <c r="C61" s="10" t="s">
        <v>41</v>
      </c>
      <c r="D61" s="10">
        <v>1</v>
      </c>
      <c r="E61" s="10">
        <v>2</v>
      </c>
      <c r="F61" s="28">
        <v>46182</v>
      </c>
      <c r="H61" s="10">
        <v>50</v>
      </c>
      <c r="I61" s="10" t="s">
        <v>28</v>
      </c>
      <c r="J61" s="10">
        <f t="shared" si="0"/>
        <v>33.625</v>
      </c>
      <c r="K61" s="10" t="s">
        <v>28</v>
      </c>
      <c r="L61" s="10">
        <v>33.5</v>
      </c>
      <c r="M61" s="10" t="s">
        <v>28</v>
      </c>
      <c r="N61" s="10">
        <v>33</v>
      </c>
      <c r="O61" s="10" t="s">
        <v>28</v>
      </c>
      <c r="P61" s="10">
        <v>34</v>
      </c>
      <c r="Q61" s="10" t="s">
        <v>28</v>
      </c>
      <c r="R61" s="10">
        <v>34</v>
      </c>
      <c r="S61" s="10" t="s">
        <v>28</v>
      </c>
      <c r="T61" s="10">
        <v>35.5</v>
      </c>
      <c r="U61" s="10" t="s">
        <v>28</v>
      </c>
      <c r="V61" s="35">
        <v>0.52638888888888891</v>
      </c>
    </row>
    <row r="62" spans="1:23" s="12" customFormat="1" ht="15" thickBot="1" x14ac:dyDescent="0.35">
      <c r="A62" s="11" t="s">
        <v>69</v>
      </c>
      <c r="B62" s="12" t="s">
        <v>70</v>
      </c>
      <c r="C62" s="12" t="s">
        <v>41</v>
      </c>
      <c r="D62" s="12">
        <v>1</v>
      </c>
      <c r="E62" s="12">
        <v>2</v>
      </c>
      <c r="F62" s="9">
        <v>46182</v>
      </c>
      <c r="G62" s="12">
        <f>SUM(H60:H61)</f>
        <v>90</v>
      </c>
      <c r="H62" s="12">
        <v>10</v>
      </c>
      <c r="I62" s="12" t="s">
        <v>29</v>
      </c>
      <c r="J62" s="12" t="e">
        <f t="shared" si="0"/>
        <v>#DIV/0!</v>
      </c>
      <c r="T62" s="12">
        <v>0</v>
      </c>
    </row>
    <row r="63" spans="1:23" s="6" customFormat="1" x14ac:dyDescent="0.3">
      <c r="A63" s="29" t="s">
        <v>69</v>
      </c>
      <c r="B63" s="6" t="s">
        <v>70</v>
      </c>
      <c r="C63" s="6" t="s">
        <v>41</v>
      </c>
      <c r="D63" s="6">
        <v>1</v>
      </c>
      <c r="E63" s="6">
        <v>6</v>
      </c>
      <c r="F63" s="28">
        <v>46182</v>
      </c>
      <c r="H63" s="6">
        <v>85</v>
      </c>
      <c r="I63" s="6" t="s">
        <v>28</v>
      </c>
      <c r="J63" s="6">
        <f t="shared" si="0"/>
        <v>39.625</v>
      </c>
      <c r="K63" s="6" t="s">
        <v>28</v>
      </c>
      <c r="L63" s="6">
        <v>36.5</v>
      </c>
      <c r="M63" s="6" t="s">
        <v>28</v>
      </c>
      <c r="N63" s="6">
        <v>43</v>
      </c>
      <c r="O63" s="6" t="s">
        <v>28</v>
      </c>
      <c r="P63" s="6">
        <v>39</v>
      </c>
      <c r="Q63" s="6" t="s">
        <v>28</v>
      </c>
      <c r="R63" s="6">
        <v>40</v>
      </c>
      <c r="S63" s="6" t="s">
        <v>28</v>
      </c>
      <c r="T63" s="6">
        <v>43</v>
      </c>
      <c r="U63" s="6" t="s">
        <v>28</v>
      </c>
      <c r="V63" s="31">
        <v>0.53333333333333333</v>
      </c>
    </row>
    <row r="64" spans="1:23" s="12" customFormat="1" ht="15" thickBot="1" x14ac:dyDescent="0.35">
      <c r="A64" s="11" t="s">
        <v>69</v>
      </c>
      <c r="B64" s="12" t="s">
        <v>70</v>
      </c>
      <c r="C64" s="12" t="s">
        <v>41</v>
      </c>
      <c r="D64" s="12">
        <v>1</v>
      </c>
      <c r="E64" s="12">
        <v>6</v>
      </c>
      <c r="F64" s="9">
        <v>46182</v>
      </c>
      <c r="G64" s="12">
        <f>SUM(H63)</f>
        <v>85</v>
      </c>
      <c r="H64" s="12">
        <v>15</v>
      </c>
      <c r="I64" s="12" t="s">
        <v>29</v>
      </c>
      <c r="J64" s="12" t="e">
        <f t="shared" ref="J64:J118" si="1">AVERAGE(L64, N64, P64, R64)</f>
        <v>#DIV/0!</v>
      </c>
      <c r="T64" s="12">
        <v>0</v>
      </c>
    </row>
    <row r="65" spans="1:23" s="6" customFormat="1" x14ac:dyDescent="0.3">
      <c r="A65" s="29" t="s">
        <v>69</v>
      </c>
      <c r="B65" s="6" t="s">
        <v>70</v>
      </c>
      <c r="C65" s="6" t="s">
        <v>41</v>
      </c>
      <c r="D65" s="6">
        <v>1</v>
      </c>
      <c r="E65" s="6">
        <v>12</v>
      </c>
      <c r="F65" s="28">
        <v>46182</v>
      </c>
      <c r="H65" s="6">
        <v>80</v>
      </c>
      <c r="I65" s="6" t="s">
        <v>28</v>
      </c>
      <c r="J65" s="6">
        <f t="shared" si="1"/>
        <v>46.25</v>
      </c>
      <c r="K65" s="6" t="s">
        <v>28</v>
      </c>
      <c r="L65" s="6">
        <v>40</v>
      </c>
      <c r="M65" s="6" t="s">
        <v>28</v>
      </c>
      <c r="N65" s="6">
        <v>58</v>
      </c>
      <c r="O65" s="6" t="s">
        <v>28</v>
      </c>
      <c r="P65" s="6">
        <v>46.5</v>
      </c>
      <c r="Q65" s="6" t="s">
        <v>28</v>
      </c>
      <c r="R65" s="6">
        <v>40.5</v>
      </c>
      <c r="S65" s="6" t="s">
        <v>28</v>
      </c>
      <c r="T65" s="6">
        <v>58</v>
      </c>
      <c r="U65" s="6" t="s">
        <v>28</v>
      </c>
      <c r="V65" s="31">
        <v>0.54027777777777775</v>
      </c>
    </row>
    <row r="66" spans="1:23" ht="15" thickBot="1" x14ac:dyDescent="0.35">
      <c r="A66" s="8" t="s">
        <v>69</v>
      </c>
      <c r="B66" t="s">
        <v>70</v>
      </c>
      <c r="C66" t="s">
        <v>41</v>
      </c>
      <c r="D66">
        <v>1</v>
      </c>
      <c r="E66">
        <v>12</v>
      </c>
      <c r="F66" s="9">
        <v>46182</v>
      </c>
      <c r="G66">
        <f>SUM(H65)</f>
        <v>80</v>
      </c>
      <c r="H66">
        <v>40</v>
      </c>
      <c r="I66" t="s">
        <v>29</v>
      </c>
      <c r="J66" t="e">
        <f t="shared" si="1"/>
        <v>#DIV/0!</v>
      </c>
      <c r="T66">
        <v>0</v>
      </c>
    </row>
    <row r="67" spans="1:23" s="6" customFormat="1" x14ac:dyDescent="0.3">
      <c r="A67" s="29" t="s">
        <v>69</v>
      </c>
      <c r="B67" s="6" t="s">
        <v>70</v>
      </c>
      <c r="C67" s="6" t="s">
        <v>41</v>
      </c>
      <c r="D67" s="6">
        <v>1</v>
      </c>
      <c r="E67" s="6">
        <v>18</v>
      </c>
      <c r="F67" s="30">
        <v>46182</v>
      </c>
      <c r="H67" s="6">
        <v>90</v>
      </c>
      <c r="I67" s="6" t="s">
        <v>28</v>
      </c>
      <c r="J67" s="6">
        <f t="shared" si="1"/>
        <v>37.25</v>
      </c>
      <c r="K67" s="6" t="s">
        <v>28</v>
      </c>
      <c r="L67" s="6">
        <v>37</v>
      </c>
      <c r="M67" s="6" t="s">
        <v>28</v>
      </c>
      <c r="N67" s="6">
        <v>31</v>
      </c>
      <c r="O67" s="6" t="s">
        <v>28</v>
      </c>
      <c r="P67" s="6">
        <v>37</v>
      </c>
      <c r="Q67" s="6" t="s">
        <v>28</v>
      </c>
      <c r="R67" s="6">
        <v>44</v>
      </c>
      <c r="S67" s="6" t="s">
        <v>28</v>
      </c>
      <c r="T67" s="6">
        <v>44</v>
      </c>
      <c r="U67" s="6" t="s">
        <v>28</v>
      </c>
      <c r="V67" s="31">
        <v>0.54652777777777772</v>
      </c>
    </row>
    <row r="68" spans="1:23" s="12" customFormat="1" ht="15" thickBot="1" x14ac:dyDescent="0.35">
      <c r="A68" s="11" t="s">
        <v>69</v>
      </c>
      <c r="B68" s="12" t="s">
        <v>70</v>
      </c>
      <c r="C68" s="12" t="s">
        <v>41</v>
      </c>
      <c r="D68" s="12">
        <v>1</v>
      </c>
      <c r="E68" s="12">
        <v>18</v>
      </c>
      <c r="F68" s="13">
        <v>46182</v>
      </c>
      <c r="G68" s="12">
        <f>SUM(H67)</f>
        <v>90</v>
      </c>
      <c r="H68" s="12">
        <v>10</v>
      </c>
      <c r="I68" s="12" t="s">
        <v>29</v>
      </c>
      <c r="J68" s="12" t="e">
        <f t="shared" si="1"/>
        <v>#DIV/0!</v>
      </c>
      <c r="T68" s="12">
        <v>0</v>
      </c>
    </row>
    <row r="69" spans="1:23" s="4" customFormat="1" x14ac:dyDescent="0.3">
      <c r="A69" s="3" t="s">
        <v>69</v>
      </c>
      <c r="B69" s="4" t="s">
        <v>70</v>
      </c>
      <c r="C69" s="4" t="s">
        <v>41</v>
      </c>
      <c r="D69" s="4">
        <v>1</v>
      </c>
      <c r="E69" s="4">
        <v>24</v>
      </c>
      <c r="F69" s="5">
        <v>46182</v>
      </c>
      <c r="H69" s="4">
        <v>5</v>
      </c>
      <c r="I69" s="4" t="s">
        <v>29</v>
      </c>
      <c r="J69" s="4" t="e">
        <f t="shared" si="1"/>
        <v>#DIV/0!</v>
      </c>
      <c r="T69" s="4">
        <v>0</v>
      </c>
    </row>
    <row r="70" spans="1:23" s="10" customFormat="1" x14ac:dyDescent="0.3">
      <c r="A70" s="27" t="s">
        <v>69</v>
      </c>
      <c r="B70" s="10" t="s">
        <v>70</v>
      </c>
      <c r="C70" s="10" t="s">
        <v>41</v>
      </c>
      <c r="D70" s="10">
        <v>1</v>
      </c>
      <c r="E70" s="10">
        <v>24</v>
      </c>
      <c r="F70" s="28">
        <v>46182</v>
      </c>
      <c r="H70" s="10">
        <v>50</v>
      </c>
      <c r="I70" s="10" t="s">
        <v>28</v>
      </c>
      <c r="J70" s="10">
        <f t="shared" si="1"/>
        <v>35.25</v>
      </c>
      <c r="K70" s="10" t="s">
        <v>28</v>
      </c>
      <c r="L70" s="10">
        <v>34.5</v>
      </c>
      <c r="M70" s="10" t="s">
        <v>28</v>
      </c>
      <c r="N70" s="10">
        <v>41.5</v>
      </c>
      <c r="O70" s="10" t="s">
        <v>28</v>
      </c>
      <c r="P70" s="10">
        <v>37</v>
      </c>
      <c r="Q70" s="10" t="s">
        <v>28</v>
      </c>
      <c r="R70" s="10">
        <v>28</v>
      </c>
      <c r="S70" s="10" t="s">
        <v>28</v>
      </c>
      <c r="T70" s="10">
        <v>41.5</v>
      </c>
      <c r="U70" s="10" t="s">
        <v>28</v>
      </c>
      <c r="V70" s="35">
        <v>0.55555555555555558</v>
      </c>
    </row>
    <row r="71" spans="1:23" s="14" customFormat="1" ht="15" thickBot="1" x14ac:dyDescent="0.35">
      <c r="A71" s="32" t="s">
        <v>69</v>
      </c>
      <c r="B71" s="14" t="s">
        <v>70</v>
      </c>
      <c r="C71" s="14" t="s">
        <v>41</v>
      </c>
      <c r="D71" s="14">
        <v>1</v>
      </c>
      <c r="E71" s="14">
        <v>24</v>
      </c>
      <c r="F71" s="33">
        <v>46182</v>
      </c>
      <c r="G71" s="14">
        <f>SUM(H70:H71)</f>
        <v>105</v>
      </c>
      <c r="H71" s="14">
        <v>55</v>
      </c>
      <c r="I71" s="14" t="s">
        <v>36</v>
      </c>
      <c r="J71" s="14">
        <f t="shared" si="1"/>
        <v>19.875</v>
      </c>
      <c r="K71" s="14" t="s">
        <v>36</v>
      </c>
      <c r="L71" s="14">
        <v>17</v>
      </c>
      <c r="N71" s="14">
        <v>23</v>
      </c>
      <c r="P71" s="14">
        <v>21.5</v>
      </c>
      <c r="R71" s="14">
        <v>18</v>
      </c>
      <c r="T71" s="14">
        <v>23</v>
      </c>
      <c r="W71" s="14" t="s">
        <v>90</v>
      </c>
    </row>
    <row r="72" spans="1:23" s="4" customFormat="1" x14ac:dyDescent="0.3">
      <c r="A72" s="3" t="s">
        <v>69</v>
      </c>
      <c r="B72" s="4" t="s">
        <v>70</v>
      </c>
      <c r="C72" s="4" t="s">
        <v>41</v>
      </c>
      <c r="D72" s="4">
        <v>1</v>
      </c>
      <c r="E72" s="4">
        <v>48</v>
      </c>
      <c r="F72" s="5">
        <v>46182</v>
      </c>
      <c r="H72" s="4">
        <v>35</v>
      </c>
      <c r="I72" s="4" t="s">
        <v>35</v>
      </c>
      <c r="J72" s="4" t="e">
        <f t="shared" si="1"/>
        <v>#DIV/0!</v>
      </c>
      <c r="T72" s="4">
        <v>0</v>
      </c>
    </row>
    <row r="73" spans="1:23" x14ac:dyDescent="0.3">
      <c r="A73" s="8" t="s">
        <v>69</v>
      </c>
      <c r="B73" t="s">
        <v>70</v>
      </c>
      <c r="C73" t="s">
        <v>41</v>
      </c>
      <c r="D73">
        <v>1</v>
      </c>
      <c r="E73">
        <v>48</v>
      </c>
      <c r="F73" s="9">
        <v>46182</v>
      </c>
      <c r="H73">
        <v>10</v>
      </c>
      <c r="I73" t="s">
        <v>45</v>
      </c>
      <c r="J73" t="e">
        <f t="shared" si="1"/>
        <v>#DIV/0!</v>
      </c>
      <c r="T73">
        <v>0</v>
      </c>
    </row>
    <row r="74" spans="1:23" x14ac:dyDescent="0.3">
      <c r="A74" s="8" t="s">
        <v>69</v>
      </c>
      <c r="B74" t="s">
        <v>70</v>
      </c>
      <c r="C74" t="s">
        <v>41</v>
      </c>
      <c r="D74">
        <v>1</v>
      </c>
      <c r="E74">
        <v>48</v>
      </c>
      <c r="F74" s="9">
        <v>46182</v>
      </c>
      <c r="H74">
        <v>30</v>
      </c>
      <c r="I74" t="s">
        <v>28</v>
      </c>
      <c r="J74">
        <f t="shared" si="1"/>
        <v>26.75</v>
      </c>
      <c r="K74" t="s">
        <v>28</v>
      </c>
      <c r="L74" s="10">
        <v>31</v>
      </c>
      <c r="M74" t="s">
        <v>28</v>
      </c>
      <c r="N74">
        <v>18.5</v>
      </c>
      <c r="O74" t="s">
        <v>28</v>
      </c>
      <c r="P74">
        <v>26.5</v>
      </c>
      <c r="Q74" t="s">
        <v>28</v>
      </c>
      <c r="R74">
        <v>31</v>
      </c>
      <c r="S74" t="s">
        <v>28</v>
      </c>
      <c r="T74">
        <v>31</v>
      </c>
      <c r="U74" t="s">
        <v>28</v>
      </c>
      <c r="V74" s="16">
        <v>0.56041666666666667</v>
      </c>
    </row>
    <row r="75" spans="1:23" s="10" customFormat="1" x14ac:dyDescent="0.3">
      <c r="A75" s="27" t="s">
        <v>69</v>
      </c>
      <c r="B75" s="10" t="s">
        <v>70</v>
      </c>
      <c r="C75" s="10" t="s">
        <v>41</v>
      </c>
      <c r="D75" s="10">
        <v>1</v>
      </c>
      <c r="E75" s="10">
        <v>48</v>
      </c>
      <c r="F75" s="28">
        <v>46182</v>
      </c>
      <c r="H75" s="10">
        <v>75</v>
      </c>
      <c r="I75" s="10" t="s">
        <v>36</v>
      </c>
      <c r="J75" s="10">
        <f t="shared" si="1"/>
        <v>19.25</v>
      </c>
      <c r="K75" s="10" t="s">
        <v>36</v>
      </c>
      <c r="L75" s="10">
        <v>18</v>
      </c>
      <c r="N75" s="10">
        <v>15</v>
      </c>
      <c r="P75" s="10">
        <v>26</v>
      </c>
      <c r="R75" s="10">
        <v>18</v>
      </c>
      <c r="T75" s="10">
        <v>26</v>
      </c>
      <c r="W75" s="10" t="s">
        <v>91</v>
      </c>
    </row>
    <row r="76" spans="1:23" s="12" customFormat="1" ht="15" thickBot="1" x14ac:dyDescent="0.35">
      <c r="A76" s="11" t="s">
        <v>69</v>
      </c>
      <c r="B76" s="12" t="s">
        <v>70</v>
      </c>
      <c r="C76" s="12" t="s">
        <v>41</v>
      </c>
      <c r="D76" s="12">
        <v>1</v>
      </c>
      <c r="E76" s="12">
        <v>48</v>
      </c>
      <c r="F76" s="13">
        <v>46182</v>
      </c>
      <c r="G76" s="12">
        <f>SUM(H72:H75)</f>
        <v>150</v>
      </c>
      <c r="H76" s="12">
        <v>5</v>
      </c>
      <c r="I76" s="12" t="s">
        <v>29</v>
      </c>
      <c r="J76" s="12" t="e">
        <f t="shared" si="1"/>
        <v>#DIV/0!</v>
      </c>
      <c r="T76" s="12">
        <v>0</v>
      </c>
    </row>
    <row r="77" spans="1:23" s="19" customFormat="1" ht="15" thickBot="1" x14ac:dyDescent="0.35">
      <c r="A77" s="18" t="s">
        <v>69</v>
      </c>
      <c r="B77" s="19" t="s">
        <v>70</v>
      </c>
      <c r="C77" s="19" t="s">
        <v>41</v>
      </c>
      <c r="D77" s="19">
        <v>2</v>
      </c>
      <c r="E77" s="19">
        <v>0.5</v>
      </c>
      <c r="F77" s="20">
        <v>46182</v>
      </c>
      <c r="G77" s="19">
        <v>0</v>
      </c>
      <c r="H77" s="19">
        <v>15</v>
      </c>
      <c r="I77" s="19" t="s">
        <v>92</v>
      </c>
      <c r="J77" s="19" t="e">
        <f t="shared" si="1"/>
        <v>#DIV/0!</v>
      </c>
      <c r="T77" s="19">
        <v>0</v>
      </c>
    </row>
    <row r="78" spans="1:23" s="6" customFormat="1" x14ac:dyDescent="0.3">
      <c r="A78" s="29" t="s">
        <v>69</v>
      </c>
      <c r="B78" s="6" t="s">
        <v>70</v>
      </c>
      <c r="C78" s="6" t="s">
        <v>41</v>
      </c>
      <c r="D78" s="6">
        <v>2</v>
      </c>
      <c r="E78" s="6">
        <v>2</v>
      </c>
      <c r="F78" s="30">
        <v>46182</v>
      </c>
      <c r="H78" s="6">
        <v>20</v>
      </c>
      <c r="I78" s="6" t="s">
        <v>28</v>
      </c>
      <c r="J78" s="6">
        <f>AVERAGE(L78, N78,P78, R78)</f>
        <v>20.25</v>
      </c>
      <c r="K78" s="6" t="s">
        <v>28</v>
      </c>
      <c r="L78" s="6">
        <v>26.5</v>
      </c>
      <c r="N78" s="6" t="s">
        <v>77</v>
      </c>
      <c r="P78" s="6" t="s">
        <v>77</v>
      </c>
      <c r="R78" s="6">
        <v>14</v>
      </c>
      <c r="S78" s="6">
        <v>26.5</v>
      </c>
      <c r="T78" s="6">
        <v>26.5</v>
      </c>
    </row>
    <row r="79" spans="1:23" x14ac:dyDescent="0.3">
      <c r="A79" s="8" t="s">
        <v>69</v>
      </c>
      <c r="B79" t="s">
        <v>70</v>
      </c>
      <c r="C79" t="s">
        <v>41</v>
      </c>
      <c r="D79">
        <v>2</v>
      </c>
      <c r="E79">
        <v>2</v>
      </c>
      <c r="F79" s="9">
        <v>46182</v>
      </c>
      <c r="H79">
        <v>5</v>
      </c>
      <c r="I79" t="s">
        <v>29</v>
      </c>
      <c r="J79" t="e">
        <f t="shared" si="1"/>
        <v>#DIV/0!</v>
      </c>
      <c r="T79">
        <v>0</v>
      </c>
    </row>
    <row r="80" spans="1:23" s="14" customFormat="1" ht="15" thickBot="1" x14ac:dyDescent="0.35">
      <c r="A80" s="32" t="s">
        <v>69</v>
      </c>
      <c r="B80" s="14" t="s">
        <v>70</v>
      </c>
      <c r="C80" s="14" t="s">
        <v>41</v>
      </c>
      <c r="D80" s="14">
        <v>2</v>
      </c>
      <c r="E80" s="14">
        <v>2</v>
      </c>
      <c r="F80" s="33">
        <v>46182</v>
      </c>
      <c r="G80" s="14">
        <f>SUM(H78, H80)</f>
        <v>100</v>
      </c>
      <c r="H80" s="14">
        <v>80</v>
      </c>
      <c r="I80" s="14" t="s">
        <v>93</v>
      </c>
      <c r="J80" s="14">
        <f t="shared" si="1"/>
        <v>12.125</v>
      </c>
      <c r="K80" s="14" t="s">
        <v>88</v>
      </c>
      <c r="L80" s="14">
        <v>13.5</v>
      </c>
      <c r="N80" s="14">
        <v>10</v>
      </c>
      <c r="P80" s="14">
        <v>12</v>
      </c>
      <c r="R80" s="14">
        <v>13</v>
      </c>
      <c r="S80" s="14">
        <v>13.5</v>
      </c>
      <c r="T80" s="14">
        <v>13.5</v>
      </c>
      <c r="V80" s="34">
        <v>0.50277777777777777</v>
      </c>
      <c r="W80" s="14" t="s">
        <v>94</v>
      </c>
    </row>
    <row r="81" spans="1:23" s="6" customFormat="1" x14ac:dyDescent="0.3">
      <c r="A81" s="29" t="s">
        <v>69</v>
      </c>
      <c r="B81" s="6" t="s">
        <v>70</v>
      </c>
      <c r="C81" s="6" t="s">
        <v>41</v>
      </c>
      <c r="D81" s="6">
        <v>2</v>
      </c>
      <c r="E81" s="6">
        <v>6</v>
      </c>
      <c r="F81" s="30">
        <v>46182</v>
      </c>
      <c r="H81" s="6">
        <v>85</v>
      </c>
      <c r="I81" s="6" t="s">
        <v>28</v>
      </c>
      <c r="J81" s="6">
        <f t="shared" si="1"/>
        <v>33.375</v>
      </c>
      <c r="K81" s="6" t="s">
        <v>28</v>
      </c>
      <c r="L81" s="6">
        <v>35</v>
      </c>
      <c r="M81" s="6" t="s">
        <v>28</v>
      </c>
      <c r="N81" s="6">
        <v>32</v>
      </c>
      <c r="O81" s="6" t="s">
        <v>28</v>
      </c>
      <c r="P81" s="6">
        <v>27.5</v>
      </c>
      <c r="Q81" s="6" t="s">
        <v>28</v>
      </c>
      <c r="R81" s="6">
        <v>39</v>
      </c>
      <c r="S81" s="6" t="s">
        <v>28</v>
      </c>
      <c r="T81" s="6">
        <v>39</v>
      </c>
      <c r="U81" s="6" t="s">
        <v>28</v>
      </c>
      <c r="V81" s="31">
        <v>0.49236111111111114</v>
      </c>
    </row>
    <row r="82" spans="1:23" s="12" customFormat="1" ht="15" thickBot="1" x14ac:dyDescent="0.35">
      <c r="A82" s="11" t="s">
        <v>69</v>
      </c>
      <c r="B82" s="12" t="s">
        <v>70</v>
      </c>
      <c r="C82" s="12" t="s">
        <v>41</v>
      </c>
      <c r="D82" s="12">
        <v>2</v>
      </c>
      <c r="E82" s="12">
        <v>6</v>
      </c>
      <c r="F82" s="13">
        <v>46182</v>
      </c>
      <c r="G82" s="12">
        <f>SUM(H81)</f>
        <v>85</v>
      </c>
      <c r="H82" s="12">
        <v>15</v>
      </c>
      <c r="I82" s="12" t="s">
        <v>29</v>
      </c>
      <c r="J82" s="12" t="e">
        <f t="shared" si="1"/>
        <v>#DIV/0!</v>
      </c>
      <c r="T82" s="12">
        <v>0</v>
      </c>
    </row>
    <row r="83" spans="1:23" s="6" customFormat="1" x14ac:dyDescent="0.3">
      <c r="A83" s="29" t="s">
        <v>69</v>
      </c>
      <c r="B83" s="6" t="s">
        <v>70</v>
      </c>
      <c r="C83" s="6" t="s">
        <v>41</v>
      </c>
      <c r="D83" s="6">
        <v>2</v>
      </c>
      <c r="E83" s="6">
        <v>12</v>
      </c>
      <c r="F83" s="30">
        <v>46182</v>
      </c>
      <c r="H83" s="6">
        <v>95</v>
      </c>
      <c r="I83" s="6" t="s">
        <v>28</v>
      </c>
      <c r="J83" s="6">
        <f t="shared" si="1"/>
        <v>36.375</v>
      </c>
      <c r="K83" s="6" t="s">
        <v>28</v>
      </c>
      <c r="L83" s="6">
        <v>35.5</v>
      </c>
      <c r="M83" s="6" t="s">
        <v>28</v>
      </c>
      <c r="N83" s="6">
        <v>32</v>
      </c>
      <c r="O83" s="6" t="s">
        <v>28</v>
      </c>
      <c r="P83" s="6">
        <v>35</v>
      </c>
      <c r="Q83" s="6" t="s">
        <v>28</v>
      </c>
      <c r="R83" s="6">
        <v>43</v>
      </c>
      <c r="S83" s="6" t="s">
        <v>28</v>
      </c>
      <c r="T83" s="6">
        <v>43</v>
      </c>
      <c r="U83" s="6" t="s">
        <v>28</v>
      </c>
      <c r="V83" s="31">
        <v>0.48402777777777778</v>
      </c>
    </row>
    <row r="84" spans="1:23" x14ac:dyDescent="0.3">
      <c r="A84" s="8" t="s">
        <v>69</v>
      </c>
      <c r="B84" t="s">
        <v>70</v>
      </c>
      <c r="C84" t="s">
        <v>41</v>
      </c>
      <c r="D84">
        <v>2</v>
      </c>
      <c r="E84">
        <v>12</v>
      </c>
      <c r="F84" s="9">
        <v>46182</v>
      </c>
      <c r="H84">
        <v>35</v>
      </c>
      <c r="I84" t="s">
        <v>36</v>
      </c>
      <c r="V84" s="16"/>
      <c r="W84" t="s">
        <v>95</v>
      </c>
    </row>
    <row r="85" spans="1:23" s="12" customFormat="1" ht="15" thickBot="1" x14ac:dyDescent="0.35">
      <c r="A85" s="11" t="s">
        <v>69</v>
      </c>
      <c r="B85" s="12" t="s">
        <v>70</v>
      </c>
      <c r="C85" s="12" t="s">
        <v>41</v>
      </c>
      <c r="D85" s="12">
        <v>2</v>
      </c>
      <c r="E85" s="12">
        <v>12</v>
      </c>
      <c r="F85" s="13">
        <v>46182</v>
      </c>
      <c r="G85" s="12">
        <f>SUM(H83:H84)</f>
        <v>130</v>
      </c>
      <c r="H85" s="12">
        <v>5</v>
      </c>
      <c r="I85" s="12" t="s">
        <v>29</v>
      </c>
      <c r="J85" s="12" t="e">
        <f t="shared" si="1"/>
        <v>#DIV/0!</v>
      </c>
      <c r="T85" s="12">
        <v>0</v>
      </c>
    </row>
    <row r="86" spans="1:23" s="6" customFormat="1" x14ac:dyDescent="0.3">
      <c r="A86" s="29" t="s">
        <v>69</v>
      </c>
      <c r="B86" s="6" t="s">
        <v>70</v>
      </c>
      <c r="C86" s="6" t="s">
        <v>41</v>
      </c>
      <c r="D86" s="6">
        <v>2</v>
      </c>
      <c r="E86" s="6">
        <v>18</v>
      </c>
      <c r="F86" s="30">
        <v>46182</v>
      </c>
      <c r="H86" s="6">
        <v>90</v>
      </c>
      <c r="I86" s="6" t="s">
        <v>28</v>
      </c>
      <c r="J86" s="6">
        <f t="shared" si="1"/>
        <v>43</v>
      </c>
      <c r="K86" s="6" t="s">
        <v>28</v>
      </c>
      <c r="L86" s="6">
        <v>42</v>
      </c>
      <c r="M86" s="6" t="s">
        <v>28</v>
      </c>
      <c r="N86" s="6">
        <v>38</v>
      </c>
      <c r="O86" s="6" t="s">
        <v>28</v>
      </c>
      <c r="P86" s="6">
        <v>45</v>
      </c>
      <c r="Q86" s="6" t="s">
        <v>28</v>
      </c>
      <c r="R86" s="6">
        <v>47</v>
      </c>
      <c r="S86" s="6" t="s">
        <v>28</v>
      </c>
      <c r="T86" s="6">
        <v>47</v>
      </c>
      <c r="U86" s="6" t="s">
        <v>28</v>
      </c>
      <c r="V86" s="31">
        <v>0.47916666666666669</v>
      </c>
    </row>
    <row r="87" spans="1:23" s="12" customFormat="1" ht="15" thickBot="1" x14ac:dyDescent="0.35">
      <c r="A87" s="11" t="s">
        <v>69</v>
      </c>
      <c r="B87" s="12" t="s">
        <v>70</v>
      </c>
      <c r="C87" s="12" t="s">
        <v>41</v>
      </c>
      <c r="D87" s="12">
        <v>2</v>
      </c>
      <c r="E87" s="12">
        <v>18</v>
      </c>
      <c r="F87" s="13">
        <v>46182</v>
      </c>
      <c r="G87" s="12">
        <f>SUM(H86)</f>
        <v>90</v>
      </c>
      <c r="H87" s="12">
        <v>10</v>
      </c>
      <c r="I87" s="12" t="s">
        <v>29</v>
      </c>
      <c r="J87" s="12" t="e">
        <f t="shared" si="1"/>
        <v>#DIV/0!</v>
      </c>
      <c r="T87" s="12">
        <v>0</v>
      </c>
    </row>
    <row r="88" spans="1:23" s="6" customFormat="1" x14ac:dyDescent="0.3">
      <c r="A88" s="29" t="s">
        <v>69</v>
      </c>
      <c r="B88" s="6" t="s">
        <v>70</v>
      </c>
      <c r="C88" s="6" t="s">
        <v>41</v>
      </c>
      <c r="D88" s="6">
        <v>2</v>
      </c>
      <c r="E88" s="6">
        <v>24</v>
      </c>
      <c r="F88" s="30">
        <v>46182</v>
      </c>
      <c r="H88" s="6">
        <v>95</v>
      </c>
      <c r="I88" s="6" t="s">
        <v>28</v>
      </c>
      <c r="J88" s="6">
        <f t="shared" si="1"/>
        <v>42.25</v>
      </c>
      <c r="K88" s="6" t="s">
        <v>28</v>
      </c>
      <c r="L88" s="6">
        <v>41</v>
      </c>
      <c r="M88" s="6" t="s">
        <v>28</v>
      </c>
      <c r="N88" s="6">
        <v>45.5</v>
      </c>
      <c r="O88" s="6" t="s">
        <v>28</v>
      </c>
      <c r="P88" s="6">
        <v>37.5</v>
      </c>
      <c r="Q88" s="6" t="s">
        <v>28</v>
      </c>
      <c r="R88" s="6">
        <v>45</v>
      </c>
      <c r="S88" s="6" t="s">
        <v>28</v>
      </c>
      <c r="T88" s="6">
        <v>45</v>
      </c>
      <c r="U88" s="6" t="s">
        <v>28</v>
      </c>
      <c r="V88" s="31">
        <v>0.46944444444444444</v>
      </c>
    </row>
    <row r="89" spans="1:23" s="12" customFormat="1" ht="15" thickBot="1" x14ac:dyDescent="0.35">
      <c r="A89" s="11" t="s">
        <v>69</v>
      </c>
      <c r="B89" s="12" t="s">
        <v>70</v>
      </c>
      <c r="C89" s="12" t="s">
        <v>41</v>
      </c>
      <c r="D89" s="12">
        <v>2</v>
      </c>
      <c r="E89" s="12">
        <v>24</v>
      </c>
      <c r="F89" s="13">
        <v>46182</v>
      </c>
      <c r="G89" s="12">
        <f>SUM(H88)</f>
        <v>95</v>
      </c>
      <c r="H89" s="12">
        <v>5</v>
      </c>
      <c r="I89" s="12" t="s">
        <v>29</v>
      </c>
      <c r="J89" s="12" t="e">
        <f t="shared" si="1"/>
        <v>#DIV/0!</v>
      </c>
      <c r="T89" s="12">
        <v>0</v>
      </c>
    </row>
    <row r="90" spans="1:23" s="6" customFormat="1" x14ac:dyDescent="0.3">
      <c r="A90" s="29" t="s">
        <v>69</v>
      </c>
      <c r="B90" s="6" t="s">
        <v>70</v>
      </c>
      <c r="C90" s="6" t="s">
        <v>41</v>
      </c>
      <c r="D90" s="6">
        <v>2</v>
      </c>
      <c r="E90" s="6">
        <v>48</v>
      </c>
      <c r="F90" s="30">
        <v>46182</v>
      </c>
      <c r="H90" s="6">
        <v>95</v>
      </c>
      <c r="I90" s="6" t="s">
        <v>28</v>
      </c>
      <c r="J90" s="6">
        <f t="shared" si="1"/>
        <v>38.125</v>
      </c>
      <c r="K90" s="6" t="s">
        <v>28</v>
      </c>
      <c r="L90" s="6">
        <v>28</v>
      </c>
      <c r="M90" s="6" t="s">
        <v>28</v>
      </c>
      <c r="N90" s="6">
        <v>41.5</v>
      </c>
      <c r="O90" s="6" t="s">
        <v>28</v>
      </c>
      <c r="P90" s="6">
        <v>47</v>
      </c>
      <c r="Q90" s="6" t="s">
        <v>28</v>
      </c>
      <c r="R90" s="6">
        <v>36</v>
      </c>
      <c r="S90" s="6" t="s">
        <v>28</v>
      </c>
      <c r="T90" s="6">
        <v>47</v>
      </c>
      <c r="U90" s="6" t="s">
        <v>28</v>
      </c>
      <c r="V90" s="31">
        <v>0.45833333333333331</v>
      </c>
    </row>
    <row r="91" spans="1:23" ht="15" thickBot="1" x14ac:dyDescent="0.35">
      <c r="A91" s="8" t="s">
        <v>69</v>
      </c>
      <c r="B91" t="s">
        <v>70</v>
      </c>
      <c r="C91" t="s">
        <v>41</v>
      </c>
      <c r="D91">
        <v>2</v>
      </c>
      <c r="E91">
        <v>48</v>
      </c>
      <c r="F91" s="9">
        <v>46182</v>
      </c>
      <c r="G91">
        <f>SUM(H90)</f>
        <v>95</v>
      </c>
      <c r="H91">
        <v>5</v>
      </c>
      <c r="I91" t="s">
        <v>29</v>
      </c>
      <c r="J91" t="e">
        <f t="shared" si="1"/>
        <v>#DIV/0!</v>
      </c>
      <c r="T91">
        <v>0</v>
      </c>
    </row>
    <row r="92" spans="1:23" s="4" customFormat="1" x14ac:dyDescent="0.3">
      <c r="A92" s="3" t="s">
        <v>69</v>
      </c>
      <c r="B92" s="4" t="s">
        <v>70</v>
      </c>
      <c r="C92" s="4" t="s">
        <v>52</v>
      </c>
      <c r="D92" s="4">
        <v>1</v>
      </c>
      <c r="E92" s="4">
        <v>0.5</v>
      </c>
      <c r="F92" s="5"/>
      <c r="H92" s="4">
        <v>75</v>
      </c>
      <c r="I92" s="4" t="s">
        <v>31</v>
      </c>
    </row>
    <row r="93" spans="1:23" s="10" customFormat="1" x14ac:dyDescent="0.3">
      <c r="A93" s="27" t="s">
        <v>69</v>
      </c>
      <c r="B93" s="10" t="s">
        <v>70</v>
      </c>
      <c r="C93" s="10" t="s">
        <v>52</v>
      </c>
      <c r="D93" s="10">
        <v>1</v>
      </c>
      <c r="E93" s="10">
        <v>0.5</v>
      </c>
      <c r="F93" s="28"/>
      <c r="H93" s="10">
        <v>80</v>
      </c>
      <c r="I93" s="10" t="s">
        <v>36</v>
      </c>
      <c r="J93" s="10">
        <f>AVERAGE(L93, N93, P93, R93)</f>
        <v>14.5</v>
      </c>
      <c r="K93" s="10" t="s">
        <v>36</v>
      </c>
      <c r="L93" s="10">
        <v>13.5</v>
      </c>
      <c r="N93" s="10">
        <v>13</v>
      </c>
      <c r="P93" s="10">
        <v>15</v>
      </c>
      <c r="R93" s="10">
        <v>16.5</v>
      </c>
      <c r="T93" s="10">
        <v>16.5</v>
      </c>
    </row>
    <row r="94" spans="1:23" s="14" customFormat="1" ht="15" thickBot="1" x14ac:dyDescent="0.35">
      <c r="A94" s="32" t="s">
        <v>69</v>
      </c>
      <c r="B94" s="14" t="s">
        <v>70</v>
      </c>
      <c r="C94" s="14" t="s">
        <v>52</v>
      </c>
      <c r="D94" s="14">
        <v>1</v>
      </c>
      <c r="E94" s="14">
        <v>0.5</v>
      </c>
      <c r="F94" s="33"/>
      <c r="G94" s="14">
        <f>SUM(H92:H94)</f>
        <v>160</v>
      </c>
      <c r="H94" s="14">
        <v>5</v>
      </c>
      <c r="I94" s="14" t="s">
        <v>28</v>
      </c>
      <c r="J94" s="14">
        <f t="shared" si="1"/>
        <v>28</v>
      </c>
      <c r="K94" s="14" t="s">
        <v>28</v>
      </c>
      <c r="M94" s="14" t="s">
        <v>28</v>
      </c>
      <c r="O94" s="14" t="s">
        <v>28</v>
      </c>
      <c r="P94" s="14">
        <v>28</v>
      </c>
      <c r="Q94" s="14" t="s">
        <v>28</v>
      </c>
      <c r="S94" s="14" t="s">
        <v>28</v>
      </c>
      <c r="T94" s="14">
        <v>28</v>
      </c>
      <c r="U94" s="14" t="s">
        <v>28</v>
      </c>
      <c r="V94" s="34">
        <v>0.60763888888888884</v>
      </c>
    </row>
    <row r="95" spans="1:23" s="4" customFormat="1" x14ac:dyDescent="0.3">
      <c r="A95" s="3" t="s">
        <v>69</v>
      </c>
      <c r="B95" s="4" t="s">
        <v>70</v>
      </c>
      <c r="C95" s="4" t="s">
        <v>52</v>
      </c>
      <c r="D95" s="4">
        <v>1</v>
      </c>
      <c r="E95" s="4">
        <v>2</v>
      </c>
      <c r="F95" s="5"/>
      <c r="H95" s="4">
        <v>50</v>
      </c>
      <c r="I95" s="4" t="s">
        <v>31</v>
      </c>
      <c r="P95" s="4">
        <v>22</v>
      </c>
    </row>
    <row r="96" spans="1:23" s="10" customFormat="1" x14ac:dyDescent="0.3">
      <c r="A96" s="27" t="s">
        <v>69</v>
      </c>
      <c r="B96" s="10" t="s">
        <v>70</v>
      </c>
      <c r="C96" s="10" t="s">
        <v>52</v>
      </c>
      <c r="D96" s="10">
        <v>1</v>
      </c>
      <c r="E96" s="10">
        <v>2</v>
      </c>
      <c r="F96" s="28"/>
      <c r="H96" s="10">
        <v>10</v>
      </c>
      <c r="I96" s="10" t="s">
        <v>28</v>
      </c>
      <c r="J96" s="10">
        <f>AVERAGE(L96, N96, P96, R96)</f>
        <v>33</v>
      </c>
      <c r="L96" s="10">
        <v>31</v>
      </c>
      <c r="N96" s="10" t="s">
        <v>30</v>
      </c>
      <c r="P96" s="10" t="s">
        <v>30</v>
      </c>
      <c r="R96" s="10">
        <v>35</v>
      </c>
      <c r="T96" s="10">
        <v>35</v>
      </c>
    </row>
    <row r="97" spans="1:23" s="14" customFormat="1" ht="15" thickBot="1" x14ac:dyDescent="0.35">
      <c r="A97" s="32" t="s">
        <v>69</v>
      </c>
      <c r="B97" s="14" t="s">
        <v>70</v>
      </c>
      <c r="C97" s="14" t="s">
        <v>52</v>
      </c>
      <c r="D97" s="14">
        <v>1</v>
      </c>
      <c r="E97" s="14">
        <v>2</v>
      </c>
      <c r="F97" s="33"/>
      <c r="G97" s="14">
        <f>SUM(H95:H97)</f>
        <v>135</v>
      </c>
      <c r="H97" s="14">
        <v>75</v>
      </c>
      <c r="I97" s="14" t="s">
        <v>36</v>
      </c>
      <c r="J97" s="14">
        <f t="shared" si="1"/>
        <v>15.375</v>
      </c>
      <c r="K97" s="14" t="s">
        <v>36</v>
      </c>
      <c r="L97" s="14">
        <v>14</v>
      </c>
      <c r="N97" s="14">
        <v>15.5</v>
      </c>
      <c r="P97" s="14">
        <v>14</v>
      </c>
      <c r="R97" s="14">
        <v>18</v>
      </c>
      <c r="T97" s="14">
        <v>18</v>
      </c>
      <c r="V97" s="34">
        <v>0.60069444444444442</v>
      </c>
    </row>
    <row r="98" spans="1:23" s="6" customFormat="1" x14ac:dyDescent="0.3">
      <c r="A98" s="29" t="s">
        <v>69</v>
      </c>
      <c r="B98" s="6" t="s">
        <v>70</v>
      </c>
      <c r="C98" s="6" t="s">
        <v>52</v>
      </c>
      <c r="D98" s="6">
        <v>1</v>
      </c>
      <c r="E98" s="6">
        <v>6</v>
      </c>
      <c r="F98" s="30"/>
      <c r="H98" s="6">
        <v>95</v>
      </c>
      <c r="I98" s="6" t="s">
        <v>31</v>
      </c>
      <c r="J98" s="6">
        <f t="shared" si="1"/>
        <v>35.625</v>
      </c>
      <c r="K98" s="6" t="s">
        <v>31</v>
      </c>
      <c r="L98" s="6">
        <v>37.5</v>
      </c>
      <c r="N98" s="6">
        <v>33</v>
      </c>
      <c r="P98" s="6">
        <v>35</v>
      </c>
      <c r="R98" s="6">
        <v>37</v>
      </c>
      <c r="T98" s="6">
        <v>37.5</v>
      </c>
    </row>
    <row r="99" spans="1:23" s="12" customFormat="1" ht="15" thickBot="1" x14ac:dyDescent="0.35">
      <c r="A99" s="11" t="s">
        <v>69</v>
      </c>
      <c r="B99" s="12" t="s">
        <v>70</v>
      </c>
      <c r="C99" s="12" t="s">
        <v>52</v>
      </c>
      <c r="D99" s="12">
        <v>1</v>
      </c>
      <c r="E99" s="12">
        <v>6</v>
      </c>
      <c r="F99" s="13"/>
      <c r="G99" s="12">
        <f>SUM(H98)</f>
        <v>95</v>
      </c>
      <c r="H99" s="12">
        <v>5</v>
      </c>
      <c r="I99" s="12" t="s">
        <v>29</v>
      </c>
      <c r="J99" s="12" t="e">
        <f t="shared" si="1"/>
        <v>#DIV/0!</v>
      </c>
      <c r="T99" s="12">
        <v>0</v>
      </c>
      <c r="V99" s="15">
        <v>0.59513888888888888</v>
      </c>
    </row>
    <row r="100" spans="1:23" s="6" customFormat="1" x14ac:dyDescent="0.3">
      <c r="A100" s="29" t="s">
        <v>69</v>
      </c>
      <c r="B100" s="6" t="s">
        <v>70</v>
      </c>
      <c r="C100" s="6" t="s">
        <v>52</v>
      </c>
      <c r="D100" s="6">
        <v>1</v>
      </c>
      <c r="E100" s="6">
        <v>12</v>
      </c>
      <c r="F100" s="30"/>
      <c r="H100" s="6">
        <v>60</v>
      </c>
      <c r="I100" s="6" t="s">
        <v>28</v>
      </c>
      <c r="J100" s="6">
        <f t="shared" si="1"/>
        <v>54.125</v>
      </c>
      <c r="K100" s="6" t="s">
        <v>28</v>
      </c>
      <c r="L100" s="6">
        <v>56.5</v>
      </c>
      <c r="M100" s="6" t="s">
        <v>28</v>
      </c>
      <c r="N100" s="6">
        <v>55</v>
      </c>
      <c r="O100" s="6" t="s">
        <v>28</v>
      </c>
      <c r="P100" s="6">
        <v>49</v>
      </c>
      <c r="Q100" s="6" t="s">
        <v>28</v>
      </c>
      <c r="R100" s="6">
        <v>56</v>
      </c>
      <c r="S100" s="6" t="s">
        <v>28</v>
      </c>
      <c r="T100" s="6">
        <v>95</v>
      </c>
      <c r="U100" s="6" t="s">
        <v>28</v>
      </c>
      <c r="V100" s="31">
        <v>0.58611111111111114</v>
      </c>
    </row>
    <row r="101" spans="1:23" s="10" customFormat="1" x14ac:dyDescent="0.3">
      <c r="A101" s="27" t="s">
        <v>69</v>
      </c>
      <c r="B101" s="10" t="s">
        <v>70</v>
      </c>
      <c r="C101" s="10" t="s">
        <v>52</v>
      </c>
      <c r="D101" s="10">
        <v>1</v>
      </c>
      <c r="E101" s="10">
        <v>12</v>
      </c>
      <c r="F101" s="28"/>
      <c r="H101" s="10">
        <v>20</v>
      </c>
      <c r="I101" s="10" t="s">
        <v>26</v>
      </c>
      <c r="J101" s="10">
        <f t="shared" si="1"/>
        <v>77.25</v>
      </c>
      <c r="K101" s="10" t="s">
        <v>26</v>
      </c>
      <c r="L101" s="10">
        <v>64</v>
      </c>
      <c r="N101" s="10">
        <v>95</v>
      </c>
      <c r="P101" s="10">
        <v>72</v>
      </c>
      <c r="R101" s="10">
        <v>78</v>
      </c>
      <c r="T101" s="10">
        <v>56.5</v>
      </c>
      <c r="W101" s="10" t="s">
        <v>108</v>
      </c>
    </row>
    <row r="102" spans="1:23" s="12" customFormat="1" ht="15" thickBot="1" x14ac:dyDescent="0.35">
      <c r="A102" s="11" t="s">
        <v>69</v>
      </c>
      <c r="B102" s="12" t="s">
        <v>70</v>
      </c>
      <c r="C102" s="12" t="s">
        <v>52</v>
      </c>
      <c r="D102" s="12">
        <v>1</v>
      </c>
      <c r="E102" s="12">
        <v>12</v>
      </c>
      <c r="F102" s="13"/>
      <c r="G102" s="12">
        <f>SUM(H100:H101)</f>
        <v>80</v>
      </c>
      <c r="H102" s="12">
        <v>30</v>
      </c>
      <c r="I102" s="12" t="s">
        <v>29</v>
      </c>
      <c r="J102" s="12" t="e">
        <f t="shared" si="1"/>
        <v>#DIV/0!</v>
      </c>
      <c r="T102" s="12">
        <v>0</v>
      </c>
    </row>
    <row r="103" spans="1:23" s="6" customFormat="1" x14ac:dyDescent="0.3">
      <c r="A103" s="29" t="s">
        <v>69</v>
      </c>
      <c r="B103" s="6" t="s">
        <v>70</v>
      </c>
      <c r="C103" s="6" t="s">
        <v>52</v>
      </c>
      <c r="D103" s="6">
        <v>1</v>
      </c>
      <c r="E103" s="6">
        <v>18</v>
      </c>
      <c r="F103" s="30"/>
      <c r="H103" s="6">
        <v>35</v>
      </c>
      <c r="I103" s="6" t="s">
        <v>28</v>
      </c>
      <c r="J103" s="6">
        <f t="shared" si="1"/>
        <v>44.375</v>
      </c>
      <c r="K103" s="6" t="s">
        <v>28</v>
      </c>
      <c r="L103" s="6">
        <v>49</v>
      </c>
      <c r="M103" s="6" t="s">
        <v>28</v>
      </c>
      <c r="N103" s="6">
        <v>40</v>
      </c>
      <c r="O103" s="6" t="s">
        <v>28</v>
      </c>
      <c r="P103" s="6">
        <v>51</v>
      </c>
      <c r="Q103" s="6" t="s">
        <v>28</v>
      </c>
      <c r="R103" s="6">
        <v>37.5</v>
      </c>
      <c r="S103" s="6" t="s">
        <v>28</v>
      </c>
      <c r="T103" s="6">
        <v>51</v>
      </c>
      <c r="U103" s="6" t="s">
        <v>28</v>
      </c>
      <c r="V103" s="31">
        <v>0.5756944444444444</v>
      </c>
    </row>
    <row r="104" spans="1:23" x14ac:dyDescent="0.3">
      <c r="A104" s="8" t="s">
        <v>69</v>
      </c>
      <c r="B104" t="s">
        <v>70</v>
      </c>
      <c r="C104" t="s">
        <v>52</v>
      </c>
      <c r="D104">
        <v>1</v>
      </c>
      <c r="E104">
        <v>18</v>
      </c>
      <c r="F104" s="9"/>
      <c r="H104">
        <v>10</v>
      </c>
      <c r="I104" t="s">
        <v>31</v>
      </c>
      <c r="J104" t="e">
        <f t="shared" si="1"/>
        <v>#DIV/0!</v>
      </c>
      <c r="T104">
        <v>0</v>
      </c>
    </row>
    <row r="105" spans="1:23" s="10" customFormat="1" x14ac:dyDescent="0.3">
      <c r="A105" s="27" t="s">
        <v>69</v>
      </c>
      <c r="B105" s="10" t="s">
        <v>70</v>
      </c>
      <c r="C105" s="10" t="s">
        <v>52</v>
      </c>
      <c r="D105" s="10">
        <v>1</v>
      </c>
      <c r="E105" s="10">
        <v>18</v>
      </c>
      <c r="F105" s="28"/>
      <c r="H105" s="10">
        <v>45</v>
      </c>
      <c r="I105" s="10" t="s">
        <v>26</v>
      </c>
      <c r="J105" s="10">
        <f t="shared" si="1"/>
        <v>68.25</v>
      </c>
      <c r="K105" s="10" t="s">
        <v>26</v>
      </c>
      <c r="L105" s="10">
        <v>71</v>
      </c>
      <c r="N105" s="10">
        <v>68</v>
      </c>
      <c r="P105" s="10">
        <v>66</v>
      </c>
      <c r="R105" s="10">
        <v>68</v>
      </c>
      <c r="T105" s="10">
        <v>71</v>
      </c>
      <c r="V105" s="10" t="s">
        <v>109</v>
      </c>
    </row>
    <row r="106" spans="1:23" s="12" customFormat="1" ht="15" thickBot="1" x14ac:dyDescent="0.35">
      <c r="A106" s="11" t="s">
        <v>69</v>
      </c>
      <c r="B106" s="12" t="s">
        <v>70</v>
      </c>
      <c r="C106" s="12" t="s">
        <v>52</v>
      </c>
      <c r="D106" s="12">
        <v>1</v>
      </c>
      <c r="E106" s="12">
        <v>18</v>
      </c>
      <c r="F106" s="13"/>
      <c r="G106" s="12">
        <f>SUM(H103:H105)</f>
        <v>90</v>
      </c>
      <c r="H106" s="12">
        <v>35</v>
      </c>
      <c r="I106" s="12" t="s">
        <v>29</v>
      </c>
      <c r="J106" s="12" t="e">
        <f t="shared" si="1"/>
        <v>#DIV/0!</v>
      </c>
      <c r="T106" s="12">
        <v>0</v>
      </c>
      <c r="V106" s="12" t="s">
        <v>112</v>
      </c>
    </row>
    <row r="107" spans="1:23" s="6" customFormat="1" x14ac:dyDescent="0.3">
      <c r="A107" s="29" t="s">
        <v>69</v>
      </c>
      <c r="B107" s="6" t="s">
        <v>70</v>
      </c>
      <c r="C107" s="6" t="s">
        <v>52</v>
      </c>
      <c r="D107" s="6">
        <v>1</v>
      </c>
      <c r="E107" s="6">
        <v>24</v>
      </c>
      <c r="F107" s="30"/>
      <c r="H107" s="6">
        <v>15</v>
      </c>
      <c r="I107" s="6" t="s">
        <v>28</v>
      </c>
      <c r="J107" s="6">
        <f t="shared" si="1"/>
        <v>45.75</v>
      </c>
      <c r="K107" s="6" t="s">
        <v>28</v>
      </c>
      <c r="L107" s="6">
        <v>44.5</v>
      </c>
      <c r="M107" s="6" t="s">
        <v>28</v>
      </c>
      <c r="N107" s="6">
        <v>46.5</v>
      </c>
      <c r="O107" s="6" t="s">
        <v>28</v>
      </c>
      <c r="P107" s="6">
        <v>37</v>
      </c>
      <c r="Q107" s="6" t="s">
        <v>28</v>
      </c>
      <c r="R107" s="6">
        <v>55</v>
      </c>
      <c r="S107" s="6" t="s">
        <v>28</v>
      </c>
      <c r="T107" s="6">
        <v>55</v>
      </c>
      <c r="U107" s="6" t="s">
        <v>28</v>
      </c>
      <c r="V107" s="31">
        <v>0.5625</v>
      </c>
    </row>
    <row r="108" spans="1:23" s="10" customFormat="1" x14ac:dyDescent="0.3">
      <c r="A108" s="27" t="s">
        <v>69</v>
      </c>
      <c r="B108" s="10" t="s">
        <v>70</v>
      </c>
      <c r="C108" s="10" t="s">
        <v>52</v>
      </c>
      <c r="D108" s="10">
        <v>1</v>
      </c>
      <c r="E108" s="10">
        <v>24</v>
      </c>
      <c r="F108" s="28"/>
      <c r="H108" s="10">
        <v>80</v>
      </c>
      <c r="I108" s="10" t="s">
        <v>36</v>
      </c>
      <c r="J108" s="10">
        <f t="shared" si="1"/>
        <v>25</v>
      </c>
      <c r="K108" s="10" t="s">
        <v>36</v>
      </c>
      <c r="L108" s="10">
        <v>27</v>
      </c>
      <c r="N108" s="10">
        <v>23</v>
      </c>
      <c r="P108" s="10">
        <v>20</v>
      </c>
      <c r="R108" s="10">
        <v>30</v>
      </c>
      <c r="T108" s="10">
        <v>30</v>
      </c>
      <c r="V108" s="10" t="s">
        <v>110</v>
      </c>
    </row>
    <row r="109" spans="1:23" s="10" customFormat="1" x14ac:dyDescent="0.3">
      <c r="A109" s="27" t="s">
        <v>69</v>
      </c>
      <c r="B109" s="10" t="s">
        <v>70</v>
      </c>
      <c r="C109" s="10" t="s">
        <v>52</v>
      </c>
      <c r="D109" s="10">
        <v>1</v>
      </c>
      <c r="E109" s="10">
        <v>24</v>
      </c>
      <c r="F109" s="28"/>
      <c r="H109" s="10">
        <v>20</v>
      </c>
      <c r="I109" s="10" t="s">
        <v>26</v>
      </c>
      <c r="J109" s="10">
        <f t="shared" si="1"/>
        <v>64.25</v>
      </c>
      <c r="K109" s="10" t="s">
        <v>26</v>
      </c>
      <c r="L109" s="10">
        <v>71.5</v>
      </c>
      <c r="N109" s="10">
        <v>63.5</v>
      </c>
      <c r="P109" s="10">
        <v>55</v>
      </c>
      <c r="R109" s="10">
        <v>67</v>
      </c>
      <c r="T109" s="10">
        <v>71.5</v>
      </c>
    </row>
    <row r="110" spans="1:23" s="12" customFormat="1" ht="15" thickBot="1" x14ac:dyDescent="0.35">
      <c r="A110" s="11" t="s">
        <v>69</v>
      </c>
      <c r="B110" s="12" t="s">
        <v>70</v>
      </c>
      <c r="C110" s="12" t="s">
        <v>52</v>
      </c>
      <c r="D110" s="12">
        <v>1</v>
      </c>
      <c r="E110" s="12">
        <v>24</v>
      </c>
      <c r="F110" s="13"/>
      <c r="G110" s="12">
        <f>SUM(H107:H110)</f>
        <v>120</v>
      </c>
      <c r="H110" s="12">
        <v>5</v>
      </c>
      <c r="I110" s="12" t="s">
        <v>31</v>
      </c>
      <c r="J110" s="12" t="e">
        <f t="shared" si="1"/>
        <v>#DIV/0!</v>
      </c>
      <c r="T110" s="12">
        <v>0</v>
      </c>
    </row>
    <row r="111" spans="1:23" s="4" customFormat="1" x14ac:dyDescent="0.3">
      <c r="A111" s="3" t="s">
        <v>69</v>
      </c>
      <c r="B111" s="4" t="s">
        <v>70</v>
      </c>
      <c r="C111" s="4" t="s">
        <v>52</v>
      </c>
      <c r="D111" s="4">
        <v>1</v>
      </c>
      <c r="E111" s="4">
        <v>48</v>
      </c>
      <c r="F111" s="5"/>
      <c r="H111" s="4">
        <v>5</v>
      </c>
      <c r="I111" s="4" t="s">
        <v>29</v>
      </c>
      <c r="J111" s="4" t="e">
        <f t="shared" si="1"/>
        <v>#DIV/0!</v>
      </c>
      <c r="T111" s="4">
        <v>0</v>
      </c>
    </row>
    <row r="112" spans="1:23" s="10" customFormat="1" x14ac:dyDescent="0.3">
      <c r="A112" s="27" t="s">
        <v>69</v>
      </c>
      <c r="B112" s="10" t="s">
        <v>70</v>
      </c>
      <c r="C112" s="10" t="s">
        <v>52</v>
      </c>
      <c r="D112" s="10">
        <v>1</v>
      </c>
      <c r="E112" s="10">
        <v>48</v>
      </c>
      <c r="F112" s="28"/>
      <c r="H112" s="10">
        <v>90</v>
      </c>
      <c r="I112" s="10" t="s">
        <v>31</v>
      </c>
      <c r="J112" s="10">
        <f t="shared" si="1"/>
        <v>30.125</v>
      </c>
      <c r="K112" s="10" t="s">
        <v>31</v>
      </c>
      <c r="L112" s="10">
        <v>30</v>
      </c>
      <c r="N112" s="10">
        <v>33.5</v>
      </c>
      <c r="P112" s="10">
        <v>30</v>
      </c>
      <c r="R112" s="10">
        <v>27</v>
      </c>
      <c r="T112" s="10">
        <v>33.5</v>
      </c>
      <c r="V112" s="35">
        <v>0.55277777777777781</v>
      </c>
    </row>
    <row r="113" spans="1:23" s="14" customFormat="1" ht="15" thickBot="1" x14ac:dyDescent="0.35">
      <c r="A113" s="32" t="s">
        <v>69</v>
      </c>
      <c r="B113" s="14" t="s">
        <v>70</v>
      </c>
      <c r="C113" s="14" t="s">
        <v>52</v>
      </c>
      <c r="D113" s="14">
        <v>1</v>
      </c>
      <c r="E113" s="14">
        <v>48</v>
      </c>
      <c r="F113" s="33"/>
      <c r="G113" s="14">
        <f>SUM(H112:H113)</f>
        <v>95</v>
      </c>
      <c r="H113" s="14">
        <v>5</v>
      </c>
      <c r="I113" s="14" t="s">
        <v>28</v>
      </c>
      <c r="J113" s="14">
        <f t="shared" si="1"/>
        <v>27.25</v>
      </c>
      <c r="L113" s="14">
        <v>30.5</v>
      </c>
      <c r="N113" s="14">
        <v>24</v>
      </c>
      <c r="P113" s="14" t="s">
        <v>30</v>
      </c>
      <c r="R113" s="14" t="s">
        <v>30</v>
      </c>
      <c r="T113" s="14">
        <v>30.5</v>
      </c>
      <c r="V113" s="14" t="s">
        <v>112</v>
      </c>
    </row>
    <row r="114" spans="1:23" s="6" customFormat="1" x14ac:dyDescent="0.3">
      <c r="A114" s="29" t="s">
        <v>69</v>
      </c>
      <c r="B114" s="6" t="s">
        <v>70</v>
      </c>
      <c r="C114" s="6" t="s">
        <v>52</v>
      </c>
      <c r="D114" s="6">
        <v>2</v>
      </c>
      <c r="E114" s="6">
        <v>0.5</v>
      </c>
      <c r="F114" s="30"/>
      <c r="H114" s="6">
        <v>20</v>
      </c>
      <c r="I114" s="6" t="s">
        <v>28</v>
      </c>
      <c r="J114" s="6">
        <f t="shared" si="1"/>
        <v>34.875</v>
      </c>
      <c r="K114" s="6" t="s">
        <v>28</v>
      </c>
      <c r="L114" s="6">
        <v>42.5</v>
      </c>
      <c r="M114" s="6" t="s">
        <v>28</v>
      </c>
      <c r="N114" s="6">
        <v>42</v>
      </c>
      <c r="O114" s="6" t="s">
        <v>28</v>
      </c>
      <c r="P114" s="6">
        <v>26</v>
      </c>
      <c r="Q114" s="6" t="s">
        <v>28</v>
      </c>
      <c r="R114" s="6">
        <v>29</v>
      </c>
      <c r="S114" s="6" t="s">
        <v>28</v>
      </c>
      <c r="T114" s="6">
        <v>42.5</v>
      </c>
      <c r="U114" s="6" t="s">
        <v>28</v>
      </c>
      <c r="V114" s="31">
        <v>0.62708333333333333</v>
      </c>
    </row>
    <row r="115" spans="1:23" s="10" customFormat="1" x14ac:dyDescent="0.3">
      <c r="A115" s="27" t="s">
        <v>69</v>
      </c>
      <c r="B115" s="10" t="s">
        <v>70</v>
      </c>
      <c r="C115" s="10" t="s">
        <v>52</v>
      </c>
      <c r="D115" s="10">
        <v>2</v>
      </c>
      <c r="E115" s="10">
        <v>0.5</v>
      </c>
      <c r="F115" s="28"/>
      <c r="H115" s="10">
        <v>75</v>
      </c>
      <c r="I115" s="10" t="s">
        <v>36</v>
      </c>
      <c r="J115" s="10">
        <f t="shared" si="1"/>
        <v>16.25</v>
      </c>
      <c r="L115" s="10">
        <v>19</v>
      </c>
      <c r="N115" s="10">
        <v>12</v>
      </c>
      <c r="P115" s="10">
        <v>18</v>
      </c>
      <c r="R115" s="10">
        <v>16</v>
      </c>
      <c r="T115" s="10">
        <v>19</v>
      </c>
      <c r="W115" s="10" t="s">
        <v>113</v>
      </c>
    </row>
    <row r="116" spans="1:23" x14ac:dyDescent="0.3">
      <c r="A116" s="8" t="s">
        <v>69</v>
      </c>
      <c r="B116" t="s">
        <v>70</v>
      </c>
      <c r="C116" t="s">
        <v>52</v>
      </c>
      <c r="D116">
        <v>2</v>
      </c>
      <c r="E116">
        <v>0.5</v>
      </c>
      <c r="F116" s="9"/>
      <c r="H116">
        <v>15</v>
      </c>
      <c r="I116" t="s">
        <v>31</v>
      </c>
      <c r="J116" t="e">
        <f t="shared" si="1"/>
        <v>#DIV/0!</v>
      </c>
      <c r="T116">
        <v>0</v>
      </c>
    </row>
    <row r="117" spans="1:23" s="12" customFormat="1" ht="15" thickBot="1" x14ac:dyDescent="0.35">
      <c r="A117" s="11" t="s">
        <v>69</v>
      </c>
      <c r="B117" s="12" t="s">
        <v>70</v>
      </c>
      <c r="C117" s="12" t="s">
        <v>52</v>
      </c>
      <c r="D117" s="12">
        <v>2</v>
      </c>
      <c r="E117" s="12">
        <v>0.5</v>
      </c>
      <c r="F117" s="13"/>
      <c r="G117" s="12">
        <f>SUM(H114:H116)</f>
        <v>110</v>
      </c>
      <c r="H117" s="12">
        <v>5</v>
      </c>
      <c r="I117" s="12" t="s">
        <v>29</v>
      </c>
      <c r="J117" s="12" t="e">
        <f t="shared" si="1"/>
        <v>#DIV/0!</v>
      </c>
      <c r="T117" s="12">
        <v>0</v>
      </c>
    </row>
    <row r="118" spans="1:23" s="6" customFormat="1" x14ac:dyDescent="0.3">
      <c r="A118" s="29" t="s">
        <v>69</v>
      </c>
      <c r="B118" s="6" t="s">
        <v>70</v>
      </c>
      <c r="C118" s="6" t="s">
        <v>52</v>
      </c>
      <c r="D118" s="6">
        <v>2</v>
      </c>
      <c r="E118" s="6">
        <v>2</v>
      </c>
      <c r="F118" s="30"/>
      <c r="H118" s="6">
        <v>20</v>
      </c>
      <c r="I118" s="6" t="s">
        <v>28</v>
      </c>
      <c r="J118" s="6">
        <f t="shared" si="1"/>
        <v>24.833333333333332</v>
      </c>
      <c r="K118" s="6" t="s">
        <v>28</v>
      </c>
      <c r="L118" s="6">
        <v>32.5</v>
      </c>
      <c r="M118" s="6" t="s">
        <v>28</v>
      </c>
      <c r="N118" s="6">
        <v>24</v>
      </c>
      <c r="O118" s="6" t="s">
        <v>28</v>
      </c>
      <c r="P118" s="6">
        <v>18</v>
      </c>
      <c r="Q118" s="6" t="s">
        <v>28</v>
      </c>
      <c r="R118" s="6" t="s">
        <v>30</v>
      </c>
      <c r="S118" s="6" t="s">
        <v>28</v>
      </c>
      <c r="T118" s="6">
        <v>32.5</v>
      </c>
      <c r="U118" s="6" t="s">
        <v>28</v>
      </c>
      <c r="V118" s="31">
        <v>0.63541666666666663</v>
      </c>
    </row>
    <row r="119" spans="1:23" s="10" customFormat="1" x14ac:dyDescent="0.3">
      <c r="A119" s="27" t="s">
        <v>69</v>
      </c>
      <c r="B119" s="10" t="s">
        <v>70</v>
      </c>
      <c r="C119" s="10" t="s">
        <v>52</v>
      </c>
      <c r="D119" s="10">
        <v>2</v>
      </c>
      <c r="E119" s="10">
        <v>2</v>
      </c>
      <c r="F119" s="28"/>
      <c r="H119" s="10">
        <v>75</v>
      </c>
      <c r="I119" s="10" t="s">
        <v>36</v>
      </c>
      <c r="J119" s="10">
        <f t="shared" ref="J119:J179" si="2">AVERAGE(L119, N119, P119, R119)</f>
        <v>16.375</v>
      </c>
      <c r="K119" s="10" t="s">
        <v>36</v>
      </c>
      <c r="L119" s="10">
        <v>19</v>
      </c>
      <c r="N119" s="10">
        <v>15.5</v>
      </c>
      <c r="P119" s="10">
        <v>14</v>
      </c>
      <c r="R119" s="10">
        <v>17</v>
      </c>
      <c r="T119" s="10">
        <v>19</v>
      </c>
    </row>
    <row r="120" spans="1:23" x14ac:dyDescent="0.3">
      <c r="A120" s="8" t="s">
        <v>69</v>
      </c>
      <c r="B120" t="s">
        <v>70</v>
      </c>
      <c r="C120" t="s">
        <v>52</v>
      </c>
      <c r="D120">
        <v>2</v>
      </c>
      <c r="E120">
        <v>2</v>
      </c>
      <c r="F120" s="9"/>
      <c r="H120">
        <v>65</v>
      </c>
      <c r="I120" t="s">
        <v>31</v>
      </c>
      <c r="J120">
        <f t="shared" si="2"/>
        <v>21.333333333333332</v>
      </c>
      <c r="K120" t="s">
        <v>31</v>
      </c>
      <c r="L120" t="s">
        <v>30</v>
      </c>
      <c r="N120">
        <v>20</v>
      </c>
      <c r="P120">
        <v>28</v>
      </c>
      <c r="R120">
        <v>16</v>
      </c>
      <c r="T120">
        <v>28</v>
      </c>
    </row>
    <row r="121" spans="1:23" s="12" customFormat="1" ht="15" thickBot="1" x14ac:dyDescent="0.35">
      <c r="A121" s="11" t="s">
        <v>69</v>
      </c>
      <c r="B121" s="12" t="s">
        <v>70</v>
      </c>
      <c r="C121" s="12" t="s">
        <v>52</v>
      </c>
      <c r="D121" s="12">
        <v>2</v>
      </c>
      <c r="E121" s="12">
        <v>2</v>
      </c>
      <c r="F121" s="13"/>
      <c r="G121" s="12">
        <f>SUM(H118:H120)</f>
        <v>160</v>
      </c>
      <c r="H121" s="12">
        <v>5</v>
      </c>
      <c r="I121" s="12" t="s">
        <v>29</v>
      </c>
      <c r="J121" s="12" t="e">
        <f t="shared" si="2"/>
        <v>#DIV/0!</v>
      </c>
      <c r="T121" s="12">
        <v>0</v>
      </c>
    </row>
    <row r="122" spans="1:23" s="6" customFormat="1" x14ac:dyDescent="0.3">
      <c r="A122" s="29" t="s">
        <v>69</v>
      </c>
      <c r="B122" s="6" t="s">
        <v>70</v>
      </c>
      <c r="C122" s="6" t="s">
        <v>52</v>
      </c>
      <c r="D122" s="6">
        <v>2</v>
      </c>
      <c r="E122" s="6">
        <v>6</v>
      </c>
      <c r="F122" s="30"/>
      <c r="H122" s="6">
        <v>40</v>
      </c>
      <c r="I122" s="6" t="s">
        <v>28</v>
      </c>
      <c r="J122" s="6">
        <f t="shared" si="2"/>
        <v>43</v>
      </c>
      <c r="K122" s="6" t="s">
        <v>28</v>
      </c>
      <c r="L122" s="6">
        <v>34</v>
      </c>
      <c r="M122" s="6" t="s">
        <v>28</v>
      </c>
      <c r="N122" s="6">
        <v>36</v>
      </c>
      <c r="O122" s="6" t="s">
        <v>28</v>
      </c>
      <c r="P122" s="6">
        <v>53</v>
      </c>
      <c r="Q122" s="6" t="s">
        <v>28</v>
      </c>
      <c r="R122" s="6">
        <v>49</v>
      </c>
      <c r="S122" s="6" t="s">
        <v>28</v>
      </c>
      <c r="T122" s="6">
        <v>53</v>
      </c>
      <c r="U122" s="6" t="s">
        <v>28</v>
      </c>
      <c r="V122" s="31">
        <v>0.6430555555555556</v>
      </c>
    </row>
    <row r="123" spans="1:23" s="10" customFormat="1" x14ac:dyDescent="0.3">
      <c r="A123" s="27" t="s">
        <v>69</v>
      </c>
      <c r="B123" s="10" t="s">
        <v>70</v>
      </c>
      <c r="C123" s="10" t="s">
        <v>52</v>
      </c>
      <c r="D123" s="10">
        <v>2</v>
      </c>
      <c r="E123" s="10">
        <v>6</v>
      </c>
      <c r="F123" s="28"/>
      <c r="H123" s="10">
        <v>50</v>
      </c>
      <c r="I123" s="10" t="s">
        <v>36</v>
      </c>
      <c r="J123" s="10">
        <f t="shared" si="2"/>
        <v>21.875</v>
      </c>
      <c r="L123" s="10">
        <v>20</v>
      </c>
      <c r="N123" s="10">
        <v>18</v>
      </c>
      <c r="P123" s="10">
        <v>25</v>
      </c>
      <c r="R123" s="10">
        <v>24.5</v>
      </c>
      <c r="T123" s="10">
        <v>25</v>
      </c>
      <c r="W123" s="10" t="s">
        <v>114</v>
      </c>
    </row>
    <row r="124" spans="1:23" x14ac:dyDescent="0.3">
      <c r="A124" s="8" t="s">
        <v>69</v>
      </c>
      <c r="B124" t="s">
        <v>70</v>
      </c>
      <c r="C124" t="s">
        <v>52</v>
      </c>
      <c r="D124">
        <v>2</v>
      </c>
      <c r="E124">
        <v>6</v>
      </c>
      <c r="F124" s="9"/>
      <c r="H124">
        <v>30</v>
      </c>
      <c r="I124" t="s">
        <v>31</v>
      </c>
      <c r="J124" t="e">
        <f t="shared" si="2"/>
        <v>#DIV/0!</v>
      </c>
      <c r="T124">
        <v>0</v>
      </c>
    </row>
    <row r="125" spans="1:23" s="10" customFormat="1" x14ac:dyDescent="0.3">
      <c r="A125" s="27" t="s">
        <v>69</v>
      </c>
      <c r="B125" s="10" t="s">
        <v>70</v>
      </c>
      <c r="C125" s="10" t="s">
        <v>52</v>
      </c>
      <c r="D125" s="10">
        <v>2</v>
      </c>
      <c r="E125" s="10">
        <v>6</v>
      </c>
      <c r="F125" s="28"/>
      <c r="H125" s="10">
        <v>10</v>
      </c>
      <c r="I125" s="10" t="s">
        <v>26</v>
      </c>
      <c r="J125" s="10">
        <f t="shared" si="2"/>
        <v>53.166666666666664</v>
      </c>
      <c r="K125" s="10" t="s">
        <v>26</v>
      </c>
      <c r="L125" s="10">
        <v>59.5</v>
      </c>
      <c r="N125" s="10">
        <v>40</v>
      </c>
      <c r="P125" s="10" t="s">
        <v>30</v>
      </c>
      <c r="R125" s="10">
        <v>60</v>
      </c>
      <c r="T125" s="10">
        <v>60</v>
      </c>
    </row>
    <row r="126" spans="1:23" s="12" customFormat="1" ht="15" thickBot="1" x14ac:dyDescent="0.35">
      <c r="A126" s="11" t="s">
        <v>69</v>
      </c>
      <c r="B126" s="12" t="s">
        <v>70</v>
      </c>
      <c r="C126" s="12" t="s">
        <v>52</v>
      </c>
      <c r="D126" s="12">
        <v>2</v>
      </c>
      <c r="E126" s="12">
        <v>6</v>
      </c>
      <c r="F126" s="13"/>
      <c r="G126" s="12">
        <f>SUM(H122:H125)</f>
        <v>130</v>
      </c>
      <c r="H126" s="12">
        <v>5</v>
      </c>
      <c r="I126" s="12" t="s">
        <v>29</v>
      </c>
      <c r="J126" s="12" t="e">
        <f t="shared" si="2"/>
        <v>#DIV/0!</v>
      </c>
      <c r="T126" s="12">
        <v>0</v>
      </c>
    </row>
    <row r="127" spans="1:23" s="4" customFormat="1" x14ac:dyDescent="0.3">
      <c r="A127" s="3" t="s">
        <v>69</v>
      </c>
      <c r="B127" s="4" t="s">
        <v>70</v>
      </c>
      <c r="C127" s="4" t="s">
        <v>52</v>
      </c>
      <c r="D127" s="4">
        <v>2</v>
      </c>
      <c r="E127" s="4">
        <v>12</v>
      </c>
      <c r="F127" s="5"/>
      <c r="H127" s="4">
        <v>10</v>
      </c>
      <c r="I127" s="4" t="s">
        <v>29</v>
      </c>
      <c r="J127" s="4" t="e">
        <f t="shared" si="2"/>
        <v>#DIV/0!</v>
      </c>
      <c r="T127" s="4">
        <v>0</v>
      </c>
      <c r="V127" s="7">
        <v>0.65208333333333335</v>
      </c>
    </row>
    <row r="128" spans="1:23" s="10" customFormat="1" x14ac:dyDescent="0.3">
      <c r="A128" s="27" t="s">
        <v>69</v>
      </c>
      <c r="B128" s="10" t="s">
        <v>70</v>
      </c>
      <c r="C128" s="10" t="s">
        <v>52</v>
      </c>
      <c r="D128" s="10">
        <v>2</v>
      </c>
      <c r="E128" s="10">
        <v>12</v>
      </c>
      <c r="F128" s="28"/>
      <c r="H128" s="10">
        <v>35</v>
      </c>
      <c r="I128" s="10" t="s">
        <v>28</v>
      </c>
      <c r="J128" s="10">
        <f t="shared" si="2"/>
        <v>48</v>
      </c>
      <c r="K128" s="10" t="s">
        <v>28</v>
      </c>
      <c r="L128" s="10">
        <v>64</v>
      </c>
      <c r="M128" s="10" t="s">
        <v>28</v>
      </c>
      <c r="N128" s="10">
        <v>36</v>
      </c>
      <c r="O128" s="10" t="s">
        <v>28</v>
      </c>
      <c r="P128" s="10">
        <v>40</v>
      </c>
      <c r="Q128" s="10" t="s">
        <v>28</v>
      </c>
      <c r="R128" s="10">
        <v>52</v>
      </c>
      <c r="S128" s="10" t="s">
        <v>28</v>
      </c>
      <c r="T128" s="10">
        <v>64</v>
      </c>
      <c r="U128" s="10" t="s">
        <v>28</v>
      </c>
    </row>
    <row r="129" spans="1:23" s="10" customFormat="1" x14ac:dyDescent="0.3">
      <c r="A129" s="27" t="s">
        <v>69</v>
      </c>
      <c r="B129" s="10" t="s">
        <v>70</v>
      </c>
      <c r="C129" s="10" t="s">
        <v>52</v>
      </c>
      <c r="D129" s="10">
        <v>2</v>
      </c>
      <c r="E129" s="10">
        <v>12</v>
      </c>
      <c r="F129" s="28"/>
      <c r="H129" s="10">
        <v>55</v>
      </c>
      <c r="I129" s="10" t="s">
        <v>36</v>
      </c>
      <c r="J129" s="10">
        <f t="shared" si="2"/>
        <v>20.75</v>
      </c>
      <c r="L129" s="10">
        <v>18</v>
      </c>
      <c r="N129" s="10">
        <v>20</v>
      </c>
      <c r="P129" s="10">
        <v>22</v>
      </c>
      <c r="R129" s="10">
        <v>23</v>
      </c>
      <c r="T129" s="10">
        <v>23</v>
      </c>
      <c r="W129" s="10" t="s">
        <v>79</v>
      </c>
    </row>
    <row r="130" spans="1:23" x14ac:dyDescent="0.3">
      <c r="A130" s="8" t="s">
        <v>69</v>
      </c>
      <c r="B130" t="s">
        <v>70</v>
      </c>
      <c r="C130" t="s">
        <v>52</v>
      </c>
      <c r="D130">
        <v>2</v>
      </c>
      <c r="E130">
        <v>12</v>
      </c>
      <c r="F130" s="9"/>
      <c r="H130">
        <v>10</v>
      </c>
      <c r="I130" t="s">
        <v>31</v>
      </c>
      <c r="J130" t="e">
        <f t="shared" si="2"/>
        <v>#DIV/0!</v>
      </c>
      <c r="T130">
        <v>0</v>
      </c>
      <c r="W130" t="s">
        <v>115</v>
      </c>
    </row>
    <row r="131" spans="1:23" s="14" customFormat="1" ht="15" thickBot="1" x14ac:dyDescent="0.35">
      <c r="A131" s="32" t="s">
        <v>69</v>
      </c>
      <c r="B131" s="14" t="s">
        <v>70</v>
      </c>
      <c r="C131" s="14" t="s">
        <v>52</v>
      </c>
      <c r="D131" s="14">
        <v>2</v>
      </c>
      <c r="E131" s="14">
        <v>12</v>
      </c>
      <c r="F131" s="33"/>
      <c r="G131" s="14">
        <f>SUM(H128:H131)</f>
        <v>115</v>
      </c>
      <c r="H131" s="14">
        <v>15</v>
      </c>
      <c r="I131" s="14" t="s">
        <v>26</v>
      </c>
      <c r="J131" s="14">
        <f t="shared" si="2"/>
        <v>48.75</v>
      </c>
      <c r="K131" s="14" t="s">
        <v>26</v>
      </c>
      <c r="L131" s="14">
        <v>52</v>
      </c>
      <c r="N131" s="14">
        <v>53</v>
      </c>
      <c r="P131" s="14">
        <v>48</v>
      </c>
      <c r="R131" s="14">
        <v>42</v>
      </c>
      <c r="T131" s="14">
        <v>53</v>
      </c>
    </row>
    <row r="132" spans="1:23" s="4" customFormat="1" x14ac:dyDescent="0.3">
      <c r="A132" s="3" t="s">
        <v>69</v>
      </c>
      <c r="B132" s="4" t="s">
        <v>70</v>
      </c>
      <c r="C132" s="4" t="s">
        <v>52</v>
      </c>
      <c r="D132" s="4">
        <v>2</v>
      </c>
      <c r="E132" s="4">
        <v>18</v>
      </c>
      <c r="F132" s="5"/>
      <c r="H132" s="4">
        <v>15</v>
      </c>
      <c r="I132" s="4" t="s">
        <v>29</v>
      </c>
      <c r="J132" s="4" t="e">
        <f t="shared" si="2"/>
        <v>#DIV/0!</v>
      </c>
      <c r="T132" s="4">
        <v>0</v>
      </c>
      <c r="V132" s="7">
        <v>0.66388888888888886</v>
      </c>
    </row>
    <row r="133" spans="1:23" s="10" customFormat="1" x14ac:dyDescent="0.3">
      <c r="A133" s="27" t="s">
        <v>69</v>
      </c>
      <c r="B133" s="10" t="s">
        <v>70</v>
      </c>
      <c r="C133" s="10" t="s">
        <v>52</v>
      </c>
      <c r="D133" s="10">
        <v>2</v>
      </c>
      <c r="E133" s="10">
        <v>18</v>
      </c>
      <c r="F133" s="28"/>
      <c r="H133" s="10">
        <v>25</v>
      </c>
      <c r="I133" s="10" t="s">
        <v>28</v>
      </c>
      <c r="J133" s="10">
        <f t="shared" si="2"/>
        <v>48.75</v>
      </c>
      <c r="K133" s="10" t="s">
        <v>28</v>
      </c>
      <c r="L133" s="10">
        <v>45</v>
      </c>
      <c r="M133" s="10" t="s">
        <v>28</v>
      </c>
      <c r="N133" s="10">
        <v>51</v>
      </c>
      <c r="O133" s="10" t="s">
        <v>28</v>
      </c>
      <c r="P133" s="10">
        <v>50</v>
      </c>
      <c r="Q133" s="10" t="s">
        <v>28</v>
      </c>
      <c r="R133" s="10">
        <v>49</v>
      </c>
      <c r="S133" s="10" t="s">
        <v>28</v>
      </c>
      <c r="T133" s="10">
        <v>51</v>
      </c>
      <c r="U133" s="10" t="s">
        <v>28</v>
      </c>
    </row>
    <row r="134" spans="1:23" s="10" customFormat="1" x14ac:dyDescent="0.3">
      <c r="A134" s="27" t="s">
        <v>69</v>
      </c>
      <c r="B134" s="10" t="s">
        <v>70</v>
      </c>
      <c r="C134" s="10" t="s">
        <v>52</v>
      </c>
      <c r="D134" s="10">
        <v>2</v>
      </c>
      <c r="E134" s="10">
        <v>18</v>
      </c>
      <c r="F134" s="28"/>
      <c r="H134" s="10">
        <v>35</v>
      </c>
      <c r="I134" s="10" t="s">
        <v>26</v>
      </c>
      <c r="J134" s="10">
        <f t="shared" si="2"/>
        <v>55.25</v>
      </c>
      <c r="K134" s="10" t="s">
        <v>26</v>
      </c>
      <c r="L134" s="10">
        <v>57</v>
      </c>
      <c r="N134" s="10">
        <v>52</v>
      </c>
      <c r="P134" s="10">
        <v>50</v>
      </c>
      <c r="R134" s="10">
        <v>62</v>
      </c>
      <c r="T134" s="10">
        <v>62</v>
      </c>
    </row>
    <row r="135" spans="1:23" s="14" customFormat="1" ht="15" thickBot="1" x14ac:dyDescent="0.35">
      <c r="A135" s="32" t="s">
        <v>69</v>
      </c>
      <c r="B135" s="14" t="s">
        <v>70</v>
      </c>
      <c r="C135" s="14" t="s">
        <v>52</v>
      </c>
      <c r="D135" s="14">
        <v>2</v>
      </c>
      <c r="E135" s="14">
        <v>18</v>
      </c>
      <c r="F135" s="33"/>
      <c r="G135" s="14">
        <f>SUM(H133:H135)</f>
        <v>105</v>
      </c>
      <c r="H135" s="14">
        <v>45</v>
      </c>
      <c r="I135" s="14" t="s">
        <v>36</v>
      </c>
      <c r="J135" s="14">
        <f t="shared" si="2"/>
        <v>25.5</v>
      </c>
      <c r="L135" s="14">
        <v>28</v>
      </c>
      <c r="N135" s="14">
        <v>24</v>
      </c>
      <c r="P135" s="14">
        <v>24</v>
      </c>
      <c r="R135" s="14">
        <v>26</v>
      </c>
      <c r="T135" s="14">
        <v>28</v>
      </c>
    </row>
    <row r="136" spans="1:23" s="4" customFormat="1" x14ac:dyDescent="0.3">
      <c r="A136" s="3" t="s">
        <v>69</v>
      </c>
      <c r="B136" s="4" t="s">
        <v>70</v>
      </c>
      <c r="C136" s="4" t="s">
        <v>52</v>
      </c>
      <c r="D136" s="4">
        <v>2</v>
      </c>
      <c r="E136" s="4">
        <v>24</v>
      </c>
      <c r="F136" s="5"/>
      <c r="H136" s="4">
        <v>5</v>
      </c>
      <c r="I136" s="4" t="s">
        <v>29</v>
      </c>
      <c r="J136" s="4" t="e">
        <f t="shared" si="2"/>
        <v>#DIV/0!</v>
      </c>
      <c r="T136" s="4">
        <v>0</v>
      </c>
    </row>
    <row r="137" spans="1:23" s="10" customFormat="1" x14ac:dyDescent="0.3">
      <c r="A137" s="27" t="s">
        <v>69</v>
      </c>
      <c r="B137" s="10" t="s">
        <v>70</v>
      </c>
      <c r="C137" s="10" t="s">
        <v>52</v>
      </c>
      <c r="D137" s="10">
        <v>2</v>
      </c>
      <c r="E137" s="10">
        <v>24</v>
      </c>
      <c r="F137" s="28"/>
      <c r="H137" s="10">
        <v>20</v>
      </c>
      <c r="I137" s="10" t="s">
        <v>26</v>
      </c>
      <c r="J137" s="10">
        <f t="shared" si="2"/>
        <v>53.75</v>
      </c>
      <c r="K137" s="10" t="s">
        <v>26</v>
      </c>
      <c r="L137" s="10">
        <v>57</v>
      </c>
      <c r="N137" s="10">
        <v>55</v>
      </c>
      <c r="P137" s="10">
        <v>51</v>
      </c>
      <c r="R137" s="10">
        <v>52</v>
      </c>
      <c r="T137" s="10">
        <v>57</v>
      </c>
      <c r="W137" s="10" t="s">
        <v>111</v>
      </c>
    </row>
    <row r="138" spans="1:23" s="10" customFormat="1" x14ac:dyDescent="0.3">
      <c r="A138" s="27" t="s">
        <v>69</v>
      </c>
      <c r="B138" s="10" t="s">
        <v>70</v>
      </c>
      <c r="C138" s="10" t="s">
        <v>52</v>
      </c>
      <c r="D138" s="10">
        <v>2</v>
      </c>
      <c r="E138" s="10">
        <v>24</v>
      </c>
      <c r="F138" s="28"/>
      <c r="H138" s="10">
        <v>25</v>
      </c>
      <c r="I138" s="10" t="s">
        <v>28</v>
      </c>
      <c r="J138" s="10">
        <f t="shared" si="2"/>
        <v>33.75</v>
      </c>
      <c r="K138" s="10" t="s">
        <v>28</v>
      </c>
      <c r="L138" s="10">
        <v>33</v>
      </c>
      <c r="M138" s="10" t="s">
        <v>28</v>
      </c>
      <c r="N138" s="10">
        <v>29</v>
      </c>
      <c r="O138" s="10" t="s">
        <v>28</v>
      </c>
      <c r="P138" s="10">
        <v>38</v>
      </c>
      <c r="Q138" s="10" t="s">
        <v>28</v>
      </c>
      <c r="R138" s="10">
        <v>35</v>
      </c>
      <c r="S138" s="10" t="s">
        <v>28</v>
      </c>
      <c r="T138" s="10">
        <v>38</v>
      </c>
      <c r="U138" s="10" t="s">
        <v>28</v>
      </c>
      <c r="V138" s="35">
        <v>0.6743055555555556</v>
      </c>
    </row>
    <row r="139" spans="1:23" x14ac:dyDescent="0.3">
      <c r="A139" s="8" t="s">
        <v>69</v>
      </c>
      <c r="B139" t="s">
        <v>70</v>
      </c>
      <c r="C139" t="s">
        <v>52</v>
      </c>
      <c r="D139">
        <v>2</v>
      </c>
      <c r="E139">
        <v>24</v>
      </c>
      <c r="F139" s="9"/>
      <c r="H139">
        <v>10</v>
      </c>
      <c r="I139" t="s">
        <v>31</v>
      </c>
      <c r="J139" t="e">
        <f t="shared" si="2"/>
        <v>#DIV/0!</v>
      </c>
      <c r="T139">
        <v>0</v>
      </c>
    </row>
    <row r="140" spans="1:23" s="14" customFormat="1" ht="15" thickBot="1" x14ac:dyDescent="0.35">
      <c r="A140" s="32" t="s">
        <v>69</v>
      </c>
      <c r="B140" s="14" t="s">
        <v>70</v>
      </c>
      <c r="C140" s="14" t="s">
        <v>52</v>
      </c>
      <c r="D140" s="14">
        <v>2</v>
      </c>
      <c r="E140" s="14">
        <v>24</v>
      </c>
      <c r="F140" s="33"/>
      <c r="G140" s="14">
        <f>SUM(H137:H140)</f>
        <v>120</v>
      </c>
      <c r="H140" s="14">
        <v>65</v>
      </c>
      <c r="I140" s="14" t="s">
        <v>36</v>
      </c>
      <c r="J140" s="14">
        <f t="shared" si="2"/>
        <v>23.375</v>
      </c>
      <c r="L140" s="14">
        <v>24.5</v>
      </c>
      <c r="N140" s="14">
        <v>21</v>
      </c>
      <c r="P140" s="14">
        <v>24</v>
      </c>
      <c r="R140" s="14">
        <v>24</v>
      </c>
      <c r="T140" s="14">
        <v>24.5</v>
      </c>
      <c r="W140" s="14" t="s">
        <v>116</v>
      </c>
    </row>
    <row r="141" spans="1:23" s="4" customFormat="1" x14ac:dyDescent="0.3">
      <c r="A141" s="3" t="s">
        <v>69</v>
      </c>
      <c r="B141" s="4" t="s">
        <v>70</v>
      </c>
      <c r="C141" s="4" t="s">
        <v>52</v>
      </c>
      <c r="D141" s="4">
        <v>2</v>
      </c>
      <c r="E141" s="4">
        <v>48</v>
      </c>
      <c r="F141" s="5"/>
      <c r="H141" s="4">
        <v>5</v>
      </c>
      <c r="I141" s="4" t="s">
        <v>29</v>
      </c>
      <c r="J141" s="4" t="e">
        <f t="shared" si="2"/>
        <v>#DIV/0!</v>
      </c>
      <c r="T141" s="4">
        <v>0</v>
      </c>
      <c r="V141" s="7">
        <v>0.68541666666666667</v>
      </c>
    </row>
    <row r="142" spans="1:23" ht="13.8" customHeight="1" x14ac:dyDescent="0.3">
      <c r="A142" s="8" t="s">
        <v>69</v>
      </c>
      <c r="B142" t="s">
        <v>70</v>
      </c>
      <c r="C142" t="s">
        <v>52</v>
      </c>
      <c r="D142">
        <v>2</v>
      </c>
      <c r="E142">
        <v>48</v>
      </c>
      <c r="F142" s="9"/>
      <c r="H142">
        <v>35</v>
      </c>
      <c r="I142" t="s">
        <v>36</v>
      </c>
      <c r="J142" t="e">
        <f t="shared" si="2"/>
        <v>#DIV/0!</v>
      </c>
      <c r="T142">
        <v>0</v>
      </c>
      <c r="W142" t="s">
        <v>117</v>
      </c>
    </row>
    <row r="143" spans="1:23" s="10" customFormat="1" x14ac:dyDescent="0.3">
      <c r="A143" s="27" t="s">
        <v>69</v>
      </c>
      <c r="B143" s="10" t="s">
        <v>70</v>
      </c>
      <c r="C143" s="10" t="s">
        <v>52</v>
      </c>
      <c r="D143" s="10">
        <v>2</v>
      </c>
      <c r="E143" s="10">
        <v>48</v>
      </c>
      <c r="F143" s="28"/>
      <c r="H143" s="10">
        <v>90</v>
      </c>
      <c r="I143" s="10" t="s">
        <v>31</v>
      </c>
      <c r="J143" s="10">
        <f t="shared" si="2"/>
        <v>31</v>
      </c>
      <c r="K143" s="10" t="s">
        <v>31</v>
      </c>
      <c r="L143" s="10">
        <v>27</v>
      </c>
      <c r="N143" s="10">
        <v>33</v>
      </c>
      <c r="P143" s="10">
        <v>31</v>
      </c>
      <c r="R143" s="10">
        <v>33</v>
      </c>
      <c r="T143" s="10">
        <v>33</v>
      </c>
    </row>
    <row r="144" spans="1:23" s="14" customFormat="1" ht="15" thickBot="1" x14ac:dyDescent="0.35">
      <c r="A144" s="32" t="s">
        <v>69</v>
      </c>
      <c r="B144" s="14" t="s">
        <v>70</v>
      </c>
      <c r="C144" s="14" t="s">
        <v>52</v>
      </c>
      <c r="D144" s="14">
        <v>2</v>
      </c>
      <c r="E144" s="14">
        <v>48</v>
      </c>
      <c r="F144" s="33"/>
      <c r="G144" s="14">
        <f>SUM(H142:H144)</f>
        <v>130</v>
      </c>
      <c r="H144" s="14">
        <v>5</v>
      </c>
      <c r="I144" s="14" t="s">
        <v>26</v>
      </c>
      <c r="J144" s="14">
        <f t="shared" si="2"/>
        <v>56</v>
      </c>
      <c r="K144" s="14" t="s">
        <v>26</v>
      </c>
      <c r="L144" s="14">
        <v>56</v>
      </c>
      <c r="N144" s="14" t="s">
        <v>30</v>
      </c>
      <c r="P144" s="14" t="s">
        <v>30</v>
      </c>
      <c r="R144" s="14" t="s">
        <v>30</v>
      </c>
      <c r="T144" s="14">
        <v>56</v>
      </c>
    </row>
    <row r="145" spans="1:22" s="6" customFormat="1" x14ac:dyDescent="0.3">
      <c r="A145" s="29" t="s">
        <v>69</v>
      </c>
      <c r="B145" s="6" t="s">
        <v>70</v>
      </c>
      <c r="C145" s="6" t="s">
        <v>60</v>
      </c>
      <c r="D145" s="6">
        <v>1</v>
      </c>
      <c r="E145" s="6">
        <v>0.5</v>
      </c>
      <c r="F145" s="30"/>
      <c r="H145" s="6">
        <v>35</v>
      </c>
      <c r="I145" s="6" t="s">
        <v>28</v>
      </c>
      <c r="J145" s="6">
        <f t="shared" si="2"/>
        <v>57</v>
      </c>
      <c r="K145" s="6" t="s">
        <v>28</v>
      </c>
      <c r="L145" s="6">
        <v>48</v>
      </c>
      <c r="M145" s="6" t="s">
        <v>28</v>
      </c>
      <c r="N145" s="6">
        <v>59</v>
      </c>
      <c r="O145" s="6" t="s">
        <v>28</v>
      </c>
      <c r="P145" s="6">
        <v>66</v>
      </c>
      <c r="Q145" s="6" t="s">
        <v>28</v>
      </c>
      <c r="R145" s="6">
        <v>55</v>
      </c>
      <c r="S145" s="6" t="s">
        <v>28</v>
      </c>
      <c r="T145" s="6">
        <v>66</v>
      </c>
      <c r="U145" s="6" t="s">
        <v>28</v>
      </c>
      <c r="V145" s="31">
        <v>0.43541666666666667</v>
      </c>
    </row>
    <row r="146" spans="1:22" s="10" customFormat="1" x14ac:dyDescent="0.3">
      <c r="A146" s="27" t="s">
        <v>69</v>
      </c>
      <c r="B146" s="10" t="s">
        <v>70</v>
      </c>
      <c r="C146" s="10" t="s">
        <v>60</v>
      </c>
      <c r="D146" s="10">
        <v>1</v>
      </c>
      <c r="E146" s="10">
        <v>0.5</v>
      </c>
      <c r="F146" s="28"/>
      <c r="H146" s="10">
        <v>35</v>
      </c>
      <c r="I146" s="10" t="s">
        <v>26</v>
      </c>
      <c r="J146" s="10">
        <f t="shared" si="2"/>
        <v>67.125</v>
      </c>
      <c r="L146" s="10">
        <v>76</v>
      </c>
      <c r="N146" s="10">
        <v>69.5</v>
      </c>
      <c r="P146" s="10">
        <v>70</v>
      </c>
      <c r="R146" s="10">
        <v>53</v>
      </c>
      <c r="T146" s="10">
        <v>76</v>
      </c>
    </row>
    <row r="147" spans="1:22" s="12" customFormat="1" ht="15" thickBot="1" x14ac:dyDescent="0.35">
      <c r="A147" s="11" t="s">
        <v>69</v>
      </c>
      <c r="B147" s="12" t="s">
        <v>70</v>
      </c>
      <c r="C147" s="12" t="s">
        <v>60</v>
      </c>
      <c r="D147" s="12">
        <v>1</v>
      </c>
      <c r="E147" s="12">
        <v>0.5</v>
      </c>
      <c r="F147" s="13"/>
      <c r="G147" s="12">
        <f>SUM(H145:H146)</f>
        <v>70</v>
      </c>
      <c r="H147" s="12">
        <v>40</v>
      </c>
      <c r="I147" s="12" t="s">
        <v>29</v>
      </c>
      <c r="J147" s="12" t="e">
        <f t="shared" si="2"/>
        <v>#DIV/0!</v>
      </c>
      <c r="T147" s="12">
        <v>0</v>
      </c>
    </row>
    <row r="148" spans="1:22" s="6" customFormat="1" x14ac:dyDescent="0.3">
      <c r="A148" s="29" t="s">
        <v>69</v>
      </c>
      <c r="B148" s="6" t="s">
        <v>70</v>
      </c>
      <c r="C148" s="6" t="s">
        <v>60</v>
      </c>
      <c r="D148" s="6">
        <v>1</v>
      </c>
      <c r="E148" s="6">
        <v>2</v>
      </c>
      <c r="F148" s="30"/>
      <c r="H148" s="6">
        <v>75</v>
      </c>
      <c r="I148" s="6" t="s">
        <v>28</v>
      </c>
      <c r="J148" s="6">
        <f t="shared" si="2"/>
        <v>51.625</v>
      </c>
      <c r="K148" s="6" t="s">
        <v>28</v>
      </c>
      <c r="L148" s="6">
        <v>69.5</v>
      </c>
      <c r="M148" s="6" t="s">
        <v>28</v>
      </c>
      <c r="N148" s="6">
        <v>52</v>
      </c>
      <c r="O148" s="6" t="s">
        <v>28</v>
      </c>
      <c r="P148" s="6">
        <v>39</v>
      </c>
      <c r="Q148" s="6" t="s">
        <v>28</v>
      </c>
      <c r="R148" s="6">
        <v>46</v>
      </c>
      <c r="S148" s="6" t="s">
        <v>28</v>
      </c>
      <c r="T148" s="6">
        <v>69.5</v>
      </c>
      <c r="U148" s="6" t="s">
        <v>28</v>
      </c>
      <c r="V148" s="31">
        <v>0.43888888888888888</v>
      </c>
    </row>
    <row r="149" spans="1:22" s="12" customFormat="1" ht="15" thickBot="1" x14ac:dyDescent="0.35">
      <c r="A149" s="11" t="s">
        <v>69</v>
      </c>
      <c r="B149" s="12" t="s">
        <v>70</v>
      </c>
      <c r="C149" s="12" t="s">
        <v>60</v>
      </c>
      <c r="D149" s="12">
        <v>1</v>
      </c>
      <c r="E149" s="12">
        <v>2</v>
      </c>
      <c r="F149" s="13"/>
      <c r="G149" s="12">
        <f>SUM(H148)</f>
        <v>75</v>
      </c>
      <c r="H149" s="12">
        <v>25</v>
      </c>
      <c r="I149" s="12" t="s">
        <v>29</v>
      </c>
      <c r="J149" s="12" t="e">
        <f t="shared" si="2"/>
        <v>#DIV/0!</v>
      </c>
      <c r="T149" s="12">
        <v>0</v>
      </c>
    </row>
    <row r="150" spans="1:22" s="4" customFormat="1" x14ac:dyDescent="0.3">
      <c r="A150" s="3" t="s">
        <v>69</v>
      </c>
      <c r="B150" s="4" t="s">
        <v>70</v>
      </c>
      <c r="C150" s="4" t="s">
        <v>60</v>
      </c>
      <c r="D150" s="4">
        <v>1</v>
      </c>
      <c r="E150" s="4">
        <v>6</v>
      </c>
      <c r="F150" s="5"/>
      <c r="H150" s="4">
        <v>40</v>
      </c>
      <c r="I150" s="4" t="s">
        <v>63</v>
      </c>
      <c r="J150" s="4" t="e">
        <f t="shared" si="2"/>
        <v>#DIV/0!</v>
      </c>
      <c r="T150" s="4">
        <v>0</v>
      </c>
    </row>
    <row r="151" spans="1:22" s="14" customFormat="1" ht="15" thickBot="1" x14ac:dyDescent="0.35">
      <c r="A151" s="32" t="s">
        <v>69</v>
      </c>
      <c r="B151" s="14" t="s">
        <v>70</v>
      </c>
      <c r="C151" s="14" t="s">
        <v>60</v>
      </c>
      <c r="D151" s="14">
        <v>1</v>
      </c>
      <c r="E151" s="14">
        <v>6</v>
      </c>
      <c r="F151" s="33"/>
      <c r="G151" s="14">
        <f>SUM(H151)</f>
        <v>60</v>
      </c>
      <c r="H151" s="14">
        <v>60</v>
      </c>
      <c r="I151" s="14" t="s">
        <v>28</v>
      </c>
      <c r="J151" s="14">
        <f t="shared" si="2"/>
        <v>61.125</v>
      </c>
      <c r="K151" s="14" t="s">
        <v>28</v>
      </c>
      <c r="L151" s="14">
        <v>63</v>
      </c>
      <c r="M151" s="14" t="s">
        <v>28</v>
      </c>
      <c r="N151" s="14">
        <v>65</v>
      </c>
      <c r="O151" s="14" t="s">
        <v>28</v>
      </c>
      <c r="P151" s="14">
        <v>64</v>
      </c>
      <c r="Q151" s="14" t="s">
        <v>28</v>
      </c>
      <c r="R151" s="14">
        <v>52.5</v>
      </c>
      <c r="S151" s="14" t="s">
        <v>28</v>
      </c>
      <c r="T151" s="14">
        <v>65</v>
      </c>
      <c r="U151" s="14" t="s">
        <v>28</v>
      </c>
      <c r="V151" s="34">
        <v>0.44027777777777777</v>
      </c>
    </row>
    <row r="152" spans="1:22" s="6" customFormat="1" x14ac:dyDescent="0.3">
      <c r="A152" s="29" t="s">
        <v>69</v>
      </c>
      <c r="B152" s="6" t="s">
        <v>70</v>
      </c>
      <c r="C152" s="6" t="s">
        <v>60</v>
      </c>
      <c r="D152" s="6">
        <v>1</v>
      </c>
      <c r="E152" s="6">
        <v>12</v>
      </c>
      <c r="F152" s="30"/>
      <c r="H152" s="6">
        <v>65</v>
      </c>
      <c r="I152" s="6" t="s">
        <v>28</v>
      </c>
      <c r="J152" s="6">
        <f t="shared" si="2"/>
        <v>46</v>
      </c>
      <c r="K152" s="6" t="s">
        <v>28</v>
      </c>
      <c r="L152" s="6">
        <v>55</v>
      </c>
      <c r="M152" s="6" t="s">
        <v>28</v>
      </c>
      <c r="N152" s="6">
        <v>44</v>
      </c>
      <c r="O152" s="6" t="s">
        <v>28</v>
      </c>
      <c r="P152" s="6">
        <v>42</v>
      </c>
      <c r="Q152" s="6" t="s">
        <v>28</v>
      </c>
      <c r="R152" s="6">
        <v>43</v>
      </c>
      <c r="S152" s="6" t="s">
        <v>28</v>
      </c>
      <c r="T152" s="6">
        <v>55</v>
      </c>
      <c r="U152" s="6" t="s">
        <v>28</v>
      </c>
      <c r="V152" s="31">
        <v>0.44236111111111109</v>
      </c>
    </row>
    <row r="153" spans="1:22" s="12" customFormat="1" ht="15" thickBot="1" x14ac:dyDescent="0.35">
      <c r="A153" s="11" t="s">
        <v>69</v>
      </c>
      <c r="B153" s="12" t="s">
        <v>70</v>
      </c>
      <c r="C153" s="12" t="s">
        <v>60</v>
      </c>
      <c r="D153" s="12">
        <v>1</v>
      </c>
      <c r="E153" s="12">
        <v>12</v>
      </c>
      <c r="F153" s="13"/>
      <c r="G153" s="12">
        <f>SUM(H152)</f>
        <v>65</v>
      </c>
      <c r="H153" s="12">
        <v>35</v>
      </c>
      <c r="I153" s="12" t="s">
        <v>29</v>
      </c>
      <c r="J153" s="12" t="e">
        <f t="shared" si="2"/>
        <v>#DIV/0!</v>
      </c>
      <c r="T153" s="12">
        <v>0</v>
      </c>
    </row>
    <row r="154" spans="1:22" s="6" customFormat="1" x14ac:dyDescent="0.3">
      <c r="A154" s="29" t="s">
        <v>69</v>
      </c>
      <c r="B154" s="6" t="s">
        <v>70</v>
      </c>
      <c r="C154" s="6" t="s">
        <v>60</v>
      </c>
      <c r="D154" s="6">
        <v>1</v>
      </c>
      <c r="E154" s="6">
        <v>18</v>
      </c>
      <c r="F154" s="30"/>
      <c r="H154" s="6">
        <v>80</v>
      </c>
      <c r="I154" s="6" t="s">
        <v>28</v>
      </c>
      <c r="J154" s="6">
        <f t="shared" si="2"/>
        <v>58.75</v>
      </c>
      <c r="K154" s="6" t="s">
        <v>28</v>
      </c>
      <c r="L154" s="6">
        <v>59</v>
      </c>
      <c r="M154" s="6" t="s">
        <v>28</v>
      </c>
      <c r="N154" s="6">
        <v>69</v>
      </c>
      <c r="O154" s="6" t="s">
        <v>28</v>
      </c>
      <c r="P154" s="6">
        <v>57</v>
      </c>
      <c r="Q154" s="6" t="s">
        <v>28</v>
      </c>
      <c r="R154" s="6">
        <v>50</v>
      </c>
      <c r="S154" s="6" t="s">
        <v>28</v>
      </c>
      <c r="T154" s="6">
        <v>69</v>
      </c>
      <c r="U154" s="6" t="s">
        <v>28</v>
      </c>
      <c r="V154" s="31">
        <v>0.44374999999999998</v>
      </c>
    </row>
    <row r="155" spans="1:22" s="12" customFormat="1" ht="15" thickBot="1" x14ac:dyDescent="0.35">
      <c r="A155" s="11" t="s">
        <v>69</v>
      </c>
      <c r="B155" s="12" t="s">
        <v>70</v>
      </c>
      <c r="C155" s="12" t="s">
        <v>60</v>
      </c>
      <c r="D155" s="12">
        <v>1</v>
      </c>
      <c r="E155" s="12">
        <v>18</v>
      </c>
      <c r="F155" s="13"/>
      <c r="G155" s="12">
        <f>SUM(H154)</f>
        <v>80</v>
      </c>
      <c r="H155" s="12">
        <v>20</v>
      </c>
      <c r="I155" s="12" t="s">
        <v>29</v>
      </c>
      <c r="J155" s="12" t="e">
        <f t="shared" si="2"/>
        <v>#DIV/0!</v>
      </c>
      <c r="T155" s="12">
        <v>0</v>
      </c>
    </row>
    <row r="156" spans="1:22" s="4" customFormat="1" x14ac:dyDescent="0.3">
      <c r="A156" s="3" t="s">
        <v>69</v>
      </c>
      <c r="B156" s="4" t="s">
        <v>70</v>
      </c>
      <c r="C156" s="4" t="s">
        <v>60</v>
      </c>
      <c r="D156" s="4">
        <v>1</v>
      </c>
      <c r="E156" s="4">
        <v>24</v>
      </c>
      <c r="F156" s="5"/>
      <c r="H156" s="4">
        <v>15</v>
      </c>
      <c r="I156" s="4" t="s">
        <v>50</v>
      </c>
      <c r="J156" s="4" t="e">
        <f t="shared" si="2"/>
        <v>#DIV/0!</v>
      </c>
      <c r="T156" s="4">
        <v>0</v>
      </c>
    </row>
    <row r="157" spans="1:22" s="10" customFormat="1" x14ac:dyDescent="0.3">
      <c r="A157" s="27" t="s">
        <v>69</v>
      </c>
      <c r="B157" s="10" t="s">
        <v>70</v>
      </c>
      <c r="C157" s="10" t="s">
        <v>60</v>
      </c>
      <c r="D157" s="10">
        <v>1</v>
      </c>
      <c r="E157" s="10">
        <v>24</v>
      </c>
      <c r="F157" s="28"/>
      <c r="H157" s="10">
        <v>95</v>
      </c>
      <c r="I157" s="10" t="s">
        <v>28</v>
      </c>
      <c r="J157" s="10">
        <f t="shared" si="2"/>
        <v>55.5</v>
      </c>
      <c r="K157" s="10" t="s">
        <v>28</v>
      </c>
      <c r="L157" s="10">
        <v>55</v>
      </c>
      <c r="M157" s="10" t="s">
        <v>28</v>
      </c>
      <c r="N157" s="10">
        <v>58.5</v>
      </c>
      <c r="O157" s="10" t="s">
        <v>28</v>
      </c>
      <c r="P157" s="10">
        <v>57.5</v>
      </c>
      <c r="Q157" s="10" t="s">
        <v>28</v>
      </c>
      <c r="R157" s="10">
        <v>51</v>
      </c>
      <c r="S157" s="10" t="s">
        <v>28</v>
      </c>
      <c r="T157" s="10">
        <v>58.5</v>
      </c>
      <c r="V157" s="35">
        <v>0.44722222222222224</v>
      </c>
    </row>
    <row r="158" spans="1:22" s="12" customFormat="1" ht="15" thickBot="1" x14ac:dyDescent="0.35">
      <c r="A158" s="11" t="s">
        <v>69</v>
      </c>
      <c r="B158" s="12" t="s">
        <v>70</v>
      </c>
      <c r="C158" s="12" t="s">
        <v>60</v>
      </c>
      <c r="D158" s="12">
        <v>1</v>
      </c>
      <c r="E158" s="12">
        <v>24</v>
      </c>
      <c r="F158" s="13"/>
      <c r="G158" s="12">
        <f>SUM(H156:H157)</f>
        <v>110</v>
      </c>
      <c r="H158" s="12">
        <v>5</v>
      </c>
      <c r="I158" s="12" t="s">
        <v>29</v>
      </c>
      <c r="J158" s="12" t="e">
        <f t="shared" si="2"/>
        <v>#DIV/0!</v>
      </c>
      <c r="T158" s="12">
        <v>0</v>
      </c>
    </row>
    <row r="159" spans="1:22" s="6" customFormat="1" x14ac:dyDescent="0.3">
      <c r="A159" s="29" t="s">
        <v>69</v>
      </c>
      <c r="B159" s="6" t="s">
        <v>70</v>
      </c>
      <c r="C159" s="6" t="s">
        <v>60</v>
      </c>
      <c r="D159" s="6">
        <v>1</v>
      </c>
      <c r="E159" s="6">
        <v>48</v>
      </c>
      <c r="F159" s="30"/>
      <c r="H159" s="6">
        <v>95</v>
      </c>
      <c r="I159" s="6" t="s">
        <v>28</v>
      </c>
      <c r="J159" s="6">
        <f t="shared" si="2"/>
        <v>49.125</v>
      </c>
      <c r="K159" s="6" t="s">
        <v>28</v>
      </c>
      <c r="L159" s="6">
        <v>60</v>
      </c>
      <c r="M159" s="6" t="s">
        <v>28</v>
      </c>
      <c r="N159" s="6">
        <v>43.5</v>
      </c>
      <c r="O159" s="6" t="s">
        <v>28</v>
      </c>
      <c r="P159" s="6">
        <v>50</v>
      </c>
      <c r="R159" s="6">
        <v>43</v>
      </c>
      <c r="T159" s="6">
        <v>60</v>
      </c>
      <c r="V159" s="31">
        <v>0.45</v>
      </c>
    </row>
    <row r="160" spans="1:22" x14ac:dyDescent="0.3">
      <c r="A160" s="8" t="s">
        <v>69</v>
      </c>
      <c r="B160" t="s">
        <v>70</v>
      </c>
      <c r="C160" t="s">
        <v>60</v>
      </c>
      <c r="D160">
        <v>1</v>
      </c>
      <c r="E160">
        <v>48</v>
      </c>
      <c r="F160" s="9"/>
      <c r="H160">
        <v>20</v>
      </c>
      <c r="I160" t="s">
        <v>50</v>
      </c>
      <c r="J160" t="e">
        <f>AVERAGE(L160, N160, P160, R160)</f>
        <v>#DIV/0!</v>
      </c>
    </row>
    <row r="161" spans="1:22" s="12" customFormat="1" ht="15" thickBot="1" x14ac:dyDescent="0.35">
      <c r="A161" s="11" t="s">
        <v>69</v>
      </c>
      <c r="B161" s="12" t="s">
        <v>70</v>
      </c>
      <c r="C161" s="12" t="s">
        <v>60</v>
      </c>
      <c r="D161" s="12">
        <v>1</v>
      </c>
      <c r="E161" s="12">
        <v>48</v>
      </c>
      <c r="F161" s="13"/>
      <c r="G161" s="12">
        <f>SUM(H159:H160)</f>
        <v>115</v>
      </c>
      <c r="H161" s="12">
        <v>5</v>
      </c>
      <c r="I161" s="12" t="s">
        <v>29</v>
      </c>
      <c r="J161" s="12" t="e">
        <f t="shared" si="2"/>
        <v>#DIV/0!</v>
      </c>
      <c r="T161" s="12">
        <v>0</v>
      </c>
    </row>
    <row r="162" spans="1:22" s="4" customFormat="1" x14ac:dyDescent="0.3">
      <c r="A162" s="3" t="s">
        <v>69</v>
      </c>
      <c r="B162" s="4" t="s">
        <v>70</v>
      </c>
      <c r="C162" s="4" t="s">
        <v>60</v>
      </c>
      <c r="D162" s="4">
        <v>2</v>
      </c>
      <c r="E162" s="4">
        <v>0.5</v>
      </c>
      <c r="F162" s="5"/>
      <c r="H162" s="4">
        <v>30</v>
      </c>
      <c r="I162" s="4" t="s">
        <v>29</v>
      </c>
      <c r="J162" s="4" t="e">
        <f t="shared" si="2"/>
        <v>#DIV/0!</v>
      </c>
      <c r="T162" s="4">
        <v>0</v>
      </c>
    </row>
    <row r="163" spans="1:22" s="10" customFormat="1" x14ac:dyDescent="0.3">
      <c r="A163" s="27" t="s">
        <v>69</v>
      </c>
      <c r="B163" s="10" t="s">
        <v>70</v>
      </c>
      <c r="C163" s="10" t="s">
        <v>60</v>
      </c>
      <c r="D163" s="10">
        <v>2</v>
      </c>
      <c r="E163" s="10">
        <v>0.5</v>
      </c>
      <c r="F163" s="28"/>
      <c r="H163" s="10">
        <v>40</v>
      </c>
      <c r="I163" s="10" t="s">
        <v>26</v>
      </c>
      <c r="J163" s="10">
        <f t="shared" si="2"/>
        <v>77.75</v>
      </c>
      <c r="L163" s="10">
        <v>85</v>
      </c>
      <c r="N163" s="10">
        <v>76</v>
      </c>
      <c r="P163" s="10">
        <v>72</v>
      </c>
      <c r="R163" s="10">
        <v>78</v>
      </c>
      <c r="T163" s="10">
        <v>85</v>
      </c>
    </row>
    <row r="164" spans="1:22" s="14" customFormat="1" ht="15" thickBot="1" x14ac:dyDescent="0.35">
      <c r="A164" s="32" t="s">
        <v>69</v>
      </c>
      <c r="B164" s="14" t="s">
        <v>70</v>
      </c>
      <c r="C164" s="14" t="s">
        <v>60</v>
      </c>
      <c r="D164" s="14">
        <v>2</v>
      </c>
      <c r="E164" s="14">
        <v>0.5</v>
      </c>
      <c r="F164" s="33"/>
      <c r="G164" s="14">
        <f>SUM(H163:H164)</f>
        <v>70</v>
      </c>
      <c r="H164" s="14">
        <v>30</v>
      </c>
      <c r="I164" s="14" t="s">
        <v>28</v>
      </c>
      <c r="J164" s="14">
        <f t="shared" si="2"/>
        <v>53.75</v>
      </c>
      <c r="K164" s="14" t="s">
        <v>28</v>
      </c>
      <c r="L164" s="14">
        <v>53</v>
      </c>
      <c r="M164" s="14" t="s">
        <v>28</v>
      </c>
      <c r="N164" s="14">
        <v>53</v>
      </c>
      <c r="O164" s="14" t="s">
        <v>28</v>
      </c>
      <c r="P164" s="14">
        <v>56</v>
      </c>
      <c r="Q164" s="14" t="s">
        <v>28</v>
      </c>
      <c r="R164" s="14">
        <v>53</v>
      </c>
      <c r="S164" s="14" t="s">
        <v>28</v>
      </c>
      <c r="T164" s="14">
        <v>56</v>
      </c>
      <c r="U164" s="14" t="s">
        <v>28</v>
      </c>
      <c r="V164" s="34">
        <v>0.43194444444444446</v>
      </c>
    </row>
    <row r="165" spans="1:22" s="6" customFormat="1" x14ac:dyDescent="0.3">
      <c r="A165" s="29" t="s">
        <v>69</v>
      </c>
      <c r="B165" s="6" t="s">
        <v>70</v>
      </c>
      <c r="C165" s="6" t="s">
        <v>60</v>
      </c>
      <c r="D165" s="6">
        <v>2</v>
      </c>
      <c r="E165" s="6">
        <v>2</v>
      </c>
      <c r="F165" s="30"/>
      <c r="H165" s="6">
        <v>35</v>
      </c>
      <c r="I165" s="6" t="s">
        <v>26</v>
      </c>
      <c r="J165" s="6">
        <f t="shared" si="2"/>
        <v>87.25</v>
      </c>
      <c r="K165" s="6" t="s">
        <v>26</v>
      </c>
      <c r="L165" s="6">
        <v>93</v>
      </c>
      <c r="N165" s="6">
        <v>81</v>
      </c>
      <c r="P165" s="6">
        <v>83</v>
      </c>
      <c r="R165" s="6">
        <v>92</v>
      </c>
      <c r="T165" s="6">
        <v>93</v>
      </c>
    </row>
    <row r="166" spans="1:22" s="10" customFormat="1" x14ac:dyDescent="0.3">
      <c r="A166" s="27" t="s">
        <v>69</v>
      </c>
      <c r="B166" s="10" t="s">
        <v>70</v>
      </c>
      <c r="C166" s="10" t="s">
        <v>60</v>
      </c>
      <c r="D166" s="10">
        <v>2</v>
      </c>
      <c r="E166" s="10">
        <v>2</v>
      </c>
      <c r="F166" s="28"/>
      <c r="H166" s="10">
        <v>30</v>
      </c>
      <c r="I166" s="10" t="s">
        <v>28</v>
      </c>
      <c r="J166" s="10">
        <f t="shared" si="2"/>
        <v>54.5</v>
      </c>
      <c r="K166" s="10" t="s">
        <v>28</v>
      </c>
      <c r="L166" s="10">
        <v>68</v>
      </c>
      <c r="M166" s="10" t="s">
        <v>28</v>
      </c>
      <c r="N166" s="10">
        <v>53</v>
      </c>
      <c r="O166" s="10" t="s">
        <v>28</v>
      </c>
      <c r="P166" s="10">
        <v>51</v>
      </c>
      <c r="Q166" s="10" t="s">
        <v>28</v>
      </c>
      <c r="R166" s="10">
        <v>46</v>
      </c>
      <c r="S166" s="10" t="s">
        <v>28</v>
      </c>
      <c r="T166" s="10">
        <v>68</v>
      </c>
      <c r="U166" s="10" t="s">
        <v>28</v>
      </c>
      <c r="V166" s="35">
        <v>0.42916666666666664</v>
      </c>
    </row>
    <row r="167" spans="1:22" s="12" customFormat="1" ht="15" thickBot="1" x14ac:dyDescent="0.35">
      <c r="A167" s="11" t="s">
        <v>69</v>
      </c>
      <c r="B167" s="12" t="s">
        <v>70</v>
      </c>
      <c r="C167" s="12" t="s">
        <v>60</v>
      </c>
      <c r="D167" s="12">
        <v>2</v>
      </c>
      <c r="E167" s="12">
        <v>2</v>
      </c>
      <c r="F167" s="13"/>
      <c r="G167" s="12">
        <f>SUM(H165:H166)</f>
        <v>65</v>
      </c>
      <c r="H167" s="12">
        <v>35</v>
      </c>
      <c r="I167" s="12" t="s">
        <v>63</v>
      </c>
      <c r="J167" s="12" t="e">
        <f t="shared" si="2"/>
        <v>#DIV/0!</v>
      </c>
      <c r="T167" s="12">
        <v>0</v>
      </c>
    </row>
    <row r="168" spans="1:22" s="4" customFormat="1" x14ac:dyDescent="0.3">
      <c r="A168" s="3" t="s">
        <v>69</v>
      </c>
      <c r="B168" s="4" t="s">
        <v>70</v>
      </c>
      <c r="C168" s="4" t="s">
        <v>60</v>
      </c>
      <c r="D168" s="4">
        <v>2</v>
      </c>
      <c r="E168" s="4">
        <v>6</v>
      </c>
      <c r="F168" s="5"/>
      <c r="H168" s="4">
        <v>20</v>
      </c>
      <c r="I168" s="4" t="s">
        <v>29</v>
      </c>
      <c r="J168" s="4" t="e">
        <f t="shared" si="2"/>
        <v>#DIV/0!</v>
      </c>
      <c r="T168" s="4">
        <v>0</v>
      </c>
    </row>
    <row r="169" spans="1:22" s="10" customFormat="1" x14ac:dyDescent="0.3">
      <c r="A169" s="27" t="s">
        <v>69</v>
      </c>
      <c r="B169" s="10" t="s">
        <v>70</v>
      </c>
      <c r="C169" s="10" t="s">
        <v>60</v>
      </c>
      <c r="D169" s="10">
        <v>2</v>
      </c>
      <c r="E169" s="10">
        <v>6</v>
      </c>
      <c r="F169" s="28"/>
      <c r="H169" s="10">
        <v>80</v>
      </c>
      <c r="I169" s="10" t="s">
        <v>28</v>
      </c>
      <c r="J169" s="10">
        <f t="shared" si="2"/>
        <v>50</v>
      </c>
      <c r="K169" s="10" t="s">
        <v>28</v>
      </c>
      <c r="L169" s="10">
        <v>51</v>
      </c>
      <c r="M169" s="10" t="s">
        <v>28</v>
      </c>
      <c r="N169" s="10">
        <v>55</v>
      </c>
      <c r="O169" s="10" t="s">
        <v>28</v>
      </c>
      <c r="P169" s="10">
        <v>49</v>
      </c>
      <c r="Q169" s="10" t="s">
        <v>28</v>
      </c>
      <c r="R169" s="10">
        <v>45</v>
      </c>
      <c r="S169" s="10" t="s">
        <v>28</v>
      </c>
      <c r="T169" s="10">
        <v>55</v>
      </c>
      <c r="U169" s="10" t="s">
        <v>28</v>
      </c>
      <c r="V169" s="35">
        <v>0.42708333333333331</v>
      </c>
    </row>
    <row r="170" spans="1:22" s="12" customFormat="1" ht="15" thickBot="1" x14ac:dyDescent="0.35">
      <c r="A170" s="11" t="s">
        <v>69</v>
      </c>
      <c r="B170" s="12" t="s">
        <v>70</v>
      </c>
      <c r="C170" s="12" t="s">
        <v>60</v>
      </c>
      <c r="D170" s="12">
        <v>2</v>
      </c>
      <c r="E170" s="12">
        <v>6</v>
      </c>
      <c r="F170" s="13"/>
      <c r="G170" s="12">
        <f>SUM(H169:H170)</f>
        <v>85</v>
      </c>
      <c r="H170" s="12">
        <v>5</v>
      </c>
      <c r="I170" s="12" t="s">
        <v>123</v>
      </c>
      <c r="J170" s="12" t="e">
        <f t="shared" si="2"/>
        <v>#DIV/0!</v>
      </c>
      <c r="T170" s="12">
        <v>0</v>
      </c>
    </row>
    <row r="171" spans="1:22" s="4" customFormat="1" x14ac:dyDescent="0.3">
      <c r="A171" s="3" t="s">
        <v>69</v>
      </c>
      <c r="B171" s="4" t="s">
        <v>70</v>
      </c>
      <c r="C171" s="4" t="s">
        <v>60</v>
      </c>
      <c r="D171" s="4">
        <v>2</v>
      </c>
      <c r="E171" s="4">
        <v>12</v>
      </c>
      <c r="F171" s="5"/>
      <c r="H171" s="4">
        <v>5</v>
      </c>
      <c r="I171" s="4" t="s">
        <v>123</v>
      </c>
      <c r="J171" s="4" t="e">
        <f t="shared" si="2"/>
        <v>#DIV/0!</v>
      </c>
      <c r="T171" s="4">
        <v>0</v>
      </c>
    </row>
    <row r="172" spans="1:22" s="10" customFormat="1" x14ac:dyDescent="0.3">
      <c r="A172" s="27" t="s">
        <v>69</v>
      </c>
      <c r="B172" s="10" t="s">
        <v>70</v>
      </c>
      <c r="C172" s="10" t="s">
        <v>60</v>
      </c>
      <c r="D172" s="10">
        <v>2</v>
      </c>
      <c r="E172" s="10">
        <v>12</v>
      </c>
      <c r="F172" s="28"/>
      <c r="H172" s="10">
        <v>90</v>
      </c>
      <c r="I172" s="10" t="s">
        <v>28</v>
      </c>
      <c r="J172" s="10">
        <f t="shared" si="2"/>
        <v>52.125</v>
      </c>
      <c r="K172" s="10" t="s">
        <v>28</v>
      </c>
      <c r="L172" s="10">
        <v>54.5</v>
      </c>
      <c r="M172" s="10" t="s">
        <v>28</v>
      </c>
      <c r="N172" s="10">
        <v>48</v>
      </c>
      <c r="O172" s="10" t="s">
        <v>28</v>
      </c>
      <c r="P172" s="10">
        <v>50</v>
      </c>
      <c r="Q172" s="10" t="s">
        <v>28</v>
      </c>
      <c r="R172" s="10">
        <v>56</v>
      </c>
      <c r="S172" s="10" t="s">
        <v>28</v>
      </c>
      <c r="T172" s="10">
        <v>56</v>
      </c>
      <c r="U172" s="10" t="s">
        <v>28</v>
      </c>
      <c r="V172" s="35">
        <v>0.42569444444444443</v>
      </c>
    </row>
    <row r="173" spans="1:22" s="12" customFormat="1" ht="15" thickBot="1" x14ac:dyDescent="0.35">
      <c r="A173" s="11" t="s">
        <v>69</v>
      </c>
      <c r="B173" s="12" t="s">
        <v>70</v>
      </c>
      <c r="C173" s="12" t="s">
        <v>60</v>
      </c>
      <c r="D173" s="12">
        <v>2</v>
      </c>
      <c r="E173" s="12">
        <v>12</v>
      </c>
      <c r="F173" s="13"/>
      <c r="G173" s="12">
        <f>SUM(H171:H172)</f>
        <v>95</v>
      </c>
      <c r="H173" s="12">
        <v>10</v>
      </c>
      <c r="I173" s="12" t="s">
        <v>29</v>
      </c>
      <c r="J173" s="12" t="e">
        <f t="shared" si="2"/>
        <v>#DIV/0!</v>
      </c>
      <c r="T173" s="12">
        <v>0</v>
      </c>
    </row>
    <row r="174" spans="1:22" s="4" customFormat="1" x14ac:dyDescent="0.3">
      <c r="A174" s="3" t="s">
        <v>69</v>
      </c>
      <c r="B174" s="4" t="s">
        <v>70</v>
      </c>
      <c r="C174" s="4" t="s">
        <v>60</v>
      </c>
      <c r="D174" s="4">
        <v>2</v>
      </c>
      <c r="E174" s="4">
        <v>18</v>
      </c>
      <c r="F174" s="5"/>
      <c r="H174" s="4">
        <v>5</v>
      </c>
      <c r="I174" s="4" t="s">
        <v>29</v>
      </c>
      <c r="J174" s="4" t="e">
        <f t="shared" si="2"/>
        <v>#DIV/0!</v>
      </c>
      <c r="T174" s="4">
        <v>0</v>
      </c>
    </row>
    <row r="175" spans="1:22" x14ac:dyDescent="0.3">
      <c r="A175" s="8" t="s">
        <v>69</v>
      </c>
      <c r="B175" t="s">
        <v>70</v>
      </c>
      <c r="C175" t="s">
        <v>60</v>
      </c>
      <c r="D175">
        <v>2</v>
      </c>
      <c r="E175">
        <v>18</v>
      </c>
      <c r="F175" s="9"/>
      <c r="H175">
        <v>10</v>
      </c>
      <c r="I175" t="s">
        <v>50</v>
      </c>
    </row>
    <row r="176" spans="1:22" s="14" customFormat="1" ht="15" thickBot="1" x14ac:dyDescent="0.35">
      <c r="A176" s="32" t="s">
        <v>69</v>
      </c>
      <c r="B176" s="14" t="s">
        <v>70</v>
      </c>
      <c r="C176" s="14" t="s">
        <v>60</v>
      </c>
      <c r="D176" s="14">
        <v>2</v>
      </c>
      <c r="E176" s="14">
        <v>18</v>
      </c>
      <c r="F176" s="33"/>
      <c r="G176" s="14">
        <f>SUM(H175:H176)</f>
        <v>95</v>
      </c>
      <c r="H176" s="14">
        <v>85</v>
      </c>
      <c r="I176" s="14" t="s">
        <v>28</v>
      </c>
      <c r="J176" s="14">
        <f t="shared" si="2"/>
        <v>61.75</v>
      </c>
      <c r="K176" s="14" t="s">
        <v>28</v>
      </c>
      <c r="L176" s="14">
        <v>64</v>
      </c>
      <c r="M176" s="14" t="s">
        <v>28</v>
      </c>
      <c r="N176" s="14">
        <v>64</v>
      </c>
      <c r="O176" s="14" t="s">
        <v>28</v>
      </c>
      <c r="P176" s="14">
        <v>54</v>
      </c>
      <c r="Q176" s="14" t="s">
        <v>28</v>
      </c>
      <c r="R176" s="14">
        <v>65</v>
      </c>
      <c r="S176" s="14" t="s">
        <v>28</v>
      </c>
      <c r="T176" s="14">
        <v>65</v>
      </c>
      <c r="U176" s="14" t="s">
        <v>28</v>
      </c>
      <c r="V176" s="34">
        <v>0.4236111111111111</v>
      </c>
    </row>
    <row r="177" spans="1:22" s="4" customFormat="1" x14ac:dyDescent="0.3">
      <c r="A177" s="3" t="s">
        <v>69</v>
      </c>
      <c r="B177" s="4" t="s">
        <v>70</v>
      </c>
      <c r="C177" s="4" t="s">
        <v>60</v>
      </c>
      <c r="D177" s="4">
        <v>2</v>
      </c>
      <c r="E177" s="4">
        <v>24</v>
      </c>
      <c r="F177" s="5"/>
      <c r="H177" s="4">
        <v>5</v>
      </c>
      <c r="I177" s="4" t="s">
        <v>29</v>
      </c>
      <c r="J177" s="4" t="e">
        <f t="shared" si="2"/>
        <v>#DIV/0!</v>
      </c>
      <c r="T177" s="4">
        <v>0</v>
      </c>
    </row>
    <row r="178" spans="1:22" s="14" customFormat="1" ht="15" thickBot="1" x14ac:dyDescent="0.35">
      <c r="A178" s="32" t="s">
        <v>69</v>
      </c>
      <c r="B178" s="14" t="s">
        <v>70</v>
      </c>
      <c r="C178" s="14" t="s">
        <v>60</v>
      </c>
      <c r="D178" s="14">
        <v>2</v>
      </c>
      <c r="E178" s="14">
        <v>24</v>
      </c>
      <c r="F178" s="33"/>
      <c r="G178" s="14">
        <f>SUM(H178)</f>
        <v>95</v>
      </c>
      <c r="H178" s="14">
        <v>95</v>
      </c>
      <c r="I178" s="14" t="s">
        <v>28</v>
      </c>
      <c r="J178" s="14">
        <f t="shared" si="2"/>
        <v>56</v>
      </c>
      <c r="K178" s="14" t="s">
        <v>28</v>
      </c>
      <c r="L178" s="14">
        <v>59.5</v>
      </c>
      <c r="M178" s="14" t="s">
        <v>28</v>
      </c>
      <c r="N178" s="14">
        <v>53</v>
      </c>
      <c r="O178" s="14" t="s">
        <v>28</v>
      </c>
      <c r="P178" s="14">
        <v>53.5</v>
      </c>
      <c r="Q178" s="14" t="s">
        <v>28</v>
      </c>
      <c r="R178" s="14">
        <v>58</v>
      </c>
      <c r="S178" s="14" t="s">
        <v>28</v>
      </c>
      <c r="T178" s="14">
        <v>59.5</v>
      </c>
      <c r="U178" s="14" t="s">
        <v>28</v>
      </c>
      <c r="V178" s="34">
        <v>0.41944444444444445</v>
      </c>
    </row>
    <row r="179" spans="1:22" s="10" customFormat="1" x14ac:dyDescent="0.3">
      <c r="A179" s="10" t="s">
        <v>69</v>
      </c>
      <c r="B179" s="10" t="s">
        <v>70</v>
      </c>
      <c r="C179" s="10" t="s">
        <v>60</v>
      </c>
      <c r="D179" s="10">
        <v>2</v>
      </c>
      <c r="E179" s="10">
        <v>48</v>
      </c>
      <c r="F179" s="28"/>
      <c r="H179" s="10">
        <v>95</v>
      </c>
      <c r="I179" s="10" t="s">
        <v>28</v>
      </c>
      <c r="J179" s="10">
        <f t="shared" si="2"/>
        <v>50.25</v>
      </c>
      <c r="K179" s="10" t="s">
        <v>28</v>
      </c>
      <c r="L179" s="10">
        <v>58</v>
      </c>
      <c r="M179" s="10" t="s">
        <v>28</v>
      </c>
      <c r="N179" s="10">
        <v>41.5</v>
      </c>
      <c r="O179" s="10" t="s">
        <v>28</v>
      </c>
      <c r="P179" s="10">
        <v>54.5</v>
      </c>
      <c r="Q179" s="10" t="s">
        <v>28</v>
      </c>
      <c r="R179" s="10">
        <v>47</v>
      </c>
      <c r="S179" s="10" t="s">
        <v>28</v>
      </c>
      <c r="T179" s="10">
        <v>58</v>
      </c>
      <c r="U179" s="10" t="s">
        <v>28</v>
      </c>
      <c r="V179" s="35">
        <v>0.4152777777777778</v>
      </c>
    </row>
    <row r="180" spans="1:22" x14ac:dyDescent="0.3">
      <c r="A180" t="s">
        <v>69</v>
      </c>
      <c r="B180" t="s">
        <v>70</v>
      </c>
      <c r="C180" t="s">
        <v>60</v>
      </c>
      <c r="D180">
        <v>2</v>
      </c>
      <c r="E180">
        <v>48</v>
      </c>
      <c r="F180" s="9"/>
      <c r="G180">
        <f>SUM(H179)</f>
        <v>95</v>
      </c>
      <c r="H180">
        <v>5</v>
      </c>
      <c r="I180" t="s">
        <v>29</v>
      </c>
      <c r="J180" t="e">
        <f t="shared" ref="J180" si="3">AVERAGE(L180, N180, P180, R180)</f>
        <v>#DIV/0!</v>
      </c>
      <c r="T180">
        <v>0</v>
      </c>
    </row>
    <row r="185" spans="1:22" x14ac:dyDescent="0.3">
      <c r="J185" t="s">
        <v>81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winter</vt:lpstr>
      <vt:lpstr>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2026-06-18T04:48:21Z</dcterms:created>
  <dcterms:modified xsi:type="dcterms:W3CDTF">2026-07-28T18:16:13Z</dcterms:modified>
</cp:coreProperties>
</file>