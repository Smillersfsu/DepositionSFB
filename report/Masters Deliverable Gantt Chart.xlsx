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ailsfsu-my.sharepoint.com/personal/924318106_sfsu_edu/Documents/ProjectData/GitHub/DepositionSFB/report/"/>
    </mc:Choice>
  </mc:AlternateContent>
  <xr:revisionPtr revIDLastSave="0" documentId="8_{45374D92-1B6D-4B0A-9BDC-80E2FC0024D2}" xr6:coauthVersionLast="47" xr6:coauthVersionMax="47" xr10:uidLastSave="{00000000-0000-0000-0000-000000000000}"/>
  <bookViews>
    <workbookView xWindow="-108" yWindow="-108" windowWidth="23256" windowHeight="13176" xr2:uid="{96F7AAE4-70C6-494B-AF8F-80855D88CB34}"/>
  </bookViews>
  <sheets>
    <sheet name="Thesis Draft Schedule" sheetId="1" r:id="rId1"/>
  </sheets>
  <externalReferences>
    <externalReference r:id="rId2"/>
    <externalReference r:id="rId3"/>
  </externalReferences>
  <definedNames>
    <definedName name="Apl_Val">DATE(CalYear,4,1)</definedName>
    <definedName name="Aug_Val">DATE(CalYear,8,1)</definedName>
    <definedName name="CalYear">'[1]2025_TideCalendar'!$B$1</definedName>
    <definedName name="ColumnTitleRegion1..H9.1">'[1]2025_TideCalendar'!#REF!</definedName>
    <definedName name="ColumnTitleRegion2..P9.1">'[1]2025_TideCalendar'!#REF!</definedName>
    <definedName name="ColumnTitleRegion3..H17.1">'[1]2025_TideCalendar'!#REF!</definedName>
    <definedName name="ColumnTitleRegion4..P17.1">'[1]2025_TideCalendar'!#REF!</definedName>
    <definedName name="Days">{0,1,2,3,4,5,6} + {0;1;2;3;4;5}*7</definedName>
    <definedName name="Dec_Val">DATE(CalYear,12,1)</definedName>
    <definedName name="Display_Week" localSheetId="0">'Thesis Draft Schedule'!$Q$2</definedName>
    <definedName name="Display_Week">'[2]Project schedule'!$Q$2</definedName>
    <definedName name="Feb_Val">DATE(CalYear,2,1)</definedName>
    <definedName name="Jan_Val">DATE(CalYear,1,1)</definedName>
    <definedName name="July_Val">DATE(CalYear,7,1)</definedName>
    <definedName name="June_Val">DATE(CalYear,6,1)</definedName>
    <definedName name="Mar_Val">DATE(CalYear,3,1)</definedName>
    <definedName name="May_Val">DATE(CalYear,5,1)</definedName>
    <definedName name="Nov_Val">DATE(CalYear,11,1)</definedName>
    <definedName name="Oct_Val">DATE(CalYear,10,1)</definedName>
    <definedName name="_xlnm.Print_Titles" localSheetId="0">'Thesis Draft Schedule'!$4:$6</definedName>
    <definedName name="Project_Start" localSheetId="0">'Thesis Draft Schedule'!$Q$1</definedName>
    <definedName name="Project_Start">'[2]Project schedule'!$Q$1</definedName>
    <definedName name="Sep_Val">DATE(CalYear,9,1)</definedName>
    <definedName name="task_end" localSheetId="0">'Thesis Draft Schedule'!$F1</definedName>
    <definedName name="task_progress" localSheetId="0">'Thesis Draft Schedule'!$D1</definedName>
    <definedName name="task_start" localSheetId="0">'Thesis Draft Schedule'!$E1</definedName>
    <definedName name="Title1">[1]!Calendar[[#Headers],[Date]]</definedName>
    <definedName name="today" localSheetId="0">TODAY()</definedName>
    <definedName name="WeekStart">"Monday"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1" l="1"/>
  <c r="I4" i="1" s="1"/>
  <c r="F10" i="1"/>
  <c r="F11" i="1"/>
  <c r="E12" i="1"/>
  <c r="F12" i="1"/>
  <c r="E13" i="1"/>
  <c r="F13" i="1"/>
  <c r="F14" i="1"/>
  <c r="E15" i="1"/>
  <c r="F15" i="1" s="1"/>
  <c r="E24" i="1" s="1"/>
  <c r="E25" i="1" s="1"/>
  <c r="E23" i="1"/>
  <c r="H38" i="1"/>
  <c r="H40" i="1"/>
  <c r="J5" i="1" l="1"/>
  <c r="J6" i="1" s="1"/>
  <c r="I6" i="1"/>
  <c r="K5" i="1" l="1"/>
  <c r="K6" i="1" s="1"/>
  <c r="L5" i="1" l="1"/>
  <c r="L6" i="1"/>
  <c r="M5" i="1"/>
  <c r="M6" i="1" l="1"/>
  <c r="N5" i="1"/>
  <c r="N6" i="1" l="1"/>
  <c r="O5" i="1"/>
  <c r="O6" i="1" l="1"/>
  <c r="P5" i="1"/>
  <c r="Q5" i="1" l="1"/>
  <c r="P6" i="1"/>
  <c r="P4" i="1"/>
  <c r="R5" i="1" l="1"/>
  <c r="Q6" i="1"/>
  <c r="S5" i="1" l="1"/>
  <c r="R6" i="1"/>
  <c r="T5" i="1" l="1"/>
  <c r="S6" i="1"/>
  <c r="U5" i="1" l="1"/>
  <c r="T6" i="1"/>
  <c r="U6" i="1" l="1"/>
  <c r="V5" i="1"/>
  <c r="W5" i="1" l="1"/>
  <c r="V6" i="1"/>
  <c r="W4" i="1" l="1"/>
  <c r="X5" i="1"/>
  <c r="W6" i="1"/>
  <c r="Y5" i="1" l="1"/>
  <c r="X6" i="1"/>
  <c r="Y6" i="1" l="1"/>
  <c r="Z5" i="1"/>
  <c r="Z6" i="1" l="1"/>
  <c r="AA5" i="1"/>
  <c r="AA6" i="1" l="1"/>
  <c r="AB5" i="1"/>
  <c r="AB6" i="1" l="1"/>
  <c r="AC5" i="1"/>
  <c r="AC6" i="1" l="1"/>
  <c r="AD5" i="1"/>
  <c r="AD4" i="1" l="1"/>
  <c r="AD6" i="1"/>
  <c r="AE5" i="1"/>
  <c r="AE6" i="1" l="1"/>
  <c r="AF5" i="1"/>
  <c r="AG5" i="1" l="1"/>
  <c r="AF6" i="1"/>
  <c r="AH5" i="1" l="1"/>
  <c r="AG6" i="1"/>
  <c r="AI5" i="1" l="1"/>
  <c r="AH6" i="1"/>
  <c r="AJ5" i="1" l="1"/>
  <c r="AI6" i="1"/>
  <c r="AK5" i="1" l="1"/>
  <c r="AJ6" i="1"/>
  <c r="AK6" i="1" l="1"/>
  <c r="AK4" i="1"/>
  <c r="AL5" i="1"/>
  <c r="AM5" i="1" l="1"/>
  <c r="AL6" i="1"/>
  <c r="AN5" i="1" l="1"/>
  <c r="AM6" i="1"/>
  <c r="AO5" i="1" l="1"/>
  <c r="AN6" i="1"/>
  <c r="AO6" i="1" l="1"/>
  <c r="AP5" i="1"/>
  <c r="AP6" i="1" l="1"/>
  <c r="AQ5" i="1"/>
  <c r="AQ6" i="1" l="1"/>
  <c r="AR5" i="1"/>
  <c r="AR6" i="1" l="1"/>
  <c r="AR4" i="1"/>
  <c r="AS5" i="1"/>
  <c r="AS6" i="1" l="1"/>
  <c r="AT5" i="1"/>
  <c r="AT6" i="1" l="1"/>
  <c r="AU5" i="1"/>
  <c r="AU6" i="1" l="1"/>
  <c r="AV5" i="1"/>
  <c r="AW5" i="1" l="1"/>
  <c r="AV6" i="1"/>
  <c r="AX5" i="1" l="1"/>
  <c r="AW6" i="1"/>
  <c r="AY5" i="1" l="1"/>
  <c r="AX6" i="1"/>
  <c r="AZ5" i="1" l="1"/>
  <c r="AY6" i="1"/>
  <c r="AY4" i="1"/>
  <c r="BA5" i="1" l="1"/>
  <c r="AZ6" i="1"/>
  <c r="BB5" i="1" l="1"/>
  <c r="BA6" i="1"/>
  <c r="BC5" i="1" l="1"/>
  <c r="BB6" i="1"/>
  <c r="BC6" i="1" l="1"/>
  <c r="BD5" i="1"/>
  <c r="BE5" i="1" l="1"/>
  <c r="BD6" i="1"/>
  <c r="BE6" i="1" l="1"/>
  <c r="BF5" i="1"/>
  <c r="BF6" i="1" l="1"/>
  <c r="BG5" i="1"/>
  <c r="BF4" i="1"/>
  <c r="BG6" i="1" l="1"/>
  <c r="BH5" i="1"/>
  <c r="BH6" i="1" l="1"/>
  <c r="BI5" i="1"/>
  <c r="BI6" i="1" l="1"/>
  <c r="BJ5" i="1"/>
  <c r="BK5" i="1" l="1"/>
  <c r="BJ6" i="1"/>
  <c r="BK6" i="1" l="1"/>
  <c r="BL5" i="1"/>
  <c r="BL6" i="1" s="1"/>
</calcChain>
</file>

<file path=xl/sharedStrings.xml><?xml version="1.0" encoding="utf-8"?>
<sst xmlns="http://schemas.openxmlformats.org/spreadsheetml/2006/main" count="66" uniqueCount="40">
  <si>
    <t>Insert new rows ABOVE this one</t>
  </si>
  <si>
    <t>Savannah</t>
  </si>
  <si>
    <t>Presentation</t>
  </si>
  <si>
    <t xml:space="preserve">Savannah </t>
  </si>
  <si>
    <t>Print</t>
  </si>
  <si>
    <t>Review (From Committee)</t>
  </si>
  <si>
    <t>Narrative</t>
  </si>
  <si>
    <t>AGU Requirements</t>
  </si>
  <si>
    <t>Figures</t>
  </si>
  <si>
    <t xml:space="preserve">Title </t>
  </si>
  <si>
    <t>Poster Outline</t>
  </si>
  <si>
    <t xml:space="preserve">AGU Poster </t>
  </si>
  <si>
    <t>Thesis Defense Presentaton</t>
  </si>
  <si>
    <t>Announce Thesis Defense (Biology Department</t>
  </si>
  <si>
    <t xml:space="preserve">Practice and Edits </t>
  </si>
  <si>
    <t xml:space="preserve">Review (From Advisor) </t>
  </si>
  <si>
    <t>Outline With Each Slide Takeaway</t>
  </si>
  <si>
    <t>Defense Presentation</t>
  </si>
  <si>
    <t>Final Edits Made for Thesis To Submission!</t>
  </si>
  <si>
    <t>Edits-Incorporation from Committee</t>
  </si>
  <si>
    <t>Full Draft (Committee)</t>
  </si>
  <si>
    <t xml:space="preserve">Full Draft (Advisor) </t>
  </si>
  <si>
    <t>Discussion/Introdcution/Literature Review (Committee Ready)</t>
  </si>
  <si>
    <t>Results-RQ 3 (Committee Ready)</t>
  </si>
  <si>
    <t>Results-RQ 2 (Committee Ready)</t>
  </si>
  <si>
    <t>Results-RQ 1 (Committee Ready)</t>
  </si>
  <si>
    <t>Methods (Committee Ready)</t>
  </si>
  <si>
    <t xml:space="preserve">Final Master's Thesis </t>
  </si>
  <si>
    <t>END</t>
  </si>
  <si>
    <t>START</t>
  </si>
  <si>
    <t>PROGRESS</t>
  </si>
  <si>
    <t>ASSIGNED TO</t>
  </si>
  <si>
    <t>TASK</t>
  </si>
  <si>
    <t>https://www.vertex42.com/ExcelTemplates/simple-gantt-chart.html</t>
  </si>
  <si>
    <t>SIMPLE GANTT CHART by Vertex42.com</t>
  </si>
  <si>
    <t>Display week:</t>
  </si>
  <si>
    <t>Student: Savannah K. Miller</t>
  </si>
  <si>
    <t xml:space="preserve">Advisor: Matt Ferner </t>
  </si>
  <si>
    <t>Project start:</t>
  </si>
  <si>
    <t xml:space="preserve">Master's Thesis and Coursework Planner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</si>
</sst>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numFmt numFmtId="165" formatCode="d"/>
    <numFmt numFmtId="166" formatCode="mmm\ d\,\ yyyy"/>
    <numFmt numFmtId="167" formatCode="ddd\,\ m/d/yyyy"/>
  </numFmts>
  <fonts count="25" x14ac:knownFonts="1">
    <font>
      <sz val="11"/>
      <color theme="1"/>
      <name val="Arial"/>
      <family val="2"/>
      <scheme val="minor"/>
    </font>
    <font>
      <sz val="11"/>
      <color theme="1"/>
      <name val="Arial"/>
      <family val="2"/>
      <scheme val="minor"/>
    </font>
    <font>
      <sz val="11"/>
      <color theme="0"/>
      <name val="Arial"/>
      <family val="2"/>
      <scheme val="minor"/>
    </font>
    <font>
      <u/>
      <sz val="11"/>
      <color indexed="12"/>
      <name val="Arial"/>
      <family val="2"/>
    </font>
    <font>
      <sz val="10"/>
      <color theme="1" tint="0.499984740745262"/>
      <name val="Arial"/>
      <family val="2"/>
    </font>
    <font>
      <b/>
      <sz val="11"/>
      <color theme="1" tint="0.499984740745262"/>
      <name val="Arial"/>
      <family val="2"/>
      <scheme val="minor"/>
    </font>
    <font>
      <sz val="11"/>
      <name val="Arial"/>
      <family val="2"/>
      <scheme val="minor"/>
    </font>
    <font>
      <sz val="10"/>
      <name val="Arial"/>
      <family val="2"/>
      <scheme val="minor"/>
    </font>
    <font>
      <sz val="10"/>
      <color theme="1" tint="0.499984740745262"/>
      <name val="Arial"/>
      <family val="2"/>
      <scheme val="minor"/>
    </font>
    <font>
      <i/>
      <sz val="10"/>
      <color theme="1"/>
      <name val="Arial"/>
      <family val="2"/>
      <scheme val="minor"/>
    </font>
    <font>
      <sz val="10"/>
      <color theme="1"/>
      <name val="Arial"/>
      <family val="2"/>
      <scheme val="minor"/>
    </font>
    <font>
      <b/>
      <sz val="12"/>
      <color theme="1"/>
      <name val="Arial"/>
      <family val="2"/>
      <scheme val="minor"/>
    </font>
    <font>
      <b/>
      <sz val="8"/>
      <color theme="1"/>
      <name val="Arial"/>
      <family val="2"/>
      <scheme val="minor"/>
    </font>
    <font>
      <b/>
      <sz val="8"/>
      <name val="Arial"/>
      <family val="2"/>
      <scheme val="minor"/>
    </font>
    <font>
      <b/>
      <sz val="10"/>
      <color theme="1"/>
      <name val="Arial"/>
      <family val="2"/>
      <scheme val="minor"/>
    </font>
    <font>
      <b/>
      <sz val="11"/>
      <name val="Arial"/>
      <family val="2"/>
      <scheme val="minor"/>
    </font>
    <font>
      <sz val="11"/>
      <color theme="1"/>
      <name val="Arial Black"/>
      <family val="2"/>
      <scheme val="major"/>
    </font>
    <font>
      <b/>
      <sz val="16"/>
      <color theme="9"/>
      <name val="Arial Black"/>
      <family val="2"/>
      <scheme val="major"/>
    </font>
    <font>
      <sz val="16"/>
      <color theme="1"/>
      <name val="Arial"/>
      <family val="2"/>
      <scheme val="minor"/>
    </font>
    <font>
      <b/>
      <sz val="16"/>
      <color theme="9"/>
      <name val="Arial"/>
      <family val="2"/>
      <scheme val="minor"/>
    </font>
    <font>
      <sz val="11"/>
      <color theme="1"/>
      <name val="Arial"/>
      <family val="2"/>
    </font>
    <font>
      <sz val="14"/>
      <color theme="1"/>
      <name val="Arial"/>
      <family val="2"/>
      <scheme val="minor"/>
    </font>
    <font>
      <b/>
      <sz val="22"/>
      <color theme="1" tint="0.34998626667073579"/>
      <name val="Arial Black"/>
      <family val="2"/>
      <scheme val="major"/>
    </font>
    <font>
      <b/>
      <sz val="40"/>
      <color theme="9"/>
      <name val="Arial Black"/>
      <family val="2"/>
      <scheme val="major"/>
    </font>
    <font>
      <b/>
      <sz val="20"/>
      <color theme="9"/>
      <name val="Arial Black"/>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6" tint="0.59999389629810485"/>
        <bgColor indexed="64"/>
      </patternFill>
    </fill>
    <fill>
      <patternFill patternType="solid">
        <fgColor theme="6"/>
        <bgColor indexed="64"/>
      </patternFill>
    </fill>
    <fill>
      <patternFill patternType="solid">
        <fgColor theme="8" tint="0.59999389629810485"/>
        <bgColor indexed="64"/>
      </patternFill>
    </fill>
    <fill>
      <patternFill patternType="solid">
        <fgColor theme="8"/>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theme="0" tint="-4.9989318521683403E-2"/>
        <bgColor theme="4"/>
      </patternFill>
    </fill>
  </fills>
  <borders count="14">
    <border>
      <left/>
      <right/>
      <top/>
      <bottom/>
      <diagonal/>
    </border>
    <border>
      <left/>
      <right/>
      <top style="medium">
        <color theme="0" tint="-0.14996795556505021"/>
      </top>
      <bottom style="medium">
        <color theme="0" tint="-0.14996795556505021"/>
      </bottom>
      <diagonal/>
    </border>
    <border>
      <left/>
      <right/>
      <top style="thin">
        <color theme="0" tint="-4.9989318521683403E-2"/>
      </top>
      <bottom/>
      <diagonal/>
    </border>
    <border>
      <left/>
      <right/>
      <top style="thin">
        <color theme="8" tint="0.59996337778862885"/>
      </top>
      <bottom style="thin">
        <color theme="8" tint="0.59996337778862885"/>
      </bottom>
      <diagonal/>
    </border>
    <border>
      <left style="thin">
        <color theme="1" tint="0.499984740745262"/>
      </left>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
    <xf numFmtId="0" fontId="0" fillId="0" borderId="0"/>
    <xf numFmtId="9" fontId="1" fillId="0" borderId="0" applyFont="0" applyFill="0" applyBorder="0" applyAlignment="0" applyProtection="0"/>
    <xf numFmtId="0" fontId="22" fillId="0" borderId="0" applyNumberFormat="0" applyFill="0" applyBorder="0" applyAlignment="0" applyProtection="0"/>
    <xf numFmtId="0" fontId="21" fillId="0" borderId="0" applyNumberFormat="0" applyFill="0" applyAlignment="0" applyProtection="0"/>
    <xf numFmtId="0" fontId="21" fillId="0" borderId="0" applyNumberFormat="0" applyFill="0" applyProtection="0">
      <alignment vertical="top"/>
    </xf>
    <xf numFmtId="0" fontId="1" fillId="0" borderId="0" applyNumberFormat="0" applyFill="0" applyProtection="0">
      <alignment horizontal="right" indent="1"/>
    </xf>
    <xf numFmtId="0" fontId="2" fillId="0" borderId="0"/>
    <xf numFmtId="0" fontId="3" fillId="0" borderId="0" applyNumberFormat="0" applyFill="0" applyBorder="0" applyAlignment="0" applyProtection="0">
      <alignment vertical="top"/>
      <protection locked="0"/>
    </xf>
    <xf numFmtId="164" fontId="1" fillId="0" borderId="1" applyFill="0">
      <alignment horizontal="center" vertical="center"/>
    </xf>
    <xf numFmtId="0" fontId="1" fillId="0" borderId="1" applyFill="0">
      <alignment horizontal="center" vertical="center"/>
    </xf>
    <xf numFmtId="0" fontId="1" fillId="0" borderId="1" applyFill="0">
      <alignment horizontal="left" vertical="center" indent="2"/>
    </xf>
    <xf numFmtId="167" fontId="1" fillId="0" borderId="13">
      <alignment horizontal="center" vertical="center"/>
    </xf>
  </cellStyleXfs>
  <cellXfs count="87">
    <xf numFmtId="0" fontId="0" fillId="0" borderId="0" xfId="0"/>
    <xf numFmtId="0" fontId="0" fillId="0" borderId="0" xfId="0" applyAlignment="1">
      <alignment horizontal="center"/>
    </xf>
    <xf numFmtId="0" fontId="2" fillId="0" borderId="0" xfId="6"/>
    <xf numFmtId="0" fontId="4" fillId="0" borderId="0" xfId="7" applyFont="1" applyAlignment="1" applyProtection="1"/>
    <xf numFmtId="0" fontId="2" fillId="0" borderId="0" xfId="0" applyFont="1" applyAlignment="1">
      <alignment horizontal="center"/>
    </xf>
    <xf numFmtId="0" fontId="5" fillId="0" borderId="0" xfId="0" applyFont="1"/>
    <xf numFmtId="0" fontId="0" fillId="0" borderId="0" xfId="0" applyAlignment="1">
      <alignment horizontal="right" vertical="center"/>
    </xf>
    <xf numFmtId="0" fontId="1" fillId="0" borderId="0" xfId="0" applyFont="1" applyAlignment="1">
      <alignment vertical="center"/>
    </xf>
    <xf numFmtId="0" fontId="1" fillId="2" borderId="0" xfId="0" applyFont="1" applyFill="1" applyAlignment="1">
      <alignment vertical="center"/>
    </xf>
    <xf numFmtId="0" fontId="6" fillId="2" borderId="1" xfId="0" applyFont="1" applyFill="1" applyBorder="1" applyAlignment="1">
      <alignment horizontal="center" vertical="center"/>
    </xf>
    <xf numFmtId="0" fontId="6" fillId="0" borderId="0" xfId="0" applyFont="1" applyAlignment="1">
      <alignment horizontal="center" vertical="center"/>
    </xf>
    <xf numFmtId="164" fontId="7" fillId="2" borderId="0" xfId="0" applyNumberFormat="1" applyFont="1" applyFill="1" applyAlignment="1">
      <alignment horizontal="center" vertical="center"/>
    </xf>
    <xf numFmtId="164" fontId="8" fillId="2" borderId="0" xfId="0" applyNumberFormat="1" applyFont="1" applyFill="1" applyAlignment="1">
      <alignment horizontal="left" vertical="center"/>
    </xf>
    <xf numFmtId="9" fontId="7" fillId="2" borderId="0" xfId="1" applyFont="1" applyFill="1" applyBorder="1" applyAlignment="1">
      <alignment horizontal="center" vertical="center"/>
    </xf>
    <xf numFmtId="0" fontId="9" fillId="2" borderId="0" xfId="0" applyFont="1" applyFill="1" applyAlignment="1">
      <alignment vertical="center"/>
    </xf>
    <xf numFmtId="0" fontId="9" fillId="2" borderId="0" xfId="0" applyFont="1" applyFill="1" applyAlignment="1">
      <alignment horizontal="left" vertical="center" indent="1"/>
    </xf>
    <xf numFmtId="0" fontId="2" fillId="0" borderId="0" xfId="6" applyAlignment="1">
      <alignment wrapText="1"/>
    </xf>
    <xf numFmtId="0" fontId="6" fillId="0" borderId="1" xfId="0" applyFont="1" applyBorder="1" applyAlignment="1">
      <alignment horizontal="center" vertical="center"/>
    </xf>
    <xf numFmtId="164" fontId="10" fillId="0" borderId="0" xfId="8" applyFont="1" applyBorder="1">
      <alignment horizontal="center" vertical="center"/>
    </xf>
    <xf numFmtId="9" fontId="7" fillId="0" borderId="0" xfId="1" applyFont="1" applyBorder="1" applyAlignment="1">
      <alignment horizontal="center" vertical="center"/>
    </xf>
    <xf numFmtId="0" fontId="10" fillId="0" borderId="0" xfId="9" applyFont="1" applyBorder="1" applyAlignment="1">
      <alignment vertical="center"/>
    </xf>
    <xf numFmtId="0" fontId="10" fillId="0" borderId="0" xfId="10" applyFont="1" applyBorder="1">
      <alignment horizontal="left" vertical="center" indent="2"/>
    </xf>
    <xf numFmtId="0" fontId="1" fillId="0" borderId="2" xfId="0" applyFont="1" applyBorder="1" applyAlignment="1">
      <alignment vertical="center"/>
    </xf>
    <xf numFmtId="164" fontId="10" fillId="3" borderId="3" xfId="8" applyFont="1" applyFill="1" applyBorder="1">
      <alignment horizontal="center" vertical="center"/>
    </xf>
    <xf numFmtId="9" fontId="7" fillId="3" borderId="3" xfId="1" applyFont="1" applyFill="1" applyBorder="1" applyAlignment="1">
      <alignment horizontal="center" vertical="center"/>
    </xf>
    <xf numFmtId="0" fontId="10" fillId="3" borderId="3" xfId="9" applyFont="1" applyFill="1" applyBorder="1" applyAlignment="1">
      <alignment vertical="center"/>
    </xf>
    <xf numFmtId="0" fontId="10" fillId="3" borderId="0" xfId="10" applyFont="1" applyFill="1" applyBorder="1">
      <alignment horizontal="left" vertical="center" indent="2"/>
    </xf>
    <xf numFmtId="0" fontId="10" fillId="3" borderId="3" xfId="10" applyFont="1" applyFill="1" applyBorder="1">
      <alignment horizontal="left" vertical="center" indent="2"/>
    </xf>
    <xf numFmtId="164" fontId="7" fillId="4" borderId="0" xfId="0" applyNumberFormat="1" applyFont="1" applyFill="1" applyAlignment="1">
      <alignment horizontal="center" vertical="center"/>
    </xf>
    <xf numFmtId="164" fontId="10" fillId="4" borderId="0" xfId="0" applyNumberFormat="1" applyFont="1" applyFill="1" applyAlignment="1">
      <alignment horizontal="center" vertical="center"/>
    </xf>
    <xf numFmtId="9" fontId="7" fillId="4" borderId="0" xfId="1" applyFont="1" applyFill="1" applyBorder="1" applyAlignment="1">
      <alignment horizontal="center" vertical="center"/>
    </xf>
    <xf numFmtId="0" fontId="10" fillId="4" borderId="0" xfId="9" applyFont="1" applyFill="1" applyBorder="1" applyAlignment="1">
      <alignment vertical="center"/>
    </xf>
    <xf numFmtId="0" fontId="11" fillId="4" borderId="0" xfId="0" applyFont="1" applyFill="1" applyAlignment="1">
      <alignment horizontal="left" vertical="center" indent="1"/>
    </xf>
    <xf numFmtId="0" fontId="1" fillId="0" borderId="0" xfId="0" applyFont="1"/>
    <xf numFmtId="164" fontId="10" fillId="5" borderId="3" xfId="8" applyFont="1" applyFill="1" applyBorder="1">
      <alignment horizontal="center" vertical="center"/>
    </xf>
    <xf numFmtId="9" fontId="7" fillId="5" borderId="3" xfId="1" applyFont="1" applyFill="1" applyBorder="1" applyAlignment="1">
      <alignment horizontal="center" vertical="center"/>
    </xf>
    <xf numFmtId="0" fontId="10" fillId="5" borderId="3" xfId="9" applyFont="1" applyFill="1" applyBorder="1" applyAlignment="1">
      <alignment vertical="center"/>
    </xf>
    <xf numFmtId="0" fontId="10" fillId="5" borderId="0" xfId="10" applyFont="1" applyFill="1" applyBorder="1">
      <alignment horizontal="left" vertical="center" indent="2"/>
    </xf>
    <xf numFmtId="0" fontId="10" fillId="5" borderId="3" xfId="10" applyFont="1" applyFill="1" applyBorder="1">
      <alignment horizontal="left" vertical="center" indent="2"/>
    </xf>
    <xf numFmtId="164" fontId="7" fillId="6" borderId="0" xfId="0" applyNumberFormat="1" applyFont="1" applyFill="1" applyAlignment="1">
      <alignment horizontal="center" vertical="center"/>
    </xf>
    <xf numFmtId="164" fontId="10" fillId="6" borderId="0" xfId="0" applyNumberFormat="1" applyFont="1" applyFill="1" applyAlignment="1">
      <alignment horizontal="center" vertical="center"/>
    </xf>
    <xf numFmtId="9" fontId="7" fillId="6" borderId="0" xfId="1" applyFont="1" applyFill="1" applyBorder="1" applyAlignment="1">
      <alignment horizontal="center" vertical="center"/>
    </xf>
    <xf numFmtId="0" fontId="10" fillId="6" borderId="0" xfId="9" applyFont="1" applyFill="1" applyBorder="1" applyAlignment="1">
      <alignment vertical="center"/>
    </xf>
    <xf numFmtId="0" fontId="11" fillId="6" borderId="0" xfId="0" applyFont="1" applyFill="1" applyAlignment="1">
      <alignment horizontal="left" vertical="center" indent="1"/>
    </xf>
    <xf numFmtId="164" fontId="10" fillId="7" borderId="3" xfId="8" applyFont="1" applyFill="1" applyBorder="1">
      <alignment horizontal="center" vertical="center"/>
    </xf>
    <xf numFmtId="9" fontId="7" fillId="7" borderId="3" xfId="1" applyFont="1" applyFill="1" applyBorder="1" applyAlignment="1">
      <alignment horizontal="center" vertical="center"/>
    </xf>
    <xf numFmtId="0" fontId="10" fillId="7" borderId="3" xfId="9" applyFont="1" applyFill="1" applyBorder="1" applyAlignment="1">
      <alignment vertical="center"/>
    </xf>
    <xf numFmtId="0" fontId="10" fillId="7" borderId="0" xfId="10" applyFont="1" applyFill="1" applyBorder="1">
      <alignment horizontal="left" vertical="center" indent="2"/>
    </xf>
    <xf numFmtId="0" fontId="10" fillId="7" borderId="3" xfId="10" applyFont="1" applyFill="1" applyBorder="1">
      <alignment horizontal="left" vertical="center" indent="2"/>
    </xf>
    <xf numFmtId="164" fontId="7" fillId="8" borderId="0" xfId="0" applyNumberFormat="1" applyFont="1" applyFill="1" applyAlignment="1">
      <alignment horizontal="center" vertical="center"/>
    </xf>
    <xf numFmtId="164" fontId="10" fillId="8" borderId="0" xfId="0" applyNumberFormat="1" applyFont="1" applyFill="1" applyAlignment="1">
      <alignment horizontal="center" vertical="center"/>
    </xf>
    <xf numFmtId="9" fontId="7" fillId="8" borderId="0" xfId="1" applyFont="1" applyFill="1" applyBorder="1" applyAlignment="1">
      <alignment horizontal="center" vertical="center"/>
    </xf>
    <xf numFmtId="0" fontId="10" fillId="8" borderId="0" xfId="9" applyFont="1" applyFill="1" applyBorder="1" applyAlignment="1">
      <alignment vertical="center"/>
    </xf>
    <xf numFmtId="0" fontId="11" fillId="8" borderId="0" xfId="0" applyFont="1" applyFill="1" applyAlignment="1">
      <alignment horizontal="left" vertical="center" indent="1"/>
    </xf>
    <xf numFmtId="0" fontId="12" fillId="2" borderId="4" xfId="0" applyFont="1" applyFill="1" applyBorder="1" applyAlignment="1">
      <alignment horizontal="center" vertical="center" shrinkToFit="1"/>
    </xf>
    <xf numFmtId="0" fontId="12" fillId="2" borderId="5" xfId="0" applyFont="1" applyFill="1" applyBorder="1" applyAlignment="1">
      <alignment horizontal="center" vertical="center" shrinkToFit="1"/>
    </xf>
    <xf numFmtId="0" fontId="12" fillId="2" borderId="6" xfId="0" applyFont="1" applyFill="1" applyBorder="1" applyAlignment="1">
      <alignment horizontal="center" vertical="center" shrinkToFit="1"/>
    </xf>
    <xf numFmtId="0" fontId="1" fillId="2" borderId="7" xfId="0" applyFont="1" applyFill="1" applyBorder="1"/>
    <xf numFmtId="0" fontId="1" fillId="2" borderId="7" xfId="0" applyFont="1" applyFill="1" applyBorder="1" applyAlignment="1">
      <alignment horizontal="left" indent="1"/>
    </xf>
    <xf numFmtId="0" fontId="2" fillId="0" borderId="0" xfId="6" applyAlignment="1">
      <alignment wrapText="1"/>
    </xf>
    <xf numFmtId="165" fontId="13" fillId="9" borderId="8" xfId="0" applyNumberFormat="1" applyFont="1" applyFill="1" applyBorder="1" applyAlignment="1">
      <alignment horizontal="center" vertical="center"/>
    </xf>
    <xf numFmtId="165" fontId="13" fillId="9" borderId="9" xfId="0" applyNumberFormat="1" applyFont="1" applyFill="1" applyBorder="1" applyAlignment="1">
      <alignment horizontal="center" vertical="center"/>
    </xf>
    <xf numFmtId="165" fontId="13" fillId="9" borderId="10" xfId="0" applyNumberFormat="1" applyFont="1" applyFill="1" applyBorder="1" applyAlignment="1">
      <alignment horizontal="center" vertical="center"/>
    </xf>
    <xf numFmtId="0" fontId="14" fillId="10" borderId="11" xfId="0" applyFont="1" applyFill="1" applyBorder="1" applyAlignment="1">
      <alignment horizontal="center" vertical="center"/>
    </xf>
    <xf numFmtId="0" fontId="14" fillId="10" borderId="11" xfId="0" applyFont="1" applyFill="1" applyBorder="1" applyAlignment="1">
      <alignment vertical="center"/>
    </xf>
    <xf numFmtId="0" fontId="14" fillId="10" borderId="11" xfId="0" applyFont="1" applyFill="1" applyBorder="1" applyAlignment="1">
      <alignment horizontal="left" vertical="center" indent="1"/>
    </xf>
    <xf numFmtId="166" fontId="10" fillId="2" borderId="9" xfId="0" applyNumberFormat="1" applyFont="1" applyFill="1" applyBorder="1" applyAlignment="1">
      <alignment horizontal="center" vertical="center" wrapText="1"/>
    </xf>
    <xf numFmtId="166" fontId="10" fillId="2" borderId="12" xfId="0" applyNumberFormat="1" applyFont="1" applyFill="1" applyBorder="1" applyAlignment="1">
      <alignment horizontal="center" vertical="center" wrapText="1"/>
    </xf>
    <xf numFmtId="166" fontId="10" fillId="2" borderId="10" xfId="0" applyNumberFormat="1" applyFont="1" applyFill="1" applyBorder="1" applyAlignment="1">
      <alignment horizontal="center" vertical="center" wrapText="1"/>
    </xf>
    <xf numFmtId="0" fontId="1" fillId="0" borderId="0" xfId="0" applyFont="1" applyAlignment="1">
      <alignment horizontal="left" indent="1"/>
    </xf>
    <xf numFmtId="0" fontId="7" fillId="0" borderId="0" xfId="7" applyFont="1" applyAlignment="1" applyProtection="1">
      <alignment horizontal="left" vertical="top" indent="1"/>
    </xf>
    <xf numFmtId="0" fontId="1" fillId="0" borderId="0" xfId="0" applyFont="1" applyAlignment="1">
      <alignment horizontal="center"/>
    </xf>
    <xf numFmtId="0" fontId="1" fillId="0" borderId="0" xfId="5">
      <alignment horizontal="right" indent="1"/>
    </xf>
    <xf numFmtId="0" fontId="15" fillId="0" borderId="0" xfId="0" applyFont="1" applyAlignment="1">
      <alignment horizontal="left" indent="1"/>
    </xf>
    <xf numFmtId="0" fontId="16" fillId="0" borderId="0" xfId="0" applyFont="1"/>
    <xf numFmtId="0" fontId="17" fillId="0" borderId="0" xfId="0" applyFont="1" applyAlignment="1">
      <alignment horizontal="left"/>
    </xf>
    <xf numFmtId="0" fontId="18" fillId="0" borderId="0" xfId="0" applyFont="1"/>
    <xf numFmtId="0" fontId="1" fillId="0" borderId="0" xfId="0" applyFont="1"/>
    <xf numFmtId="0" fontId="19" fillId="0" borderId="0" xfId="5" applyFont="1" applyAlignment="1">
      <alignment horizontal="left"/>
    </xf>
    <xf numFmtId="0" fontId="20" fillId="0" borderId="0" xfId="0" applyFont="1"/>
    <xf numFmtId="0" fontId="19" fillId="0" borderId="0" xfId="4" applyFont="1" applyAlignment="1">
      <alignment horizontal="left" vertical="center" indent="1"/>
    </xf>
    <xf numFmtId="0" fontId="19" fillId="0" borderId="0" xfId="3" applyFont="1" applyAlignment="1">
      <alignment horizontal="left" vertical="center" wrapText="1" indent="1"/>
    </xf>
    <xf numFmtId="14" fontId="16" fillId="0" borderId="0" xfId="0" applyNumberFormat="1" applyFont="1"/>
    <xf numFmtId="14" fontId="17" fillId="0" borderId="0" xfId="11" applyNumberFormat="1" applyFont="1" applyBorder="1" applyAlignment="1">
      <alignment horizontal="left"/>
    </xf>
    <xf numFmtId="0" fontId="7" fillId="0" borderId="0" xfId="0" applyFont="1"/>
    <xf numFmtId="0" fontId="23" fillId="0" borderId="0" xfId="2" applyFont="1" applyAlignment="1">
      <alignment horizontal="center" wrapText="1"/>
    </xf>
    <xf numFmtId="0" fontId="24" fillId="0" borderId="0" xfId="2" applyFont="1" applyAlignment="1">
      <alignment horizontal="center" wrapText="1"/>
    </xf>
  </cellXfs>
  <cellStyles count="12">
    <cellStyle name="Date" xfId="8" xr:uid="{D9D1CA24-03D7-4B95-90EC-E087C065C094}"/>
    <cellStyle name="Heading 1" xfId="3" builtinId="16"/>
    <cellStyle name="Heading 2" xfId="4" builtinId="17"/>
    <cellStyle name="Heading 3" xfId="5" builtinId="18"/>
    <cellStyle name="Hyperlink" xfId="7" builtinId="8"/>
    <cellStyle name="Name" xfId="9" xr:uid="{FDD51228-DE05-429D-A53E-693BC34410B3}"/>
    <cellStyle name="Normal" xfId="0" builtinId="0"/>
    <cellStyle name="Percent" xfId="1" builtinId="5"/>
    <cellStyle name="Project Start" xfId="11" xr:uid="{348B1B72-5702-43EA-B725-CC44B715DB2A}"/>
    <cellStyle name="Task" xfId="10" xr:uid="{F8DAFBB6-35CB-480C-B7AA-C7BD79099EB7}"/>
    <cellStyle name="Title" xfId="2" builtinId="15"/>
    <cellStyle name="zHiddenText" xfId="6" xr:uid="{FACBFEC8-E1D9-4BF3-907E-5EF575EE673A}"/>
  </cellStyles>
  <dxfs count="5">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van\Box\Savannah%20Miller%20Master_s%20Updates\Logistics\Field%20Personnal_Tide%20Planner.xlsx" TargetMode="External"/><Relationship Id="rId1" Type="http://schemas.openxmlformats.org/officeDocument/2006/relationships/externalLinkPath" Target="file:///C:\Users\savan\Box\Savannah%20Miller%20Master_s%20Updates\Logistics\Field%20Personnal_Tide%20Plann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pi.box.com/wopi/files/1884694448563/WOPIServiceId_TP_BOX_2/WOPIUserId_-/Gantt%20Chart%20for%20Master_s%20Thesis%20.xlsx" TargetMode="External"/><Relationship Id="rId1" Type="http://schemas.openxmlformats.org/officeDocument/2006/relationships/externalLinkPath" Target="https://api.box.com/wopi/files/1884694448563/WOPIServiceId_TP_BOX_2/WOPIUserId_-/Gantt%20Chart%20for%20Master_s%20Thesi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nual Sampling Schedule 2025"/>
      <sheetName val="2025_TideCalendar"/>
      <sheetName val="2025_Tasks"/>
      <sheetName val="2026_TideCalendar"/>
      <sheetName val="2026_Tasks"/>
      <sheetName val="Field Personnal_Tide Planner"/>
    </sheetNames>
    <sheetDataSet>
      <sheetData sheetId="0"/>
      <sheetData sheetId="1"/>
      <sheetData sheetId="2"/>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schedule"/>
      <sheetName val="About"/>
      <sheetName val="IMES Course Schedule "/>
      <sheetName val="Lab_FieldTasks"/>
      <sheetName val="Personnel Final Planning"/>
      <sheetName val="Sheet1"/>
    </sheetNames>
    <sheetDataSet>
      <sheetData sheetId="0">
        <row r="1">
          <cell r="Q1">
            <v>45751</v>
          </cell>
        </row>
        <row r="2">
          <cell r="Q2">
            <v>8</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4CF9-A2C7-4607-A09A-6CA8EE3B52FF}">
  <sheetPr>
    <pageSetUpPr fitToPage="1"/>
  </sheetPr>
  <dimension ref="A1:CS43"/>
  <sheetViews>
    <sheetView showGridLines="0" tabSelected="1" showRuler="0" zoomScale="75" zoomScaleNormal="100" zoomScalePageLayoutView="70" workbookViewId="0">
      <selection activeCell="P4" sqref="P4:V4"/>
    </sheetView>
  </sheetViews>
  <sheetFormatPr defaultColWidth="8.69921875" defaultRowHeight="30" customHeight="1" x14ac:dyDescent="0.25"/>
  <cols>
    <col min="1" max="1" width="2.69921875" style="2" customWidth="1"/>
    <col min="2" max="2" width="35.69921875" customWidth="1"/>
    <col min="3" max="3" width="28.8984375" customWidth="1"/>
    <col min="4" max="4" width="10.69921875" customWidth="1"/>
    <col min="5" max="5" width="10.69921875" style="1" customWidth="1"/>
    <col min="6" max="6" width="10.69921875" customWidth="1"/>
    <col min="7" max="7" width="2.69921875" customWidth="1"/>
    <col min="8" max="8" width="6" hidden="1" customWidth="1"/>
    <col min="9" max="65" width="2.69921875" customWidth="1"/>
  </cols>
  <sheetData>
    <row r="1" spans="1:97" ht="67.2" customHeight="1" x14ac:dyDescent="1.45">
      <c r="A1" s="16"/>
      <c r="B1" s="86" t="s">
        <v>39</v>
      </c>
      <c r="C1" s="85"/>
      <c r="D1" s="85"/>
      <c r="E1" s="85"/>
      <c r="F1" s="85"/>
      <c r="H1" s="84"/>
      <c r="I1" s="78" t="s">
        <v>38</v>
      </c>
      <c r="J1" s="77"/>
      <c r="K1" s="77"/>
      <c r="L1" s="77"/>
      <c r="M1" s="77"/>
      <c r="N1" s="77"/>
      <c r="O1" s="77"/>
      <c r="P1" s="76"/>
      <c r="Q1" s="83">
        <v>46235</v>
      </c>
      <c r="R1" s="82"/>
      <c r="S1" s="82"/>
      <c r="T1" s="82"/>
      <c r="U1" s="82"/>
      <c r="V1" s="82"/>
      <c r="W1" s="82"/>
      <c r="X1" s="82"/>
      <c r="Y1" s="82"/>
      <c r="Z1" s="82"/>
    </row>
    <row r="2" spans="1:97" ht="76.8" customHeight="1" x14ac:dyDescent="0.6">
      <c r="B2" s="81" t="s">
        <v>37</v>
      </c>
      <c r="C2" s="80" t="s">
        <v>36</v>
      </c>
      <c r="D2" s="79"/>
      <c r="E2" s="33"/>
      <c r="F2" s="79"/>
      <c r="I2" s="78" t="s">
        <v>35</v>
      </c>
      <c r="J2" s="77"/>
      <c r="K2" s="77"/>
      <c r="L2" s="77"/>
      <c r="M2" s="77"/>
      <c r="N2" s="77"/>
      <c r="O2" s="77"/>
      <c r="P2" s="76"/>
      <c r="Q2" s="75">
        <v>4</v>
      </c>
      <c r="R2" s="74"/>
      <c r="S2" s="74"/>
      <c r="T2" s="74"/>
      <c r="U2" s="74"/>
      <c r="V2" s="74"/>
      <c r="W2" s="74"/>
      <c r="X2" s="74"/>
      <c r="Y2" s="74"/>
      <c r="Z2" s="74"/>
    </row>
    <row r="3" spans="1:97" s="33" customFormat="1" ht="30" customHeight="1" x14ac:dyDescent="0.25">
      <c r="A3" s="2"/>
      <c r="B3" s="73" t="s">
        <v>34</v>
      </c>
      <c r="D3" s="72"/>
      <c r="E3" s="71"/>
    </row>
    <row r="4" spans="1:97" s="33" customFormat="1" ht="30" customHeight="1" x14ac:dyDescent="0.25">
      <c r="A4" s="16"/>
      <c r="B4" s="70" t="s">
        <v>33</v>
      </c>
      <c r="E4" s="69"/>
      <c r="I4" s="68">
        <f>I5</f>
        <v>46251</v>
      </c>
      <c r="J4" s="67"/>
      <c r="K4" s="67"/>
      <c r="L4" s="67"/>
      <c r="M4" s="67"/>
      <c r="N4" s="67"/>
      <c r="O4" s="67"/>
      <c r="P4" s="67">
        <f>P5</f>
        <v>46258</v>
      </c>
      <c r="Q4" s="67"/>
      <c r="R4" s="67"/>
      <c r="S4" s="67"/>
      <c r="T4" s="67"/>
      <c r="U4" s="67"/>
      <c r="V4" s="67"/>
      <c r="W4" s="67">
        <f>W5</f>
        <v>46265</v>
      </c>
      <c r="X4" s="67"/>
      <c r="Y4" s="67"/>
      <c r="Z4" s="67"/>
      <c r="AA4" s="67"/>
      <c r="AB4" s="67"/>
      <c r="AC4" s="67"/>
      <c r="AD4" s="67">
        <f>AD5</f>
        <v>46272</v>
      </c>
      <c r="AE4" s="67"/>
      <c r="AF4" s="67"/>
      <c r="AG4" s="67"/>
      <c r="AH4" s="67"/>
      <c r="AI4" s="67"/>
      <c r="AJ4" s="67"/>
      <c r="AK4" s="67">
        <f>AK5</f>
        <v>46279</v>
      </c>
      <c r="AL4" s="67"/>
      <c r="AM4" s="67"/>
      <c r="AN4" s="67"/>
      <c r="AO4" s="67"/>
      <c r="AP4" s="67"/>
      <c r="AQ4" s="67"/>
      <c r="AR4" s="67">
        <f>AR5</f>
        <v>46286</v>
      </c>
      <c r="AS4" s="67"/>
      <c r="AT4" s="67"/>
      <c r="AU4" s="67"/>
      <c r="AV4" s="67"/>
      <c r="AW4" s="67"/>
      <c r="AX4" s="67"/>
      <c r="AY4" s="67">
        <f>AY5</f>
        <v>46293</v>
      </c>
      <c r="AZ4" s="67"/>
      <c r="BA4" s="67"/>
      <c r="BB4" s="67"/>
      <c r="BC4" s="67"/>
      <c r="BD4" s="67"/>
      <c r="BE4" s="67"/>
      <c r="BF4" s="67">
        <f>BF5</f>
        <v>46300</v>
      </c>
      <c r="BG4" s="67"/>
      <c r="BH4" s="67"/>
      <c r="BI4" s="67"/>
      <c r="BJ4" s="67"/>
      <c r="BK4" s="67"/>
      <c r="BL4" s="66"/>
    </row>
    <row r="5" spans="1:97" s="33" customFormat="1" ht="15" customHeight="1" x14ac:dyDescent="0.25">
      <c r="A5" s="59"/>
      <c r="B5" s="65" t="s">
        <v>32</v>
      </c>
      <c r="C5" s="64" t="s">
        <v>31</v>
      </c>
      <c r="D5" s="63" t="s">
        <v>30</v>
      </c>
      <c r="E5" s="63" t="s">
        <v>29</v>
      </c>
      <c r="F5" s="63" t="s">
        <v>28</v>
      </c>
      <c r="I5" s="60">
        <f>Project_Start-WEEKDAY(Project_Start,1)+2+7*(Display_Week-1)</f>
        <v>46251</v>
      </c>
      <c r="J5" s="60">
        <f>I5+1</f>
        <v>46252</v>
      </c>
      <c r="K5" s="60">
        <f>J5+1</f>
        <v>46253</v>
      </c>
      <c r="L5" s="60">
        <f>K5+1</f>
        <v>46254</v>
      </c>
      <c r="M5" s="60">
        <f>L5+1</f>
        <v>46255</v>
      </c>
      <c r="N5" s="60">
        <f>M5+1</f>
        <v>46256</v>
      </c>
      <c r="O5" s="62">
        <f>N5+1</f>
        <v>46257</v>
      </c>
      <c r="P5" s="61">
        <f>O5+1</f>
        <v>46258</v>
      </c>
      <c r="Q5" s="60">
        <f>P5+1</f>
        <v>46259</v>
      </c>
      <c r="R5" s="60">
        <f>Q5+1</f>
        <v>46260</v>
      </c>
      <c r="S5" s="60">
        <f>R5+1</f>
        <v>46261</v>
      </c>
      <c r="T5" s="60">
        <f>S5+1</f>
        <v>46262</v>
      </c>
      <c r="U5" s="60">
        <f>T5+1</f>
        <v>46263</v>
      </c>
      <c r="V5" s="62">
        <f>U5+1</f>
        <v>46264</v>
      </c>
      <c r="W5" s="61">
        <f>V5+1</f>
        <v>46265</v>
      </c>
      <c r="X5" s="60">
        <f>W5+1</f>
        <v>46266</v>
      </c>
      <c r="Y5" s="60">
        <f>X5+1</f>
        <v>46267</v>
      </c>
      <c r="Z5" s="60">
        <f>Y5+1</f>
        <v>46268</v>
      </c>
      <c r="AA5" s="60">
        <f>Z5+1</f>
        <v>46269</v>
      </c>
      <c r="AB5" s="60">
        <f>AA5+1</f>
        <v>46270</v>
      </c>
      <c r="AC5" s="62">
        <f>AB5+1</f>
        <v>46271</v>
      </c>
      <c r="AD5" s="61">
        <f>AC5+1</f>
        <v>46272</v>
      </c>
      <c r="AE5" s="60">
        <f>AD5+1</f>
        <v>46273</v>
      </c>
      <c r="AF5" s="60">
        <f>AE5+1</f>
        <v>46274</v>
      </c>
      <c r="AG5" s="60">
        <f>AF5+1</f>
        <v>46275</v>
      </c>
      <c r="AH5" s="60">
        <f>AG5+1</f>
        <v>46276</v>
      </c>
      <c r="AI5" s="60">
        <f>AH5+1</f>
        <v>46277</v>
      </c>
      <c r="AJ5" s="62">
        <f>AI5+1</f>
        <v>46278</v>
      </c>
      <c r="AK5" s="61">
        <f>AJ5+1</f>
        <v>46279</v>
      </c>
      <c r="AL5" s="60">
        <f>AK5+1</f>
        <v>46280</v>
      </c>
      <c r="AM5" s="60">
        <f>AL5+1</f>
        <v>46281</v>
      </c>
      <c r="AN5" s="60">
        <f>AM5+1</f>
        <v>46282</v>
      </c>
      <c r="AO5" s="60">
        <f>AN5+1</f>
        <v>46283</v>
      </c>
      <c r="AP5" s="60">
        <f>AO5+1</f>
        <v>46284</v>
      </c>
      <c r="AQ5" s="62">
        <f>AP5+1</f>
        <v>46285</v>
      </c>
      <c r="AR5" s="61">
        <f>AQ5+1</f>
        <v>46286</v>
      </c>
      <c r="AS5" s="60">
        <f>AR5+1</f>
        <v>46287</v>
      </c>
      <c r="AT5" s="60">
        <f>AS5+1</f>
        <v>46288</v>
      </c>
      <c r="AU5" s="60">
        <f>AT5+1</f>
        <v>46289</v>
      </c>
      <c r="AV5" s="60">
        <f>AU5+1</f>
        <v>46290</v>
      </c>
      <c r="AW5" s="60">
        <f>AV5+1</f>
        <v>46291</v>
      </c>
      <c r="AX5" s="62">
        <f>AW5+1</f>
        <v>46292</v>
      </c>
      <c r="AY5" s="61">
        <f>AX5+1</f>
        <v>46293</v>
      </c>
      <c r="AZ5" s="60">
        <f>AY5+1</f>
        <v>46294</v>
      </c>
      <c r="BA5" s="60">
        <f>AZ5+1</f>
        <v>46295</v>
      </c>
      <c r="BB5" s="60">
        <f>BA5+1</f>
        <v>46296</v>
      </c>
      <c r="BC5" s="60">
        <f>BB5+1</f>
        <v>46297</v>
      </c>
      <c r="BD5" s="60">
        <f>BC5+1</f>
        <v>46298</v>
      </c>
      <c r="BE5" s="62">
        <f>BD5+1</f>
        <v>46299</v>
      </c>
      <c r="BF5" s="61">
        <f>BE5+1</f>
        <v>46300</v>
      </c>
      <c r="BG5" s="60">
        <f>BF5+1</f>
        <v>46301</v>
      </c>
      <c r="BH5" s="60">
        <f>BG5+1</f>
        <v>46302</v>
      </c>
      <c r="BI5" s="60">
        <f>BH5+1</f>
        <v>46303</v>
      </c>
      <c r="BJ5" s="60">
        <f>BI5+1</f>
        <v>46304</v>
      </c>
      <c r="BK5" s="60">
        <f>BJ5+1</f>
        <v>46305</v>
      </c>
      <c r="BL5" s="60">
        <f>BK5+1</f>
        <v>46306</v>
      </c>
    </row>
    <row r="6" spans="1:97" s="33" customFormat="1" ht="13.8" x14ac:dyDescent="0.25">
      <c r="A6" s="59"/>
      <c r="B6" s="58"/>
      <c r="C6" s="57"/>
      <c r="D6" s="57"/>
      <c r="E6" s="57"/>
      <c r="F6" s="57"/>
      <c r="I6" s="56" t="str">
        <f>LEFT(TEXT(I5,"ddd"),1)</f>
        <v>M</v>
      </c>
      <c r="J6" s="55" t="str">
        <f>LEFT(TEXT(J5,"ddd"),1)</f>
        <v>T</v>
      </c>
      <c r="K6" s="55" t="str">
        <f>LEFT(TEXT(K5,"ddd"),1)</f>
        <v>W</v>
      </c>
      <c r="L6" s="55" t="str">
        <f>LEFT(TEXT(L5,"ddd"),1)</f>
        <v>T</v>
      </c>
      <c r="M6" s="55" t="str">
        <f>LEFT(TEXT(M5,"ddd"),1)</f>
        <v>F</v>
      </c>
      <c r="N6" s="55" t="str">
        <f>LEFT(TEXT(N5,"ddd"),1)</f>
        <v>S</v>
      </c>
      <c r="O6" s="55" t="str">
        <f>LEFT(TEXT(O5,"ddd"),1)</f>
        <v>S</v>
      </c>
      <c r="P6" s="55" t="str">
        <f>LEFT(TEXT(P5,"ddd"),1)</f>
        <v>M</v>
      </c>
      <c r="Q6" s="55" t="str">
        <f>LEFT(TEXT(Q5,"ddd"),1)</f>
        <v>T</v>
      </c>
      <c r="R6" s="55" t="str">
        <f>LEFT(TEXT(R5,"ddd"),1)</f>
        <v>W</v>
      </c>
      <c r="S6" s="55" t="str">
        <f>LEFT(TEXT(S5,"ddd"),1)</f>
        <v>T</v>
      </c>
      <c r="T6" s="55" t="str">
        <f>LEFT(TEXT(T5,"ddd"),1)</f>
        <v>F</v>
      </c>
      <c r="U6" s="55" t="str">
        <f>LEFT(TEXT(U5,"ddd"),1)</f>
        <v>S</v>
      </c>
      <c r="V6" s="55" t="str">
        <f>LEFT(TEXT(V5,"ddd"),1)</f>
        <v>S</v>
      </c>
      <c r="W6" s="55" t="str">
        <f>LEFT(TEXT(W5,"ddd"),1)</f>
        <v>M</v>
      </c>
      <c r="X6" s="55" t="str">
        <f>LEFT(TEXT(X5,"ddd"),1)</f>
        <v>T</v>
      </c>
      <c r="Y6" s="55" t="str">
        <f>LEFT(TEXT(Y5,"ddd"),1)</f>
        <v>W</v>
      </c>
      <c r="Z6" s="55" t="str">
        <f>LEFT(TEXT(Z5,"ddd"),1)</f>
        <v>T</v>
      </c>
      <c r="AA6" s="55" t="str">
        <f>LEFT(TEXT(AA5,"ddd"),1)</f>
        <v>F</v>
      </c>
      <c r="AB6" s="55" t="str">
        <f>LEFT(TEXT(AB5,"ddd"),1)</f>
        <v>S</v>
      </c>
      <c r="AC6" s="55" t="str">
        <f>LEFT(TEXT(AC5,"ddd"),1)</f>
        <v>S</v>
      </c>
      <c r="AD6" s="55" t="str">
        <f>LEFT(TEXT(AD5,"ddd"),1)</f>
        <v>M</v>
      </c>
      <c r="AE6" s="55" t="str">
        <f>LEFT(TEXT(AE5,"ddd"),1)</f>
        <v>T</v>
      </c>
      <c r="AF6" s="55" t="str">
        <f>LEFT(TEXT(AF5,"ddd"),1)</f>
        <v>W</v>
      </c>
      <c r="AG6" s="55" t="str">
        <f>LEFT(TEXT(AG5,"ddd"),1)</f>
        <v>T</v>
      </c>
      <c r="AH6" s="55" t="str">
        <f>LEFT(TEXT(AH5,"ddd"),1)</f>
        <v>F</v>
      </c>
      <c r="AI6" s="55" t="str">
        <f>LEFT(TEXT(AI5,"ddd"),1)</f>
        <v>S</v>
      </c>
      <c r="AJ6" s="55" t="str">
        <f>LEFT(TEXT(AJ5,"ddd"),1)</f>
        <v>S</v>
      </c>
      <c r="AK6" s="55" t="str">
        <f>LEFT(TEXT(AK5,"ddd"),1)</f>
        <v>M</v>
      </c>
      <c r="AL6" s="55" t="str">
        <f>LEFT(TEXT(AL5,"ddd"),1)</f>
        <v>T</v>
      </c>
      <c r="AM6" s="55" t="str">
        <f>LEFT(TEXT(AM5,"ddd"),1)</f>
        <v>W</v>
      </c>
      <c r="AN6" s="55" t="str">
        <f>LEFT(TEXT(AN5,"ddd"),1)</f>
        <v>T</v>
      </c>
      <c r="AO6" s="55" t="str">
        <f>LEFT(TEXT(AO5,"ddd"),1)</f>
        <v>F</v>
      </c>
      <c r="AP6" s="55" t="str">
        <f>LEFT(TEXT(AP5,"ddd"),1)</f>
        <v>S</v>
      </c>
      <c r="AQ6" s="55" t="str">
        <f>LEFT(TEXT(AQ5,"ddd"),1)</f>
        <v>S</v>
      </c>
      <c r="AR6" s="55" t="str">
        <f>LEFT(TEXT(AR5,"ddd"),1)</f>
        <v>M</v>
      </c>
      <c r="AS6" s="55" t="str">
        <f>LEFT(TEXT(AS5,"ddd"),1)</f>
        <v>T</v>
      </c>
      <c r="AT6" s="55" t="str">
        <f>LEFT(TEXT(AT5,"ddd"),1)</f>
        <v>W</v>
      </c>
      <c r="AU6" s="55" t="str">
        <f>LEFT(TEXT(AU5,"ddd"),1)</f>
        <v>T</v>
      </c>
      <c r="AV6" s="55" t="str">
        <f>LEFT(TEXT(AV5,"ddd"),1)</f>
        <v>F</v>
      </c>
      <c r="AW6" s="55" t="str">
        <f>LEFT(TEXT(AW5,"ddd"),1)</f>
        <v>S</v>
      </c>
      <c r="AX6" s="55" t="str">
        <f>LEFT(TEXT(AX5,"ddd"),1)</f>
        <v>S</v>
      </c>
      <c r="AY6" s="55" t="str">
        <f>LEFT(TEXT(AY5,"ddd"),1)</f>
        <v>M</v>
      </c>
      <c r="AZ6" s="55" t="str">
        <f>LEFT(TEXT(AZ5,"ddd"),1)</f>
        <v>T</v>
      </c>
      <c r="BA6" s="55" t="str">
        <f>LEFT(TEXT(BA5,"ddd"),1)</f>
        <v>W</v>
      </c>
      <c r="BB6" s="55" t="str">
        <f>LEFT(TEXT(BB5,"ddd"),1)</f>
        <v>T</v>
      </c>
      <c r="BC6" s="55" t="str">
        <f>LEFT(TEXT(BC5,"ddd"),1)</f>
        <v>F</v>
      </c>
      <c r="BD6" s="55" t="str">
        <f>LEFT(TEXT(BD5,"ddd"),1)</f>
        <v>S</v>
      </c>
      <c r="BE6" s="55" t="str">
        <f>LEFT(TEXT(BE5,"ddd"),1)</f>
        <v>S</v>
      </c>
      <c r="BF6" s="55" t="str">
        <f>LEFT(TEXT(BF5,"ddd"),1)</f>
        <v>M</v>
      </c>
      <c r="BG6" s="55" t="str">
        <f>LEFT(TEXT(BG5,"ddd"),1)</f>
        <v>T</v>
      </c>
      <c r="BH6" s="55" t="str">
        <f>LEFT(TEXT(BH5,"ddd"),1)</f>
        <v>W</v>
      </c>
      <c r="BI6" s="55" t="str">
        <f>LEFT(TEXT(BI5,"ddd"),1)</f>
        <v>T</v>
      </c>
      <c r="BJ6" s="55" t="str">
        <f>LEFT(TEXT(BJ5,"ddd"),1)</f>
        <v>F</v>
      </c>
      <c r="BK6" s="55" t="str">
        <f>LEFT(TEXT(BK5,"ddd"),1)</f>
        <v>S</v>
      </c>
      <c r="BL6" s="54" t="str">
        <f>LEFT(TEXT(BL5,"ddd"),1)</f>
        <v>S</v>
      </c>
    </row>
    <row r="7" spans="1:97" s="33" customFormat="1" ht="30" customHeight="1" x14ac:dyDescent="0.25">
      <c r="A7" s="2"/>
      <c r="B7" s="53" t="s">
        <v>27</v>
      </c>
      <c r="C7" s="52"/>
      <c r="D7" s="51"/>
      <c r="E7" s="50"/>
      <c r="F7" s="49"/>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row>
    <row r="8" spans="1:97" s="33" customFormat="1" ht="30" customHeight="1" x14ac:dyDescent="0.25">
      <c r="A8" s="2"/>
      <c r="B8" s="48" t="s">
        <v>26</v>
      </c>
      <c r="C8" s="46" t="s">
        <v>3</v>
      </c>
      <c r="D8" s="45">
        <v>0.5</v>
      </c>
      <c r="E8" s="44">
        <v>46235</v>
      </c>
      <c r="F8" s="44">
        <v>46278</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row>
    <row r="9" spans="1:97" s="33" customFormat="1" ht="30" customHeight="1" x14ac:dyDescent="0.25">
      <c r="A9" s="2"/>
      <c r="B9" s="48" t="s">
        <v>25</v>
      </c>
      <c r="C9" s="46" t="s">
        <v>3</v>
      </c>
      <c r="D9" s="45">
        <v>0.65</v>
      </c>
      <c r="E9" s="44">
        <v>46235</v>
      </c>
      <c r="F9" s="44">
        <v>46278</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row>
    <row r="10" spans="1:97" s="33" customFormat="1" ht="30" customHeight="1" x14ac:dyDescent="0.25">
      <c r="A10" s="2"/>
      <c r="B10" s="48" t="s">
        <v>24</v>
      </c>
      <c r="C10" s="46" t="s">
        <v>1</v>
      </c>
      <c r="D10" s="45">
        <v>0.65</v>
      </c>
      <c r="E10" s="44">
        <v>46235</v>
      </c>
      <c r="F10" s="44">
        <f>E10+60</f>
        <v>46295</v>
      </c>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row>
    <row r="11" spans="1:97" s="33" customFormat="1" ht="30" customHeight="1" x14ac:dyDescent="0.25">
      <c r="A11" s="2"/>
      <c r="B11" s="48" t="s">
        <v>23</v>
      </c>
      <c r="C11" s="46" t="s">
        <v>3</v>
      </c>
      <c r="D11" s="45">
        <v>0.65</v>
      </c>
      <c r="E11" s="44">
        <v>46235</v>
      </c>
      <c r="F11" s="44">
        <f>E11+60</f>
        <v>46295</v>
      </c>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row>
    <row r="12" spans="1:97" s="33" customFormat="1" ht="30" customHeight="1" x14ac:dyDescent="0.25">
      <c r="A12" s="2"/>
      <c r="B12" s="48" t="s">
        <v>22</v>
      </c>
      <c r="C12" s="46" t="s">
        <v>3</v>
      </c>
      <c r="D12" s="45">
        <v>0</v>
      </c>
      <c r="E12" s="44">
        <f>E8+45</f>
        <v>46280</v>
      </c>
      <c r="F12" s="44">
        <f>E12+26</f>
        <v>46306</v>
      </c>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row>
    <row r="13" spans="1:97" s="33" customFormat="1" ht="30" customHeight="1" x14ac:dyDescent="0.25">
      <c r="A13" s="2"/>
      <c r="B13" s="47" t="s">
        <v>21</v>
      </c>
      <c r="C13" s="46" t="s">
        <v>3</v>
      </c>
      <c r="D13" s="45">
        <v>0</v>
      </c>
      <c r="E13" s="44">
        <f>F12</f>
        <v>46306</v>
      </c>
      <c r="F13" s="44">
        <f>E13+4</f>
        <v>46310</v>
      </c>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row>
    <row r="14" spans="1:97" s="33" customFormat="1" ht="30" customHeight="1" x14ac:dyDescent="0.25">
      <c r="A14" s="2"/>
      <c r="B14" s="47" t="s">
        <v>20</v>
      </c>
      <c r="C14" s="46" t="s">
        <v>3</v>
      </c>
      <c r="D14" s="45">
        <v>0</v>
      </c>
      <c r="E14" s="44">
        <v>46321</v>
      </c>
      <c r="F14" s="44">
        <f>E14+5</f>
        <v>46326</v>
      </c>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row>
    <row r="15" spans="1:97" s="33" customFormat="1" ht="30" customHeight="1" x14ac:dyDescent="0.25">
      <c r="A15" s="2"/>
      <c r="B15" s="47" t="s">
        <v>19</v>
      </c>
      <c r="C15" s="46" t="s">
        <v>3</v>
      </c>
      <c r="D15" s="45">
        <v>0</v>
      </c>
      <c r="E15" s="44">
        <f>F14</f>
        <v>46326</v>
      </c>
      <c r="F15" s="44">
        <f>E15+16</f>
        <v>46342</v>
      </c>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row>
    <row r="16" spans="1:97" s="33" customFormat="1" ht="30" customHeight="1" x14ac:dyDescent="0.25">
      <c r="A16" s="2"/>
      <c r="B16" s="47" t="s">
        <v>18</v>
      </c>
      <c r="C16" s="46" t="s">
        <v>1</v>
      </c>
      <c r="D16" s="45">
        <v>0</v>
      </c>
      <c r="E16" s="44">
        <v>46361</v>
      </c>
      <c r="F16" s="44">
        <v>46367</v>
      </c>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row>
    <row r="17" spans="1:97" s="33" customFormat="1" ht="30" customHeight="1" x14ac:dyDescent="0.25">
      <c r="A17" s="2"/>
      <c r="B17" s="43" t="s">
        <v>17</v>
      </c>
      <c r="C17" s="42"/>
      <c r="D17" s="41"/>
      <c r="E17" s="40"/>
      <c r="F17" s="39"/>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row>
    <row r="18" spans="1:97" s="33" customFormat="1" ht="30" customHeight="1" x14ac:dyDescent="0.25">
      <c r="A18" s="2"/>
      <c r="B18" s="38" t="s">
        <v>16</v>
      </c>
      <c r="C18" s="36" t="s">
        <v>3</v>
      </c>
      <c r="D18" s="35">
        <v>0</v>
      </c>
      <c r="E18" s="34">
        <v>46277</v>
      </c>
      <c r="F18" s="34">
        <v>46295</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row>
    <row r="19" spans="1:97" s="33" customFormat="1" ht="30" customHeight="1" x14ac:dyDescent="0.25">
      <c r="A19" s="2"/>
      <c r="B19" s="38" t="s">
        <v>9</v>
      </c>
      <c r="C19" s="36" t="s">
        <v>3</v>
      </c>
      <c r="D19" s="35">
        <v>0</v>
      </c>
      <c r="E19" s="34">
        <v>46277</v>
      </c>
      <c r="F19" s="34">
        <v>46295</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row>
    <row r="20" spans="1:97" s="33" customFormat="1" ht="30" customHeight="1" x14ac:dyDescent="0.25">
      <c r="A20" s="2"/>
      <c r="B20" s="38" t="s">
        <v>8</v>
      </c>
      <c r="C20" s="36" t="s">
        <v>1</v>
      </c>
      <c r="D20" s="35">
        <v>0</v>
      </c>
      <c r="E20" s="34">
        <v>46310</v>
      </c>
      <c r="F20" s="34">
        <v>46342</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row>
    <row r="21" spans="1:97" s="33" customFormat="1" ht="30" customHeight="1" x14ac:dyDescent="0.25">
      <c r="A21" s="2"/>
      <c r="B21" s="37" t="s">
        <v>6</v>
      </c>
      <c r="C21" s="36" t="s">
        <v>3</v>
      </c>
      <c r="D21" s="35">
        <v>0</v>
      </c>
      <c r="E21" s="34">
        <v>46310</v>
      </c>
      <c r="F21" s="34">
        <v>46342</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row>
    <row r="22" spans="1:97" s="33" customFormat="1" ht="30" customHeight="1" x14ac:dyDescent="0.25">
      <c r="A22" s="2"/>
      <c r="B22" s="37" t="s">
        <v>15</v>
      </c>
      <c r="C22" s="36" t="s">
        <v>3</v>
      </c>
      <c r="D22" s="35">
        <v>0</v>
      </c>
      <c r="E22" s="34">
        <v>46342</v>
      </c>
      <c r="F22" s="34">
        <v>46346</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row>
    <row r="23" spans="1:97" s="33" customFormat="1" ht="30" customHeight="1" x14ac:dyDescent="0.25">
      <c r="A23" s="2"/>
      <c r="B23" s="37" t="s">
        <v>14</v>
      </c>
      <c r="C23" s="36" t="s">
        <v>3</v>
      </c>
      <c r="D23" s="35">
        <v>0</v>
      </c>
      <c r="E23" s="34">
        <f>F22</f>
        <v>46346</v>
      </c>
      <c r="F23" s="34">
        <v>46356</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row>
    <row r="24" spans="1:97" s="33" customFormat="1" ht="30" customHeight="1" x14ac:dyDescent="0.25">
      <c r="A24" s="2"/>
      <c r="B24" s="37" t="s">
        <v>13</v>
      </c>
      <c r="C24" s="36" t="s">
        <v>1</v>
      </c>
      <c r="D24" s="35">
        <v>0</v>
      </c>
      <c r="E24" s="34">
        <f>F15</f>
        <v>46342</v>
      </c>
      <c r="F24" s="34">
        <v>46346</v>
      </c>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row>
    <row r="25" spans="1:97" s="33" customFormat="1" ht="30" customHeight="1" thickBot="1" x14ac:dyDescent="0.3">
      <c r="A25" s="2"/>
      <c r="B25" s="37" t="s">
        <v>12</v>
      </c>
      <c r="C25" s="36" t="s">
        <v>3</v>
      </c>
      <c r="D25" s="35">
        <v>0</v>
      </c>
      <c r="E25" s="34">
        <f>E24+14</f>
        <v>46356</v>
      </c>
      <c r="F25" s="34">
        <v>46360</v>
      </c>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row>
    <row r="26" spans="1:97" s="7" customFormat="1" ht="30" customHeight="1" thickBot="1" x14ac:dyDescent="0.3">
      <c r="A26" s="2"/>
      <c r="B26" s="32" t="s">
        <v>11</v>
      </c>
      <c r="C26" s="31"/>
      <c r="D26" s="30"/>
      <c r="E26" s="29"/>
      <c r="F26" s="28"/>
      <c r="G26" s="10"/>
      <c r="H26" s="17"/>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97" s="7" customFormat="1" ht="30" customHeight="1" thickBot="1" x14ac:dyDescent="0.3">
      <c r="A27" s="2"/>
      <c r="B27" s="27" t="s">
        <v>10</v>
      </c>
      <c r="C27" s="25" t="s">
        <v>3</v>
      </c>
      <c r="D27" s="24">
        <v>0</v>
      </c>
      <c r="E27" s="23">
        <v>46277</v>
      </c>
      <c r="F27" s="23">
        <v>46295</v>
      </c>
      <c r="G27" s="10"/>
      <c r="H27" s="17"/>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97" s="7" customFormat="1" ht="30" customHeight="1" thickBot="1" x14ac:dyDescent="0.3">
      <c r="A28" s="2"/>
      <c r="B28" s="27" t="s">
        <v>9</v>
      </c>
      <c r="C28" s="25" t="s">
        <v>3</v>
      </c>
      <c r="D28" s="24">
        <v>0</v>
      </c>
      <c r="E28" s="23">
        <v>46277</v>
      </c>
      <c r="F28" s="23">
        <v>46295</v>
      </c>
      <c r="G28" s="10"/>
      <c r="H28" s="17"/>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97" s="7" customFormat="1" ht="30" customHeight="1" thickBot="1" x14ac:dyDescent="0.3">
      <c r="A29" s="2"/>
      <c r="B29" s="27" t="s">
        <v>8</v>
      </c>
      <c r="C29" s="25" t="s">
        <v>1</v>
      </c>
      <c r="D29" s="24">
        <v>0</v>
      </c>
      <c r="E29" s="23">
        <v>46310</v>
      </c>
      <c r="F29" s="23">
        <v>46342</v>
      </c>
      <c r="G29" s="10"/>
      <c r="H29" s="17"/>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97" s="7" customFormat="1" ht="30" customHeight="1" thickBot="1" x14ac:dyDescent="0.3">
      <c r="A30" s="2"/>
      <c r="B30" s="27" t="s">
        <v>7</v>
      </c>
      <c r="C30" s="25" t="s">
        <v>3</v>
      </c>
      <c r="D30" s="24">
        <v>0</v>
      </c>
      <c r="E30" s="23">
        <v>46310</v>
      </c>
      <c r="F30" s="23">
        <v>46342</v>
      </c>
      <c r="G30" s="10"/>
      <c r="H30" s="17"/>
    </row>
    <row r="31" spans="1:97" s="7" customFormat="1" ht="30" customHeight="1" thickBot="1" x14ac:dyDescent="0.3">
      <c r="A31" s="2"/>
      <c r="B31" s="26" t="s">
        <v>6</v>
      </c>
      <c r="C31" s="25" t="s">
        <v>3</v>
      </c>
      <c r="D31" s="24">
        <v>0</v>
      </c>
      <c r="E31" s="23">
        <v>46310</v>
      </c>
      <c r="F31" s="23">
        <v>46342</v>
      </c>
      <c r="G31" s="10"/>
      <c r="H31" s="17"/>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97" s="7" customFormat="1" ht="30" customHeight="1" thickBot="1" x14ac:dyDescent="0.3">
      <c r="A32" s="2"/>
      <c r="B32" s="26" t="s">
        <v>5</v>
      </c>
      <c r="C32" s="25" t="s">
        <v>3</v>
      </c>
      <c r="D32" s="24">
        <v>0</v>
      </c>
      <c r="E32" s="23">
        <v>46342</v>
      </c>
      <c r="F32" s="23">
        <v>46356</v>
      </c>
      <c r="G32" s="10"/>
      <c r="H32" s="1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1:64" s="7" customFormat="1" ht="30" customHeight="1" thickBot="1" x14ac:dyDescent="0.3">
      <c r="A33" s="2"/>
      <c r="B33" s="26" t="s">
        <v>4</v>
      </c>
      <c r="C33" s="25" t="s">
        <v>3</v>
      </c>
      <c r="D33" s="24">
        <v>0</v>
      </c>
      <c r="E33" s="23">
        <v>46356</v>
      </c>
      <c r="F33" s="23">
        <v>46360</v>
      </c>
      <c r="G33" s="10"/>
      <c r="H33" s="17"/>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1:64" s="7" customFormat="1" ht="30" customHeight="1" thickBot="1" x14ac:dyDescent="0.3">
      <c r="A34" s="2"/>
      <c r="B34" s="26" t="s">
        <v>2</v>
      </c>
      <c r="C34" s="25" t="s">
        <v>1</v>
      </c>
      <c r="D34" s="24">
        <v>0</v>
      </c>
      <c r="E34" s="23">
        <v>46363</v>
      </c>
      <c r="F34" s="23">
        <v>46367</v>
      </c>
      <c r="G34" s="10"/>
      <c r="H34" s="1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1:64" s="7" customFormat="1" ht="30" customHeight="1" thickBot="1" x14ac:dyDescent="0.3">
      <c r="A35" s="2"/>
      <c r="G35" s="10"/>
      <c r="H35" s="17"/>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1:64" s="7" customFormat="1" ht="30" customHeight="1" thickBot="1" x14ac:dyDescent="0.3">
      <c r="A36" s="2"/>
      <c r="G36" s="10"/>
      <c r="H36" s="17"/>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1:64" s="7" customFormat="1" ht="30" customHeight="1" thickBot="1" x14ac:dyDescent="0.3">
      <c r="A37" s="2"/>
      <c r="G37" s="10"/>
      <c r="H37" s="17"/>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1:64" s="7" customFormat="1" ht="30" customHeight="1" thickBot="1" x14ac:dyDescent="0.3">
      <c r="A38" s="2"/>
      <c r="B38" s="21"/>
      <c r="C38" s="20"/>
      <c r="D38" s="19"/>
      <c r="E38" s="18"/>
      <c r="F38" s="18"/>
      <c r="G38" s="10"/>
      <c r="H38" s="17" t="str">
        <f>IF(OR(ISBLANK(task_start),ISBLANK(task_end)),"",task_end-task_start+1)</f>
        <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1:64" s="7" customFormat="1" ht="30" customHeight="1" thickBot="1" x14ac:dyDescent="0.3">
      <c r="A39" s="2"/>
      <c r="B39" s="21"/>
      <c r="C39" s="20"/>
      <c r="D39" s="19"/>
      <c r="E39" s="18"/>
      <c r="F39" s="18"/>
      <c r="G39" s="10"/>
      <c r="H39" s="17"/>
    </row>
    <row r="40" spans="1:64" s="7" customFormat="1" ht="30" customHeight="1" thickBot="1" x14ac:dyDescent="0.3">
      <c r="A40" s="16"/>
      <c r="B40" s="15" t="s">
        <v>0</v>
      </c>
      <c r="C40" s="14"/>
      <c r="D40" s="13"/>
      <c r="E40" s="12"/>
      <c r="F40" s="11"/>
      <c r="G40" s="10"/>
      <c r="H40" s="9" t="str">
        <f>IF(OR(ISBLANK(task_start),ISBLANK(task_end)),"",task_end-task_start+1)</f>
        <v/>
      </c>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row>
    <row r="41" spans="1:64" ht="30" customHeight="1" x14ac:dyDescent="0.25">
      <c r="G41" s="6"/>
    </row>
    <row r="42" spans="1:64" ht="30" customHeight="1" x14ac:dyDescent="0.25">
      <c r="C42" s="5"/>
      <c r="F42" s="4"/>
    </row>
    <row r="43" spans="1:64" ht="30" customHeight="1" x14ac:dyDescent="0.25">
      <c r="C43" s="3"/>
    </row>
  </sheetData>
  <mergeCells count="19">
    <mergeCell ref="AR4:AX4"/>
    <mergeCell ref="AY4:BE4"/>
    <mergeCell ref="A5:A6"/>
    <mergeCell ref="B5:B6"/>
    <mergeCell ref="C5:C6"/>
    <mergeCell ref="D5:D6"/>
    <mergeCell ref="E5:E6"/>
    <mergeCell ref="I4:O4"/>
    <mergeCell ref="F5:F6"/>
    <mergeCell ref="B1:F1"/>
    <mergeCell ref="I1:O1"/>
    <mergeCell ref="Q1:Z1"/>
    <mergeCell ref="I2:O2"/>
    <mergeCell ref="Q2:Z2"/>
    <mergeCell ref="BF4:BL4"/>
    <mergeCell ref="P4:V4"/>
    <mergeCell ref="W4:AC4"/>
    <mergeCell ref="AD4:AJ4"/>
    <mergeCell ref="AK4:AQ4"/>
  </mergeCells>
  <conditionalFormatting sqref="D38:D40 D7:D34">
    <cfRule type="dataBar" priority="4">
      <dataBar>
        <cfvo type="num" val="0"/>
        <cfvo type="num" val="1"/>
        <color theme="0"/>
      </dataBar>
      <extLst>
        <ext xmlns:x14="http://schemas.microsoft.com/office/spreadsheetml/2009/9/main" uri="{B025F937-C7B1-47D3-B67F-A62EFF666E3E}">
          <x14:id>{C8A1BB9D-7D0D-4A7B-879F-AEBC3F54C7F7}</x14:id>
        </ext>
      </extLst>
    </cfRule>
  </conditionalFormatting>
  <conditionalFormatting sqref="I4:BL37">
    <cfRule type="expression" dxfId="4" priority="3">
      <formula>AND(TODAY()&gt;=I$5, TODAY()&lt;J$5)</formula>
    </cfRule>
  </conditionalFormatting>
  <conditionalFormatting sqref="I18:BL37">
    <cfRule type="expression" dxfId="3" priority="5">
      <formula>AND(task_start&lt;=I$5,ROUNDDOWN((task_end-task_start+1)*task_progress,0)+task_start-1&gt;=I$5)</formula>
    </cfRule>
    <cfRule type="expression" dxfId="2" priority="6" stopIfTrue="1">
      <formula>AND(task_end&gt;=I$5,task_start&lt;J$5)</formula>
    </cfRule>
  </conditionalFormatting>
  <conditionalFormatting sqref="I7:BL17">
    <cfRule type="expression" dxfId="1" priority="1">
      <formula>AND(task_start&lt;=I$5,ROUNDDOWN((task_end-task_start+1)*task_progress,0)+task_start-1&gt;=I$5)</formula>
    </cfRule>
    <cfRule type="expression" dxfId="0" priority="2" stopIfTrue="1">
      <formula>AND(task_end&gt;=I$5,task_start&lt;J$5)</formula>
    </cfRule>
  </conditionalFormatting>
  <dataValidations count="7">
    <dataValidation type="whole" operator="greaterThanOrEqual" allowBlank="1" showInputMessage="1" promptTitle="Display Week" prompt="Changing this number will scroll the Gantt Chart view." sqref="Q2" xr:uid="{94424499-FAC5-41FE-AFFC-D40ECE592E3D}">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F9E908DD-0141-474B-B87A-1E6A75483DBD}"/>
    <dataValidation allowBlank="1" showInputMessage="1" showErrorMessage="1" prompt="Enter Company name in cel B2." sqref="A2" xr:uid="{30385413-39B8-4EBB-A73F-6AD57C4F8C81}"/>
    <dataValidation allowBlank="1" showInputMessage="1" showErrorMessage="1" prompt="Enter the name of the Project Lead in cell C3. Enter the Project Start date in cell Q1. Project Start: label is in cell I1." sqref="A3" xr:uid="{0CFE9694-93CD-40C3-A346-F59A88BE0B3D}"/>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50244B1-FE3C-4A77-9DA2-E2A5DFA8AE91}"/>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B6AA3098-CDF5-4AAD-972D-D250EFA820FC}"/>
    <dataValidation allowBlank="1" showInputMessage="1" showErrorMessage="1" prompt="This row marks the end of the Project Schedule. DO NOT enter anything in this row. _x000a_Insert new rows ABOVE this one to continue building out your Project Schedule." sqref="A40" xr:uid="{09E3685E-F457-4E16-9F84-001DCEA15B86}"/>
  </dataValidations>
  <hyperlinks>
    <hyperlink ref="B4" r:id="rId1" xr:uid="{4CE5445E-E7DD-48FC-8FE0-30EAC4C08F5A}"/>
    <hyperlink ref="B3" r:id="rId2" xr:uid="{2A1684DE-B3FA-4744-B9AA-B02ED50A58A9}"/>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C8A1BB9D-7D0D-4A7B-879F-AEBC3F54C7F7}">
            <x14:dataBar minLength="0" maxLength="100" gradient="0">
              <x14:cfvo type="num">
                <xm:f>0</xm:f>
              </x14:cfvo>
              <x14:cfvo type="num">
                <xm:f>1</xm:f>
              </x14:cfvo>
              <x14:negativeFillColor rgb="FFFF0000"/>
              <x14:axisColor rgb="FF000000"/>
            </x14:dataBar>
          </x14:cfRule>
          <xm:sqref>D38:D40 D7:D34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Thesis Draft Schedule</vt:lpstr>
      <vt:lpstr>'Thesis Draft Schedule'!Display_Week</vt:lpstr>
      <vt:lpstr>'Thesis Draft Schedule'!Print_Titles</vt:lpstr>
      <vt:lpstr>'Thesis Draft Schedule'!Project_Start</vt:lpstr>
      <vt:lpstr>'Thesis Draft Schedule'!task_end</vt:lpstr>
      <vt:lpstr>'Thesis Draft Schedule'!task_progress</vt:lpstr>
      <vt:lpstr>'Thesis Draft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Savannah Miller</dc:creator>
  <cp:lastModifiedBy>Savannah Karin Miller</cp:lastModifiedBy>
  <dcterms:created xsi:type="dcterms:W3CDTF">2026-09-12T18:56:51Z</dcterms:created>
  <dcterms:modified xsi:type="dcterms:W3CDTF">2026-09-12T18:57:49Z</dcterms:modified>
</cp:coreProperties>
</file>