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orr\Downloads\"/>
    </mc:Choice>
  </mc:AlternateContent>
  <xr:revisionPtr revIDLastSave="0" documentId="8_{EE950621-21B0-4E22-A587-09A24CDBCBE8}" xr6:coauthVersionLast="47" xr6:coauthVersionMax="47" xr10:uidLastSave="{00000000-0000-0000-0000-000000000000}"/>
  <bookViews>
    <workbookView xWindow="28680" yWindow="-120" windowWidth="38640" windowHeight="15720" xr2:uid="{46E4ADF6-5AA4-4FF0-904F-2DDC00E86720}"/>
  </bookViews>
  <sheets>
    <sheet name="RawData" sheetId="2" r:id="rId1"/>
    <sheet name="CorteMadera-06162025" sheetId="1" r:id="rId2"/>
    <sheet name="CorteMadera-06162025-GIS" sheetId="3" r:id="rId3"/>
  </sheets>
  <calcPr calcId="0"/>
</workbook>
</file>

<file path=xl/calcChain.xml><?xml version="1.0" encoding="utf-8"?>
<calcChain xmlns="http://schemas.openxmlformats.org/spreadsheetml/2006/main">
  <c r="G90" i="3" l="1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O3" i="1"/>
  <c r="N3" i="1"/>
  <c r="L3" i="1"/>
  <c r="K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3" i="1"/>
  <c r="M3" i="1" l="1"/>
</calcChain>
</file>

<file path=xl/sharedStrings.xml><?xml version="1.0" encoding="utf-8"?>
<sst xmlns="http://schemas.openxmlformats.org/spreadsheetml/2006/main" count="339" uniqueCount="115">
  <si>
    <t>Job:corte madera-06162025</t>
  </si>
  <si>
    <t>Version:24.00</t>
  </si>
  <si>
    <t>Units:USSurveyFeet</t>
  </si>
  <si>
    <t>RTCM0018</t>
  </si>
  <si>
    <t>bm-pre1</t>
  </si>
  <si>
    <t>bm-pre2</t>
  </si>
  <si>
    <t>bm-pre3</t>
  </si>
  <si>
    <t>bm-pre4</t>
  </si>
  <si>
    <t>xsA-1</t>
  </si>
  <si>
    <t>xsA-2</t>
  </si>
  <si>
    <t>xsA-3</t>
  </si>
  <si>
    <t>xsA-4</t>
  </si>
  <si>
    <t>xsA-5</t>
  </si>
  <si>
    <t>xsA-6</t>
  </si>
  <si>
    <t>xsA-7</t>
  </si>
  <si>
    <t>xsA-8</t>
  </si>
  <si>
    <t>xsA-9</t>
  </si>
  <si>
    <t>xsA-10</t>
  </si>
  <si>
    <t>xsA-11</t>
  </si>
  <si>
    <t>xsA-12</t>
  </si>
  <si>
    <t>xsA-13pin</t>
  </si>
  <si>
    <t>xsA-14</t>
  </si>
  <si>
    <t>xsA-15</t>
  </si>
  <si>
    <t>xsA-16</t>
  </si>
  <si>
    <t>xsA-17</t>
  </si>
  <si>
    <t>xsA-18</t>
  </si>
  <si>
    <t>xsA-19</t>
  </si>
  <si>
    <t>xsA-20</t>
  </si>
  <si>
    <t>xsA-21</t>
  </si>
  <si>
    <t>xsA-22</t>
  </si>
  <si>
    <t>xsA-23</t>
  </si>
  <si>
    <t>xsA-24</t>
  </si>
  <si>
    <t>xsA-25</t>
  </si>
  <si>
    <t>xsA-26</t>
  </si>
  <si>
    <t>xsA-27</t>
  </si>
  <si>
    <t>xsA-28</t>
  </si>
  <si>
    <t>xsA-29</t>
  </si>
  <si>
    <t>xsA-30</t>
  </si>
  <si>
    <t>xsA-31</t>
  </si>
  <si>
    <t>xsA-32</t>
  </si>
  <si>
    <t>xsA-33</t>
  </si>
  <si>
    <t>xsA-34</t>
  </si>
  <si>
    <t>xsA-35</t>
  </si>
  <si>
    <t>xsA-36</t>
  </si>
  <si>
    <t>xsA-37</t>
  </si>
  <si>
    <t>xsA-38</t>
  </si>
  <si>
    <t>xsA-39</t>
  </si>
  <si>
    <t>xsA-40</t>
  </si>
  <si>
    <t>xsB-1</t>
  </si>
  <si>
    <t>xsB-2</t>
  </si>
  <si>
    <t>xsB-3</t>
  </si>
  <si>
    <t>xsB-4</t>
  </si>
  <si>
    <t>xsB-5</t>
  </si>
  <si>
    <t>xsB-6</t>
  </si>
  <si>
    <t>xsB-7</t>
  </si>
  <si>
    <t>xsB-8</t>
  </si>
  <si>
    <t>xsB-9</t>
  </si>
  <si>
    <t>xsB-10pin</t>
  </si>
  <si>
    <t>xsB-10</t>
  </si>
  <si>
    <t>xsB-11</t>
  </si>
  <si>
    <t>xsB-12</t>
  </si>
  <si>
    <t>xsB-13</t>
  </si>
  <si>
    <t>xsB-14</t>
  </si>
  <si>
    <t>xsB-15</t>
  </si>
  <si>
    <t>xsB-16</t>
  </si>
  <si>
    <t>xsB-17</t>
  </si>
  <si>
    <t>xsB-18</t>
  </si>
  <si>
    <t>xsB-19</t>
  </si>
  <si>
    <t>xsB-20</t>
  </si>
  <si>
    <t>xsB-21</t>
  </si>
  <si>
    <t>xsB-22</t>
  </si>
  <si>
    <t>xsB-23</t>
  </si>
  <si>
    <t>xsB-24</t>
  </si>
  <si>
    <t>xsB-25</t>
  </si>
  <si>
    <t>xsB-26</t>
  </si>
  <si>
    <t>xsB-27</t>
  </si>
  <si>
    <t>xsB-28</t>
  </si>
  <si>
    <t>xsB-29</t>
  </si>
  <si>
    <t>xsB-30</t>
  </si>
  <si>
    <t>xsB-31</t>
  </si>
  <si>
    <t>xsB-32</t>
  </si>
  <si>
    <t>xsB-33</t>
  </si>
  <si>
    <t>xsB-34</t>
  </si>
  <si>
    <t>xsB-35</t>
  </si>
  <si>
    <t>xsB-36</t>
  </si>
  <si>
    <t>xsB-37</t>
  </si>
  <si>
    <t>xsB-38</t>
  </si>
  <si>
    <t>xsB-39</t>
  </si>
  <si>
    <t>bmpost-1</t>
  </si>
  <si>
    <t>bmpost-2</t>
  </si>
  <si>
    <t>bmpost-3</t>
  </si>
  <si>
    <t>bmpost-4</t>
  </si>
  <si>
    <t>bmpost-5</t>
  </si>
  <si>
    <t>Official_ID</t>
  </si>
  <si>
    <t>Point_ID</t>
  </si>
  <si>
    <t>Northing</t>
  </si>
  <si>
    <t>Easting</t>
  </si>
  <si>
    <t>Elevation_ussft</t>
  </si>
  <si>
    <t>Elevation_m</t>
  </si>
  <si>
    <t>Benchmark Checks</t>
  </si>
  <si>
    <t>Known Elevation</t>
  </si>
  <si>
    <t>BM</t>
  </si>
  <si>
    <t>Check-in (Elevation(m))</t>
  </si>
  <si>
    <t>Check-out (Elevation(m))</t>
  </si>
  <si>
    <t>Diff (m)</t>
  </si>
  <si>
    <t>Average (m)</t>
  </si>
  <si>
    <t>St Dev (m)</t>
  </si>
  <si>
    <t>NGS_Elevation (NAVD88)</t>
  </si>
  <si>
    <t>Result</t>
  </si>
  <si>
    <t>Verified By</t>
  </si>
  <si>
    <t>HT1778</t>
  </si>
  <si>
    <t>Alias_ID</t>
  </si>
  <si>
    <t>G108</t>
  </si>
  <si>
    <t>NGS Map</t>
  </si>
  <si>
    <t>High 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</si>
</sst>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 Unicode MS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9" xfId="0" applyBorder="1"/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18" fillId="0" borderId="0" xfId="0" applyFont="1" applyAlignment="1">
      <alignment vertical="center"/>
    </xf>
    <xf numFmtId="0" fontId="18" fillId="0" borderId="26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3C7CC-AFFB-4C8F-9C17-7428129FF5A5}">
  <dimension ref="A1:D9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>
        <v>1849484.2009999999</v>
      </c>
      <c r="C2">
        <v>6431929.0420000004</v>
      </c>
      <c r="D2">
        <v>23.49</v>
      </c>
    </row>
    <row r="3" spans="1:4">
      <c r="A3" t="s">
        <v>4</v>
      </c>
      <c r="B3">
        <v>1739226.08</v>
      </c>
      <c r="C3">
        <v>6407543.8590000002</v>
      </c>
      <c r="D3">
        <v>17.515000000000001</v>
      </c>
    </row>
    <row r="4" spans="1:4">
      <c r="A4" t="s">
        <v>5</v>
      </c>
      <c r="B4">
        <v>1739226.0419999999</v>
      </c>
      <c r="C4">
        <v>6407543.8859999999</v>
      </c>
      <c r="D4">
        <v>17.433</v>
      </c>
    </row>
    <row r="5" spans="1:4">
      <c r="A5" t="s">
        <v>6</v>
      </c>
      <c r="B5">
        <v>1739226.05</v>
      </c>
      <c r="C5">
        <v>6407543.8810000001</v>
      </c>
      <c r="D5">
        <v>17.492999999999999</v>
      </c>
    </row>
    <row r="6" spans="1:4">
      <c r="A6" t="s">
        <v>7</v>
      </c>
      <c r="B6">
        <v>1739226.034</v>
      </c>
      <c r="C6">
        <v>6407543.8490000004</v>
      </c>
      <c r="D6">
        <v>17.428999999999998</v>
      </c>
    </row>
    <row r="7" spans="1:4">
      <c r="A7" t="s">
        <v>8</v>
      </c>
      <c r="B7">
        <v>1736638.368</v>
      </c>
      <c r="C7">
        <v>6416401.6569999997</v>
      </c>
      <c r="D7">
        <v>2.5390000000000001</v>
      </c>
    </row>
    <row r="8" spans="1:4">
      <c r="A8" t="s">
        <v>9</v>
      </c>
      <c r="B8">
        <v>1736637.5079999999</v>
      </c>
      <c r="C8">
        <v>6416400.9199999999</v>
      </c>
      <c r="D8">
        <v>2.718</v>
      </c>
    </row>
    <row r="9" spans="1:4">
      <c r="A9" t="s">
        <v>10</v>
      </c>
      <c r="B9">
        <v>1736636.7109999999</v>
      </c>
      <c r="C9">
        <v>6416400.2599999998</v>
      </c>
      <c r="D9">
        <v>2.585</v>
      </c>
    </row>
    <row r="10" spans="1:4">
      <c r="A10" t="s">
        <v>11</v>
      </c>
      <c r="B10">
        <v>1736635.7439999999</v>
      </c>
      <c r="C10">
        <v>6416399.4989999998</v>
      </c>
      <c r="D10">
        <v>2.7709999999999999</v>
      </c>
    </row>
    <row r="11" spans="1:4">
      <c r="A11" t="s">
        <v>12</v>
      </c>
      <c r="B11">
        <v>1736634.7390000001</v>
      </c>
      <c r="C11">
        <v>6416398.7709999997</v>
      </c>
      <c r="D11">
        <v>2.992</v>
      </c>
    </row>
    <row r="12" spans="1:4">
      <c r="A12" t="s">
        <v>13</v>
      </c>
      <c r="B12">
        <v>1736634.4169999999</v>
      </c>
      <c r="C12">
        <v>6416398.8380000005</v>
      </c>
      <c r="D12">
        <v>3.714</v>
      </c>
    </row>
    <row r="13" spans="1:4">
      <c r="A13" t="s">
        <v>14</v>
      </c>
      <c r="B13">
        <v>1736634.6910000001</v>
      </c>
      <c r="C13">
        <v>6416399.159</v>
      </c>
      <c r="D13">
        <v>4.4119999999999999</v>
      </c>
    </row>
    <row r="14" spans="1:4">
      <c r="A14" t="s">
        <v>15</v>
      </c>
      <c r="B14">
        <v>1736634.7849999999</v>
      </c>
      <c r="C14">
        <v>6416398.8480000002</v>
      </c>
      <c r="D14">
        <v>4.6619999999999999</v>
      </c>
    </row>
    <row r="15" spans="1:4">
      <c r="A15" t="s">
        <v>16</v>
      </c>
      <c r="B15">
        <v>1736634.598</v>
      </c>
      <c r="C15">
        <v>6416398.7970000003</v>
      </c>
      <c r="D15">
        <v>5.2690000000000001</v>
      </c>
    </row>
    <row r="16" spans="1:4">
      <c r="A16" t="s">
        <v>17</v>
      </c>
      <c r="B16">
        <v>1736634.2709999999</v>
      </c>
      <c r="C16">
        <v>6416398.5439999998</v>
      </c>
      <c r="D16">
        <v>5.4029999999999996</v>
      </c>
    </row>
    <row r="17" spans="1:4">
      <c r="A17" t="s">
        <v>18</v>
      </c>
      <c r="B17">
        <v>1736633.524</v>
      </c>
      <c r="C17">
        <v>6416397.835</v>
      </c>
      <c r="D17">
        <v>5.4569999999999999</v>
      </c>
    </row>
    <row r="18" spans="1:4">
      <c r="A18" t="s">
        <v>19</v>
      </c>
      <c r="B18">
        <v>1736632.3459999999</v>
      </c>
      <c r="C18">
        <v>6416395.7910000002</v>
      </c>
      <c r="D18">
        <v>5.7320000000000002</v>
      </c>
    </row>
    <row r="19" spans="1:4">
      <c r="A19" t="s">
        <v>20</v>
      </c>
      <c r="B19">
        <v>1736631.15</v>
      </c>
      <c r="C19">
        <v>6416393.2510000002</v>
      </c>
      <c r="D19">
        <v>5.71</v>
      </c>
    </row>
    <row r="20" spans="1:4">
      <c r="A20" t="s">
        <v>21</v>
      </c>
      <c r="B20">
        <v>1736629.452</v>
      </c>
      <c r="C20">
        <v>6416390.7620000001</v>
      </c>
      <c r="D20">
        <v>5.8860000000000001</v>
      </c>
    </row>
    <row r="21" spans="1:4">
      <c r="A21" t="s">
        <v>22</v>
      </c>
      <c r="B21">
        <v>1736627.321</v>
      </c>
      <c r="C21">
        <v>6416387.0880000005</v>
      </c>
      <c r="D21">
        <v>5.7610000000000001</v>
      </c>
    </row>
    <row r="22" spans="1:4">
      <c r="A22" t="s">
        <v>23</v>
      </c>
      <c r="B22">
        <v>1736624.5390000001</v>
      </c>
      <c r="C22">
        <v>6416379.6330000004</v>
      </c>
      <c r="D22">
        <v>5.6559999999999997</v>
      </c>
    </row>
    <row r="23" spans="1:4">
      <c r="A23" t="s">
        <v>24</v>
      </c>
      <c r="B23">
        <v>1736620.91</v>
      </c>
      <c r="C23">
        <v>6416373.3169999998</v>
      </c>
      <c r="D23">
        <v>5.5449999999999999</v>
      </c>
    </row>
    <row r="24" spans="1:4">
      <c r="A24" t="s">
        <v>25</v>
      </c>
      <c r="B24">
        <v>1736615.7139999999</v>
      </c>
      <c r="C24">
        <v>6416366.0549999997</v>
      </c>
      <c r="D24">
        <v>5.6420000000000003</v>
      </c>
    </row>
    <row r="25" spans="1:4">
      <c r="A25" t="s">
        <v>26</v>
      </c>
      <c r="B25">
        <v>1736609.0179999999</v>
      </c>
      <c r="C25">
        <v>6416355.8380000005</v>
      </c>
      <c r="D25">
        <v>5.657</v>
      </c>
    </row>
    <row r="26" spans="1:4">
      <c r="A26" t="s">
        <v>27</v>
      </c>
      <c r="B26">
        <v>1736602.659</v>
      </c>
      <c r="C26">
        <v>6416346.1370000001</v>
      </c>
      <c r="D26">
        <v>5.68</v>
      </c>
    </row>
    <row r="27" spans="1:4">
      <c r="A27" t="s">
        <v>28</v>
      </c>
      <c r="B27">
        <v>1736598.084</v>
      </c>
      <c r="C27">
        <v>6416333.9139999999</v>
      </c>
      <c r="D27">
        <v>5.7489999999999997</v>
      </c>
    </row>
    <row r="28" spans="1:4">
      <c r="A28" t="s">
        <v>29</v>
      </c>
      <c r="B28">
        <v>1736595.3859999999</v>
      </c>
      <c r="C28">
        <v>6416325.0760000004</v>
      </c>
      <c r="D28">
        <v>5.7919999999999998</v>
      </c>
    </row>
    <row r="29" spans="1:4">
      <c r="A29" t="s">
        <v>30</v>
      </c>
      <c r="B29">
        <v>1736592.801</v>
      </c>
      <c r="C29">
        <v>6416317.5350000001</v>
      </c>
      <c r="D29">
        <v>5.7539999999999996</v>
      </c>
    </row>
    <row r="30" spans="1:4">
      <c r="A30" t="s">
        <v>31</v>
      </c>
      <c r="B30">
        <v>1736590.314</v>
      </c>
      <c r="C30">
        <v>6416308.1960000005</v>
      </c>
      <c r="D30">
        <v>5.641</v>
      </c>
    </row>
    <row r="31" spans="1:4">
      <c r="A31" t="s">
        <v>32</v>
      </c>
      <c r="B31">
        <v>1736588.3430000001</v>
      </c>
      <c r="C31">
        <v>6416298.1370000001</v>
      </c>
      <c r="D31">
        <v>5.7439999999999998</v>
      </c>
    </row>
    <row r="32" spans="1:4">
      <c r="A32" t="s">
        <v>33</v>
      </c>
      <c r="B32">
        <v>1736587.02</v>
      </c>
      <c r="C32">
        <v>6416288.2910000002</v>
      </c>
      <c r="D32">
        <v>5.7690000000000001</v>
      </c>
    </row>
    <row r="33" spans="1:4">
      <c r="A33" t="s">
        <v>34</v>
      </c>
      <c r="B33">
        <v>1736584.6640000001</v>
      </c>
      <c r="C33">
        <v>6416275.0750000002</v>
      </c>
      <c r="D33">
        <v>5.8879999999999999</v>
      </c>
    </row>
    <row r="34" spans="1:4">
      <c r="A34" t="s">
        <v>35</v>
      </c>
      <c r="B34">
        <v>1736583.014</v>
      </c>
      <c r="C34">
        <v>6416264.7319999998</v>
      </c>
      <c r="D34">
        <v>5.91</v>
      </c>
    </row>
    <row r="35" spans="1:4">
      <c r="A35" t="s">
        <v>36</v>
      </c>
      <c r="B35">
        <v>1736580.4939999999</v>
      </c>
      <c r="C35">
        <v>6416256.1399999997</v>
      </c>
      <c r="D35">
        <v>5.931</v>
      </c>
    </row>
    <row r="36" spans="1:4">
      <c r="A36" t="s">
        <v>37</v>
      </c>
      <c r="B36">
        <v>1736578.5859999999</v>
      </c>
      <c r="C36">
        <v>6416249.8660000004</v>
      </c>
      <c r="D36">
        <v>5.6310000000000002</v>
      </c>
    </row>
    <row r="37" spans="1:4">
      <c r="A37" t="s">
        <v>38</v>
      </c>
      <c r="B37">
        <v>1736577.0889999999</v>
      </c>
      <c r="C37">
        <v>6416246.7520000003</v>
      </c>
      <c r="D37">
        <v>5.81</v>
      </c>
    </row>
    <row r="38" spans="1:4">
      <c r="A38" t="s">
        <v>39</v>
      </c>
      <c r="B38">
        <v>1736576.737</v>
      </c>
      <c r="C38">
        <v>6416245.5930000003</v>
      </c>
      <c r="D38">
        <v>5.6050000000000004</v>
      </c>
    </row>
    <row r="39" spans="1:4">
      <c r="A39" t="s">
        <v>40</v>
      </c>
      <c r="B39">
        <v>1736576.469</v>
      </c>
      <c r="C39">
        <v>6416244.8250000002</v>
      </c>
      <c r="D39">
        <v>5.524</v>
      </c>
    </row>
    <row r="40" spans="1:4">
      <c r="A40" t="s">
        <v>41</v>
      </c>
      <c r="B40">
        <v>1736576.4950000001</v>
      </c>
      <c r="C40">
        <v>6416243.801</v>
      </c>
      <c r="D40">
        <v>5.5090000000000003</v>
      </c>
    </row>
    <row r="41" spans="1:4">
      <c r="A41" t="s">
        <v>42</v>
      </c>
      <c r="B41">
        <v>1736576.611</v>
      </c>
      <c r="C41">
        <v>6416242.6160000004</v>
      </c>
      <c r="D41">
        <v>5.7649999999999997</v>
      </c>
    </row>
    <row r="42" spans="1:4">
      <c r="A42" t="s">
        <v>43</v>
      </c>
      <c r="B42">
        <v>1736575.102</v>
      </c>
      <c r="C42">
        <v>6416235.2149999999</v>
      </c>
      <c r="D42">
        <v>5.7960000000000003</v>
      </c>
    </row>
    <row r="43" spans="1:4">
      <c r="A43" t="s">
        <v>44</v>
      </c>
      <c r="B43">
        <v>1736573.0190000001</v>
      </c>
      <c r="C43">
        <v>6416224.1890000002</v>
      </c>
      <c r="D43">
        <v>5.7290000000000001</v>
      </c>
    </row>
    <row r="44" spans="1:4">
      <c r="A44" t="s">
        <v>45</v>
      </c>
      <c r="B44">
        <v>1736569.9380000001</v>
      </c>
      <c r="C44">
        <v>6416215.6859999998</v>
      </c>
      <c r="D44">
        <v>5.81</v>
      </c>
    </row>
    <row r="45" spans="1:4">
      <c r="A45" t="s">
        <v>46</v>
      </c>
      <c r="B45">
        <v>1736566.233</v>
      </c>
      <c r="C45">
        <v>6416202.4380000001</v>
      </c>
      <c r="D45">
        <v>5.7409999999999997</v>
      </c>
    </row>
    <row r="46" spans="1:4">
      <c r="A46" t="s">
        <v>47</v>
      </c>
      <c r="B46">
        <v>1736562.294</v>
      </c>
      <c r="C46">
        <v>6416194.3590000002</v>
      </c>
      <c r="D46">
        <v>5.6609999999999996</v>
      </c>
    </row>
    <row r="47" spans="1:4">
      <c r="A47" t="s">
        <v>48</v>
      </c>
      <c r="B47">
        <v>1736532.2819999999</v>
      </c>
      <c r="C47">
        <v>6416464.8930000002</v>
      </c>
      <c r="D47">
        <v>2.149</v>
      </c>
    </row>
    <row r="48" spans="1:4">
      <c r="A48" t="s">
        <v>49</v>
      </c>
      <c r="B48">
        <v>1736531.098</v>
      </c>
      <c r="C48">
        <v>6416463.9840000002</v>
      </c>
      <c r="D48">
        <v>2.14</v>
      </c>
    </row>
    <row r="49" spans="1:4">
      <c r="A49" t="s">
        <v>50</v>
      </c>
      <c r="B49">
        <v>1736530.0049999999</v>
      </c>
      <c r="C49">
        <v>6416463.1449999996</v>
      </c>
      <c r="D49">
        <v>2.0950000000000002</v>
      </c>
    </row>
    <row r="50" spans="1:4">
      <c r="A50" t="s">
        <v>51</v>
      </c>
      <c r="B50">
        <v>1736528.392</v>
      </c>
      <c r="C50">
        <v>6416461.7810000004</v>
      </c>
      <c r="D50">
        <v>2.5169999999999999</v>
      </c>
    </row>
    <row r="51" spans="1:4">
      <c r="A51" t="s">
        <v>52</v>
      </c>
      <c r="B51">
        <v>1736528.3770000001</v>
      </c>
      <c r="C51">
        <v>6416461.7110000001</v>
      </c>
      <c r="D51">
        <v>2.41</v>
      </c>
    </row>
    <row r="52" spans="1:4">
      <c r="A52" t="s">
        <v>53</v>
      </c>
      <c r="B52">
        <v>1736527.6410000001</v>
      </c>
      <c r="C52">
        <v>6416460.8459999999</v>
      </c>
      <c r="D52">
        <v>2.9329999999999998</v>
      </c>
    </row>
    <row r="53" spans="1:4">
      <c r="A53" t="s">
        <v>54</v>
      </c>
      <c r="B53">
        <v>1736528.4920000001</v>
      </c>
      <c r="C53">
        <v>6416462.2060000002</v>
      </c>
      <c r="D53">
        <v>4.4610000000000003</v>
      </c>
    </row>
    <row r="54" spans="1:4">
      <c r="A54" t="s">
        <v>55</v>
      </c>
      <c r="B54">
        <v>1736527.0819999999</v>
      </c>
      <c r="C54">
        <v>6416461.1440000003</v>
      </c>
      <c r="D54">
        <v>5.157</v>
      </c>
    </row>
    <row r="55" spans="1:4">
      <c r="A55" t="s">
        <v>56</v>
      </c>
      <c r="B55">
        <v>1736525.41</v>
      </c>
      <c r="C55">
        <v>6416459.0520000001</v>
      </c>
      <c r="D55">
        <v>5.5049999999999999</v>
      </c>
    </row>
    <row r="56" spans="1:4">
      <c r="A56" t="s">
        <v>57</v>
      </c>
      <c r="B56">
        <v>1736524.338</v>
      </c>
      <c r="C56">
        <v>6416458.5319999997</v>
      </c>
      <c r="D56">
        <v>5.5149999999999997</v>
      </c>
    </row>
    <row r="57" spans="1:4">
      <c r="A57" t="s">
        <v>58</v>
      </c>
      <c r="B57">
        <v>1736522.5090000001</v>
      </c>
      <c r="C57">
        <v>6416454.2709999997</v>
      </c>
      <c r="D57">
        <v>5.5910000000000002</v>
      </c>
    </row>
    <row r="58" spans="1:4">
      <c r="A58" t="s">
        <v>59</v>
      </c>
      <c r="B58">
        <v>1736519.9310000001</v>
      </c>
      <c r="C58">
        <v>6416448.7630000003</v>
      </c>
      <c r="D58">
        <v>5.6970000000000001</v>
      </c>
    </row>
    <row r="59" spans="1:4">
      <c r="A59" t="s">
        <v>60</v>
      </c>
      <c r="B59">
        <v>1736517.1059999999</v>
      </c>
      <c r="C59">
        <v>6416443.9970000004</v>
      </c>
      <c r="D59">
        <v>5.7119999999999997</v>
      </c>
    </row>
    <row r="60" spans="1:4">
      <c r="A60" t="s">
        <v>61</v>
      </c>
      <c r="B60">
        <v>1736514.067</v>
      </c>
      <c r="C60">
        <v>6416439.068</v>
      </c>
      <c r="D60">
        <v>5.6180000000000003</v>
      </c>
    </row>
    <row r="61" spans="1:4">
      <c r="A61" t="s">
        <v>62</v>
      </c>
      <c r="B61">
        <v>1736508.9879999999</v>
      </c>
      <c r="C61">
        <v>6416430.5779999997</v>
      </c>
      <c r="D61">
        <v>5.78</v>
      </c>
    </row>
    <row r="62" spans="1:4">
      <c r="A62" t="s">
        <v>63</v>
      </c>
      <c r="B62">
        <v>1736506.3289999999</v>
      </c>
      <c r="C62">
        <v>6416423.3700000001</v>
      </c>
      <c r="D62">
        <v>5.6760000000000002</v>
      </c>
    </row>
    <row r="63" spans="1:4">
      <c r="A63" t="s">
        <v>64</v>
      </c>
      <c r="B63">
        <v>1736501.7279999999</v>
      </c>
      <c r="C63">
        <v>6416417.0329999998</v>
      </c>
      <c r="D63">
        <v>5.7190000000000003</v>
      </c>
    </row>
    <row r="64" spans="1:4">
      <c r="A64" t="s">
        <v>65</v>
      </c>
      <c r="B64">
        <v>1736495.713</v>
      </c>
      <c r="C64">
        <v>6416408.6260000002</v>
      </c>
      <c r="D64">
        <v>5.7690000000000001</v>
      </c>
    </row>
    <row r="65" spans="1:4">
      <c r="A65" t="s">
        <v>66</v>
      </c>
      <c r="B65">
        <v>1736490.2509999999</v>
      </c>
      <c r="C65">
        <v>6416397.8059999999</v>
      </c>
      <c r="D65">
        <v>5.7510000000000003</v>
      </c>
    </row>
    <row r="66" spans="1:4">
      <c r="A66" t="s">
        <v>67</v>
      </c>
      <c r="B66">
        <v>1736482.42</v>
      </c>
      <c r="C66">
        <v>6416385.6210000003</v>
      </c>
      <c r="D66">
        <v>5.6950000000000003</v>
      </c>
    </row>
    <row r="67" spans="1:4">
      <c r="A67" t="s">
        <v>68</v>
      </c>
      <c r="B67">
        <v>1736476.746</v>
      </c>
      <c r="C67">
        <v>6416374.6869999999</v>
      </c>
      <c r="D67">
        <v>5.7759999999999998</v>
      </c>
    </row>
    <row r="68" spans="1:4">
      <c r="A68" t="s">
        <v>69</v>
      </c>
      <c r="B68">
        <v>1736469.8470000001</v>
      </c>
      <c r="C68">
        <v>6416363.2939999998</v>
      </c>
      <c r="D68">
        <v>5.9080000000000004</v>
      </c>
    </row>
    <row r="69" spans="1:4">
      <c r="A69" t="s">
        <v>70</v>
      </c>
      <c r="B69">
        <v>1736466.3060000001</v>
      </c>
      <c r="C69">
        <v>6416355.7560000001</v>
      </c>
      <c r="D69">
        <v>5.9329999999999998</v>
      </c>
    </row>
    <row r="70" spans="1:4">
      <c r="A70" t="s">
        <v>71</v>
      </c>
      <c r="B70">
        <v>1736461.898</v>
      </c>
      <c r="C70">
        <v>6416348.2560000001</v>
      </c>
      <c r="D70">
        <v>5.8220000000000001</v>
      </c>
    </row>
    <row r="71" spans="1:4">
      <c r="A71" t="s">
        <v>72</v>
      </c>
      <c r="B71">
        <v>1736457.82</v>
      </c>
      <c r="C71">
        <v>6416337.8470000001</v>
      </c>
      <c r="D71">
        <v>5.6210000000000004</v>
      </c>
    </row>
    <row r="72" spans="1:4">
      <c r="A72" t="s">
        <v>73</v>
      </c>
      <c r="B72">
        <v>1736451.6980000001</v>
      </c>
      <c r="C72">
        <v>6416326.0769999996</v>
      </c>
      <c r="D72">
        <v>5.7759999999999998</v>
      </c>
    </row>
    <row r="73" spans="1:4">
      <c r="A73" t="s">
        <v>74</v>
      </c>
      <c r="B73">
        <v>1736447.85</v>
      </c>
      <c r="C73">
        <v>6416316.6359999999</v>
      </c>
      <c r="D73">
        <v>5.6219999999999999</v>
      </c>
    </row>
    <row r="74" spans="1:4">
      <c r="A74" t="s">
        <v>75</v>
      </c>
      <c r="B74">
        <v>1736446.0220000001</v>
      </c>
      <c r="C74">
        <v>6416307.0480000004</v>
      </c>
      <c r="D74">
        <v>5.6189999999999998</v>
      </c>
    </row>
    <row r="75" spans="1:4">
      <c r="A75" t="s">
        <v>76</v>
      </c>
      <c r="B75">
        <v>1736444.0919999999</v>
      </c>
      <c r="C75">
        <v>6416297.432</v>
      </c>
      <c r="D75">
        <v>5.6260000000000003</v>
      </c>
    </row>
    <row r="76" spans="1:4">
      <c r="A76" t="s">
        <v>77</v>
      </c>
      <c r="B76">
        <v>1736442.2080000001</v>
      </c>
      <c r="C76">
        <v>6416289.2529999996</v>
      </c>
      <c r="D76">
        <v>5.5789999999999997</v>
      </c>
    </row>
    <row r="77" spans="1:4">
      <c r="A77" t="s">
        <v>78</v>
      </c>
      <c r="B77">
        <v>1736438.817</v>
      </c>
      <c r="C77">
        <v>6416278.1430000002</v>
      </c>
      <c r="D77">
        <v>5.5670000000000002</v>
      </c>
    </row>
    <row r="78" spans="1:4">
      <c r="A78" t="s">
        <v>79</v>
      </c>
      <c r="B78">
        <v>1736438.858</v>
      </c>
      <c r="C78">
        <v>6416278.1069999998</v>
      </c>
      <c r="D78">
        <v>5.6159999999999997</v>
      </c>
    </row>
    <row r="79" spans="1:4">
      <c r="A79" t="s">
        <v>80</v>
      </c>
      <c r="B79">
        <v>1736435.2890000001</v>
      </c>
      <c r="C79">
        <v>6416267.9529999997</v>
      </c>
      <c r="D79">
        <v>5.4960000000000004</v>
      </c>
    </row>
    <row r="80" spans="1:4">
      <c r="A80" t="s">
        <v>81</v>
      </c>
      <c r="B80">
        <v>1736435.355</v>
      </c>
      <c r="C80">
        <v>6416267.9649999999</v>
      </c>
      <c r="D80">
        <v>5.5579999999999998</v>
      </c>
    </row>
    <row r="81" spans="1:4">
      <c r="A81" t="s">
        <v>82</v>
      </c>
      <c r="B81">
        <v>1736434.5190000001</v>
      </c>
      <c r="C81">
        <v>6416265.21</v>
      </c>
      <c r="D81">
        <v>5.1289999999999996</v>
      </c>
    </row>
    <row r="82" spans="1:4">
      <c r="A82" t="s">
        <v>83</v>
      </c>
      <c r="B82">
        <v>1736434.5390000001</v>
      </c>
      <c r="C82">
        <v>6416264.4280000003</v>
      </c>
      <c r="D82">
        <v>5.617</v>
      </c>
    </row>
    <row r="83" spans="1:4">
      <c r="A83" t="s">
        <v>84</v>
      </c>
      <c r="B83">
        <v>1736434.263</v>
      </c>
      <c r="C83">
        <v>6416261.4970000004</v>
      </c>
      <c r="D83">
        <v>5.6310000000000002</v>
      </c>
    </row>
    <row r="84" spans="1:4">
      <c r="A84" t="s">
        <v>85</v>
      </c>
      <c r="B84">
        <v>1736432.3810000001</v>
      </c>
      <c r="C84">
        <v>6416254.7690000003</v>
      </c>
      <c r="D84">
        <v>5.6360000000000001</v>
      </c>
    </row>
    <row r="85" spans="1:4">
      <c r="A85" t="s">
        <v>86</v>
      </c>
      <c r="B85">
        <v>1736432.497</v>
      </c>
      <c r="C85">
        <v>6416254.7130000005</v>
      </c>
      <c r="D85">
        <v>5.97</v>
      </c>
    </row>
    <row r="86" spans="1:4">
      <c r="A86" t="s">
        <v>87</v>
      </c>
      <c r="B86">
        <v>1736430.73</v>
      </c>
      <c r="C86">
        <v>6416249.2230000002</v>
      </c>
      <c r="D86">
        <v>5.73</v>
      </c>
    </row>
    <row r="87" spans="1:4">
      <c r="A87" t="s">
        <v>88</v>
      </c>
      <c r="B87">
        <v>1739225.9990000001</v>
      </c>
      <c r="C87">
        <v>6407544.0489999996</v>
      </c>
      <c r="D87">
        <v>17.731000000000002</v>
      </c>
    </row>
    <row r="88" spans="1:4">
      <c r="A88" t="s">
        <v>89</v>
      </c>
      <c r="B88">
        <v>1739225.9310000001</v>
      </c>
      <c r="C88">
        <v>6407544.1469999999</v>
      </c>
      <c r="D88">
        <v>17.666</v>
      </c>
    </row>
    <row r="89" spans="1:4">
      <c r="A89" t="s">
        <v>90</v>
      </c>
      <c r="B89">
        <v>1739225.936</v>
      </c>
      <c r="C89">
        <v>6407544.0970000001</v>
      </c>
      <c r="D89">
        <v>17.420999999999999</v>
      </c>
    </row>
    <row r="90" spans="1:4">
      <c r="A90" t="s">
        <v>91</v>
      </c>
      <c r="B90">
        <v>1739226.0049999999</v>
      </c>
      <c r="C90">
        <v>6407543.9450000003</v>
      </c>
      <c r="D90">
        <v>17.388999999999999</v>
      </c>
    </row>
    <row r="91" spans="1:4">
      <c r="A91" t="s">
        <v>92</v>
      </c>
      <c r="B91">
        <v>1739226.0060000001</v>
      </c>
      <c r="C91">
        <v>6407543.9840000002</v>
      </c>
      <c r="D91">
        <v>17.561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FB90D-EFE3-42EE-AFFC-8FC80A1DB1B5}">
  <dimension ref="A1:R92"/>
  <sheetViews>
    <sheetView workbookViewId="0">
      <selection activeCell="M5" sqref="M5"/>
    </sheetView>
  </sheetViews>
  <sheetFormatPr defaultRowHeight="15"/>
  <cols>
    <col min="10" max="10" width="3.7109375" bestFit="1" customWidth="1"/>
    <col min="11" max="11" width="10.5703125" bestFit="1" customWidth="1"/>
    <col min="12" max="12" width="23.28515625" bestFit="1" customWidth="1"/>
    <col min="13" max="13" width="7.5703125" bestFit="1" customWidth="1"/>
    <col min="14" max="14" width="11.42578125" bestFit="1" customWidth="1"/>
    <col min="15" max="15" width="9.5703125" customWidth="1"/>
    <col min="16" max="16" width="22.85546875" bestFit="1" customWidth="1"/>
    <col min="17" max="17" width="22.85546875" customWidth="1"/>
    <col min="18" max="18" width="13.5703125" bestFit="1" customWidth="1"/>
  </cols>
  <sheetData>
    <row r="1" spans="1:18">
      <c r="C1" t="s">
        <v>0</v>
      </c>
      <c r="D1" t="s">
        <v>1</v>
      </c>
      <c r="E1" t="s">
        <v>2</v>
      </c>
      <c r="J1" s="1" t="s">
        <v>99</v>
      </c>
      <c r="K1" s="2"/>
      <c r="L1" s="2"/>
      <c r="M1" s="2"/>
      <c r="N1" s="2"/>
      <c r="O1" s="3"/>
      <c r="P1" s="4" t="s">
        <v>100</v>
      </c>
      <c r="Q1" s="15"/>
      <c r="R1" s="5"/>
    </row>
    <row r="2" spans="1:18" ht="45">
      <c r="A2" t="s">
        <v>93</v>
      </c>
      <c r="B2" t="s">
        <v>111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J2" s="6" t="s">
        <v>101</v>
      </c>
      <c r="K2" s="7" t="s">
        <v>102</v>
      </c>
      <c r="L2" s="8" t="s">
        <v>103</v>
      </c>
      <c r="M2" s="8" t="s">
        <v>104</v>
      </c>
      <c r="N2" s="8" t="s">
        <v>105</v>
      </c>
      <c r="O2" s="9" t="s">
        <v>106</v>
      </c>
      <c r="P2" s="6" t="s">
        <v>107</v>
      </c>
      <c r="Q2" s="17" t="s">
        <v>109</v>
      </c>
      <c r="R2" s="10" t="s">
        <v>108</v>
      </c>
    </row>
    <row r="3" spans="1:18" ht="15.75" thickBot="1">
      <c r="C3" t="s">
        <v>3</v>
      </c>
      <c r="D3">
        <v>1849484.2009999999</v>
      </c>
      <c r="E3">
        <v>6431929.0420000004</v>
      </c>
      <c r="F3">
        <v>23.49</v>
      </c>
      <c r="G3">
        <f>F3*0.304800609601</f>
        <v>7.1597663195274901</v>
      </c>
      <c r="J3" s="11" t="s">
        <v>101</v>
      </c>
      <c r="K3" s="12">
        <f>AVERAGE(G4:G7)</f>
        <v>5.3241046482054681</v>
      </c>
      <c r="L3" s="12">
        <f>AVERAGE(G88:G92)</f>
        <v>5.3503479806921153</v>
      </c>
      <c r="M3" s="12">
        <f>L3-K3</f>
        <v>2.624333248664712E-2</v>
      </c>
      <c r="N3" s="12">
        <f>AVERAGE(G88:G92,G4:G7)</f>
        <v>5.3386842773647167</v>
      </c>
      <c r="O3" s="13">
        <f>STDEV(G88:G92,G4:G7)</f>
        <v>3.5885013423012244E-2</v>
      </c>
      <c r="P3" s="19">
        <v>5.3540000000000001</v>
      </c>
      <c r="Q3" s="16" t="s">
        <v>113</v>
      </c>
      <c r="R3" s="14" t="s">
        <v>114</v>
      </c>
    </row>
    <row r="4" spans="1:18">
      <c r="A4" s="18" t="s">
        <v>110</v>
      </c>
      <c r="B4" s="18" t="s">
        <v>112</v>
      </c>
      <c r="C4" t="s">
        <v>4</v>
      </c>
      <c r="D4">
        <v>1739226.08</v>
      </c>
      <c r="E4">
        <v>6407543.8590000002</v>
      </c>
      <c r="F4">
        <v>17.515000000000001</v>
      </c>
      <c r="G4">
        <f t="shared" ref="G4:G67" si="0">F4*0.304800609601</f>
        <v>5.3385826771615159</v>
      </c>
    </row>
    <row r="5" spans="1:18">
      <c r="A5" s="18" t="s">
        <v>110</v>
      </c>
      <c r="B5" s="18" t="s">
        <v>112</v>
      </c>
      <c r="C5" t="s">
        <v>5</v>
      </c>
      <c r="D5">
        <v>1739226.0419999999</v>
      </c>
      <c r="E5">
        <v>6407543.8859999999</v>
      </c>
      <c r="F5">
        <v>17.433</v>
      </c>
      <c r="G5">
        <f t="shared" si="0"/>
        <v>5.3135890271742339</v>
      </c>
    </row>
    <row r="6" spans="1:18">
      <c r="A6" s="18" t="s">
        <v>110</v>
      </c>
      <c r="B6" s="18" t="s">
        <v>112</v>
      </c>
      <c r="C6" t="s">
        <v>6</v>
      </c>
      <c r="D6">
        <v>1739226.05</v>
      </c>
      <c r="E6">
        <v>6407543.8810000001</v>
      </c>
      <c r="F6">
        <v>17.492999999999999</v>
      </c>
      <c r="G6">
        <f t="shared" si="0"/>
        <v>5.3318770637502935</v>
      </c>
    </row>
    <row r="7" spans="1:18">
      <c r="A7" s="18" t="s">
        <v>110</v>
      </c>
      <c r="B7" s="18" t="s">
        <v>112</v>
      </c>
      <c r="C7" t="s">
        <v>7</v>
      </c>
      <c r="D7">
        <v>1739226.034</v>
      </c>
      <c r="E7">
        <v>6407543.8490000004</v>
      </c>
      <c r="F7">
        <v>17.428999999999998</v>
      </c>
      <c r="G7">
        <f t="shared" si="0"/>
        <v>5.3123698247358293</v>
      </c>
    </row>
    <row r="8" spans="1:18">
      <c r="C8" t="s">
        <v>8</v>
      </c>
      <c r="D8">
        <v>1736638.368</v>
      </c>
      <c r="E8">
        <v>6416401.6569999997</v>
      </c>
      <c r="F8">
        <v>2.5390000000000001</v>
      </c>
      <c r="G8">
        <f t="shared" si="0"/>
        <v>0.77388874777693917</v>
      </c>
    </row>
    <row r="9" spans="1:18">
      <c r="C9" t="s">
        <v>9</v>
      </c>
      <c r="D9">
        <v>1736637.5079999999</v>
      </c>
      <c r="E9">
        <v>6416400.9199999999</v>
      </c>
      <c r="F9">
        <v>2.718</v>
      </c>
      <c r="G9">
        <f t="shared" si="0"/>
        <v>0.82844805689551804</v>
      </c>
    </row>
    <row r="10" spans="1:18">
      <c r="C10" t="s">
        <v>10</v>
      </c>
      <c r="D10">
        <v>1736636.7109999999</v>
      </c>
      <c r="E10">
        <v>6416400.2599999998</v>
      </c>
      <c r="F10">
        <v>2.585</v>
      </c>
      <c r="G10">
        <f t="shared" si="0"/>
        <v>0.78790957581858501</v>
      </c>
    </row>
    <row r="11" spans="1:18">
      <c r="C11" t="s">
        <v>11</v>
      </c>
      <c r="D11">
        <v>1736635.7439999999</v>
      </c>
      <c r="E11">
        <v>6416399.4989999998</v>
      </c>
      <c r="F11">
        <v>2.7709999999999999</v>
      </c>
      <c r="G11">
        <f t="shared" si="0"/>
        <v>0.84460248920437109</v>
      </c>
    </row>
    <row r="12" spans="1:18">
      <c r="C12" t="s">
        <v>12</v>
      </c>
      <c r="D12">
        <v>1736634.7390000001</v>
      </c>
      <c r="E12">
        <v>6416398.7709999997</v>
      </c>
      <c r="F12">
        <v>2.992</v>
      </c>
      <c r="G12">
        <f t="shared" si="0"/>
        <v>0.91196342392619212</v>
      </c>
    </row>
    <row r="13" spans="1:18">
      <c r="C13" t="s">
        <v>13</v>
      </c>
      <c r="D13">
        <v>1736634.4169999999</v>
      </c>
      <c r="E13">
        <v>6416398.8380000005</v>
      </c>
      <c r="F13">
        <v>3.714</v>
      </c>
      <c r="G13">
        <f t="shared" si="0"/>
        <v>1.1320294640581141</v>
      </c>
    </row>
    <row r="14" spans="1:18">
      <c r="C14" t="s">
        <v>14</v>
      </c>
      <c r="D14">
        <v>1736634.6910000001</v>
      </c>
      <c r="E14">
        <v>6416399.159</v>
      </c>
      <c r="F14">
        <v>4.4119999999999999</v>
      </c>
      <c r="G14">
        <f t="shared" si="0"/>
        <v>1.3447802895596122</v>
      </c>
    </row>
    <row r="15" spans="1:18">
      <c r="C15" t="s">
        <v>15</v>
      </c>
      <c r="D15">
        <v>1736634.7849999999</v>
      </c>
      <c r="E15">
        <v>6416398.8480000002</v>
      </c>
      <c r="F15">
        <v>4.6619999999999999</v>
      </c>
      <c r="G15">
        <f t="shared" si="0"/>
        <v>1.4209804419598622</v>
      </c>
    </row>
    <row r="16" spans="1:18">
      <c r="C16" t="s">
        <v>16</v>
      </c>
      <c r="D16">
        <v>1736634.598</v>
      </c>
      <c r="E16">
        <v>6416398.7970000003</v>
      </c>
      <c r="F16">
        <v>5.2690000000000001</v>
      </c>
      <c r="G16">
        <f t="shared" si="0"/>
        <v>1.6059944119876692</v>
      </c>
    </row>
    <row r="17" spans="3:7">
      <c r="C17" t="s">
        <v>17</v>
      </c>
      <c r="D17">
        <v>1736634.2709999999</v>
      </c>
      <c r="E17">
        <v>6416398.5439999998</v>
      </c>
      <c r="F17">
        <v>5.4029999999999996</v>
      </c>
      <c r="G17">
        <f t="shared" si="0"/>
        <v>1.6468376936742031</v>
      </c>
    </row>
    <row r="18" spans="3:7">
      <c r="C18" t="s">
        <v>18</v>
      </c>
      <c r="D18">
        <v>1736633.524</v>
      </c>
      <c r="E18">
        <v>6416397.835</v>
      </c>
      <c r="F18">
        <v>5.4569999999999999</v>
      </c>
      <c r="G18">
        <f t="shared" si="0"/>
        <v>1.6632969265926572</v>
      </c>
    </row>
    <row r="19" spans="3:7">
      <c r="C19" t="s">
        <v>19</v>
      </c>
      <c r="D19">
        <v>1736632.3459999999</v>
      </c>
      <c r="E19">
        <v>6416395.7910000002</v>
      </c>
      <c r="F19">
        <v>5.7320000000000002</v>
      </c>
      <c r="G19">
        <f t="shared" si="0"/>
        <v>1.7471170942329322</v>
      </c>
    </row>
    <row r="20" spans="3:7">
      <c r="C20" t="s">
        <v>20</v>
      </c>
      <c r="D20">
        <v>1736631.15</v>
      </c>
      <c r="E20">
        <v>6416393.2510000002</v>
      </c>
      <c r="F20">
        <v>5.71</v>
      </c>
      <c r="G20">
        <f t="shared" si="0"/>
        <v>1.7404114808217102</v>
      </c>
    </row>
    <row r="21" spans="3:7">
      <c r="C21" t="s">
        <v>21</v>
      </c>
      <c r="D21">
        <v>1736629.452</v>
      </c>
      <c r="E21">
        <v>6416390.7620000001</v>
      </c>
      <c r="F21">
        <v>5.8860000000000001</v>
      </c>
      <c r="G21">
        <f t="shared" si="0"/>
        <v>1.7940563881114862</v>
      </c>
    </row>
    <row r="22" spans="3:7">
      <c r="C22" t="s">
        <v>22</v>
      </c>
      <c r="D22">
        <v>1736627.321</v>
      </c>
      <c r="E22">
        <v>6416387.0880000005</v>
      </c>
      <c r="F22">
        <v>5.7610000000000001</v>
      </c>
      <c r="G22">
        <f t="shared" si="0"/>
        <v>1.7559563119113613</v>
      </c>
    </row>
    <row r="23" spans="3:7">
      <c r="C23" t="s">
        <v>23</v>
      </c>
      <c r="D23">
        <v>1736624.5390000001</v>
      </c>
      <c r="E23">
        <v>6416379.6330000004</v>
      </c>
      <c r="F23">
        <v>5.6559999999999997</v>
      </c>
      <c r="G23">
        <f t="shared" si="0"/>
        <v>1.7239522479032561</v>
      </c>
    </row>
    <row r="24" spans="3:7">
      <c r="C24" t="s">
        <v>24</v>
      </c>
      <c r="D24">
        <v>1736620.91</v>
      </c>
      <c r="E24">
        <v>6416373.3169999998</v>
      </c>
      <c r="F24">
        <v>5.5449999999999999</v>
      </c>
      <c r="G24">
        <f t="shared" si="0"/>
        <v>1.6901193802375452</v>
      </c>
    </row>
    <row r="25" spans="3:7">
      <c r="C25" t="s">
        <v>25</v>
      </c>
      <c r="D25">
        <v>1736615.7139999999</v>
      </c>
      <c r="E25">
        <v>6416366.0549999997</v>
      </c>
      <c r="F25">
        <v>5.6420000000000003</v>
      </c>
      <c r="G25">
        <f t="shared" si="0"/>
        <v>1.7196850393688423</v>
      </c>
    </row>
    <row r="26" spans="3:7">
      <c r="C26" t="s">
        <v>26</v>
      </c>
      <c r="D26">
        <v>1736609.0179999999</v>
      </c>
      <c r="E26">
        <v>6416355.8380000005</v>
      </c>
      <c r="F26">
        <v>5.657</v>
      </c>
      <c r="G26">
        <f t="shared" si="0"/>
        <v>1.7242570485128572</v>
      </c>
    </row>
    <row r="27" spans="3:7">
      <c r="C27" t="s">
        <v>27</v>
      </c>
      <c r="D27">
        <v>1736602.659</v>
      </c>
      <c r="E27">
        <v>6416346.1370000001</v>
      </c>
      <c r="F27">
        <v>5.68</v>
      </c>
      <c r="G27">
        <f t="shared" si="0"/>
        <v>1.7312674625336801</v>
      </c>
    </row>
    <row r="28" spans="3:7">
      <c r="C28" t="s">
        <v>28</v>
      </c>
      <c r="D28">
        <v>1736598.084</v>
      </c>
      <c r="E28">
        <v>6416333.9139999999</v>
      </c>
      <c r="F28">
        <v>5.7489999999999997</v>
      </c>
      <c r="G28">
        <f t="shared" si="0"/>
        <v>1.7522987045961491</v>
      </c>
    </row>
    <row r="29" spans="3:7">
      <c r="C29" t="s">
        <v>29</v>
      </c>
      <c r="D29">
        <v>1736595.3859999999</v>
      </c>
      <c r="E29">
        <v>6416325.0760000004</v>
      </c>
      <c r="F29">
        <v>5.7919999999999998</v>
      </c>
      <c r="G29">
        <f t="shared" si="0"/>
        <v>1.7654051308089922</v>
      </c>
    </row>
    <row r="30" spans="3:7">
      <c r="C30" t="s">
        <v>30</v>
      </c>
      <c r="D30">
        <v>1736592.801</v>
      </c>
      <c r="E30">
        <v>6416317.5350000001</v>
      </c>
      <c r="F30">
        <v>5.7539999999999996</v>
      </c>
      <c r="G30">
        <f t="shared" si="0"/>
        <v>1.7538227076441539</v>
      </c>
    </row>
    <row r="31" spans="3:7">
      <c r="C31" t="s">
        <v>31</v>
      </c>
      <c r="D31">
        <v>1736590.314</v>
      </c>
      <c r="E31">
        <v>6416308.1960000005</v>
      </c>
      <c r="F31">
        <v>5.641</v>
      </c>
      <c r="G31">
        <f t="shared" si="0"/>
        <v>1.7193802387592412</v>
      </c>
    </row>
    <row r="32" spans="3:7">
      <c r="C32" t="s">
        <v>32</v>
      </c>
      <c r="D32">
        <v>1736588.3430000001</v>
      </c>
      <c r="E32">
        <v>6416298.1370000001</v>
      </c>
      <c r="F32">
        <v>5.7439999999999998</v>
      </c>
      <c r="G32">
        <f t="shared" si="0"/>
        <v>1.7507747015481441</v>
      </c>
    </row>
    <row r="33" spans="3:7">
      <c r="C33" t="s">
        <v>33</v>
      </c>
      <c r="D33">
        <v>1736587.02</v>
      </c>
      <c r="E33">
        <v>6416288.2910000002</v>
      </c>
      <c r="F33">
        <v>5.7690000000000001</v>
      </c>
      <c r="G33">
        <f t="shared" si="0"/>
        <v>1.7583947167881693</v>
      </c>
    </row>
    <row r="34" spans="3:7">
      <c r="C34" t="s">
        <v>34</v>
      </c>
      <c r="D34">
        <v>1736584.6640000001</v>
      </c>
      <c r="E34">
        <v>6416275.0750000002</v>
      </c>
      <c r="F34">
        <v>5.8879999999999999</v>
      </c>
      <c r="G34">
        <f t="shared" si="0"/>
        <v>1.7946659893306882</v>
      </c>
    </row>
    <row r="35" spans="3:7">
      <c r="C35" t="s">
        <v>35</v>
      </c>
      <c r="D35">
        <v>1736583.014</v>
      </c>
      <c r="E35">
        <v>6416264.7319999998</v>
      </c>
      <c r="F35">
        <v>5.91</v>
      </c>
      <c r="G35">
        <f t="shared" si="0"/>
        <v>1.8013716027419102</v>
      </c>
    </row>
    <row r="36" spans="3:7">
      <c r="C36" t="s">
        <v>36</v>
      </c>
      <c r="D36">
        <v>1736580.4939999999</v>
      </c>
      <c r="E36">
        <v>6416256.1399999997</v>
      </c>
      <c r="F36">
        <v>5.931</v>
      </c>
      <c r="G36">
        <f t="shared" si="0"/>
        <v>1.8077724155435311</v>
      </c>
    </row>
    <row r="37" spans="3:7">
      <c r="C37" t="s">
        <v>37</v>
      </c>
      <c r="D37">
        <v>1736578.5859999999</v>
      </c>
      <c r="E37">
        <v>6416249.8660000004</v>
      </c>
      <c r="F37">
        <v>5.6310000000000002</v>
      </c>
      <c r="G37">
        <f t="shared" si="0"/>
        <v>1.7163322326632313</v>
      </c>
    </row>
    <row r="38" spans="3:7">
      <c r="C38" t="s">
        <v>38</v>
      </c>
      <c r="D38">
        <v>1736577.0889999999</v>
      </c>
      <c r="E38">
        <v>6416246.7520000003</v>
      </c>
      <c r="F38">
        <v>5.81</v>
      </c>
      <c r="G38">
        <f t="shared" si="0"/>
        <v>1.7708915417818101</v>
      </c>
    </row>
    <row r="39" spans="3:7">
      <c r="C39" t="s">
        <v>39</v>
      </c>
      <c r="D39">
        <v>1736576.737</v>
      </c>
      <c r="E39">
        <v>6416245.5930000003</v>
      </c>
      <c r="F39">
        <v>5.6050000000000004</v>
      </c>
      <c r="G39">
        <f t="shared" si="0"/>
        <v>1.7084074168136052</v>
      </c>
    </row>
    <row r="40" spans="3:7">
      <c r="C40" t="s">
        <v>40</v>
      </c>
      <c r="D40">
        <v>1736576.469</v>
      </c>
      <c r="E40">
        <v>6416244.8250000002</v>
      </c>
      <c r="F40">
        <v>5.524</v>
      </c>
      <c r="G40">
        <f t="shared" si="0"/>
        <v>1.6837185674359241</v>
      </c>
    </row>
    <row r="41" spans="3:7">
      <c r="C41" t="s">
        <v>41</v>
      </c>
      <c r="D41">
        <v>1736576.4950000001</v>
      </c>
      <c r="E41">
        <v>6416243.801</v>
      </c>
      <c r="F41">
        <v>5.5090000000000003</v>
      </c>
      <c r="G41">
        <f t="shared" si="0"/>
        <v>1.6791465582919092</v>
      </c>
    </row>
    <row r="42" spans="3:7">
      <c r="C42" t="s">
        <v>42</v>
      </c>
      <c r="D42">
        <v>1736576.611</v>
      </c>
      <c r="E42">
        <v>6416242.6160000004</v>
      </c>
      <c r="F42">
        <v>5.7649999999999997</v>
      </c>
      <c r="G42">
        <f t="shared" si="0"/>
        <v>1.7571755143497652</v>
      </c>
    </row>
    <row r="43" spans="3:7">
      <c r="C43" t="s">
        <v>43</v>
      </c>
      <c r="D43">
        <v>1736575.102</v>
      </c>
      <c r="E43">
        <v>6416235.2149999999</v>
      </c>
      <c r="F43">
        <v>5.7960000000000003</v>
      </c>
      <c r="G43">
        <f t="shared" si="0"/>
        <v>1.7666243332473963</v>
      </c>
    </row>
    <row r="44" spans="3:7">
      <c r="C44" t="s">
        <v>44</v>
      </c>
      <c r="D44">
        <v>1736573.0190000001</v>
      </c>
      <c r="E44">
        <v>6416224.1890000002</v>
      </c>
      <c r="F44">
        <v>5.7290000000000001</v>
      </c>
      <c r="G44">
        <f t="shared" si="0"/>
        <v>1.7462026924041292</v>
      </c>
    </row>
    <row r="45" spans="3:7">
      <c r="C45" t="s">
        <v>45</v>
      </c>
      <c r="D45">
        <v>1736569.9380000001</v>
      </c>
      <c r="E45">
        <v>6416215.6859999998</v>
      </c>
      <c r="F45">
        <v>5.81</v>
      </c>
      <c r="G45">
        <f t="shared" si="0"/>
        <v>1.7708915417818101</v>
      </c>
    </row>
    <row r="46" spans="3:7">
      <c r="C46" t="s">
        <v>46</v>
      </c>
      <c r="D46">
        <v>1736566.233</v>
      </c>
      <c r="E46">
        <v>6416202.4380000001</v>
      </c>
      <c r="F46">
        <v>5.7409999999999997</v>
      </c>
      <c r="G46">
        <f t="shared" si="0"/>
        <v>1.7498602997193411</v>
      </c>
    </row>
    <row r="47" spans="3:7">
      <c r="C47" t="s">
        <v>47</v>
      </c>
      <c r="D47">
        <v>1736562.294</v>
      </c>
      <c r="E47">
        <v>6416194.3590000002</v>
      </c>
      <c r="F47">
        <v>5.6609999999999996</v>
      </c>
      <c r="G47">
        <f t="shared" si="0"/>
        <v>1.7254762509512611</v>
      </c>
    </row>
    <row r="48" spans="3:7">
      <c r="C48" t="s">
        <v>48</v>
      </c>
      <c r="D48">
        <v>1736532.2819999999</v>
      </c>
      <c r="E48">
        <v>6416464.8930000002</v>
      </c>
      <c r="F48">
        <v>2.149</v>
      </c>
      <c r="G48">
        <f t="shared" si="0"/>
        <v>0.65501651003254902</v>
      </c>
    </row>
    <row r="49" spans="3:7">
      <c r="C49" t="s">
        <v>49</v>
      </c>
      <c r="D49">
        <v>1736531.098</v>
      </c>
      <c r="E49">
        <v>6416463.9840000002</v>
      </c>
      <c r="F49">
        <v>2.14</v>
      </c>
      <c r="G49">
        <f t="shared" si="0"/>
        <v>0.65227330454614008</v>
      </c>
    </row>
    <row r="50" spans="3:7">
      <c r="C50" t="s">
        <v>50</v>
      </c>
      <c r="D50">
        <v>1736530.0049999999</v>
      </c>
      <c r="E50">
        <v>6416463.1449999996</v>
      </c>
      <c r="F50">
        <v>2.0950000000000002</v>
      </c>
      <c r="G50">
        <f t="shared" si="0"/>
        <v>0.63855727711409516</v>
      </c>
    </row>
    <row r="51" spans="3:7">
      <c r="C51" t="s">
        <v>51</v>
      </c>
      <c r="D51">
        <v>1736528.392</v>
      </c>
      <c r="E51">
        <v>6416461.7810000004</v>
      </c>
      <c r="F51">
        <v>2.5169999999999999</v>
      </c>
      <c r="G51">
        <f t="shared" si="0"/>
        <v>0.76718313436571706</v>
      </c>
    </row>
    <row r="52" spans="3:7">
      <c r="C52" t="s">
        <v>52</v>
      </c>
      <c r="D52">
        <v>1736528.3770000001</v>
      </c>
      <c r="E52">
        <v>6416461.7110000001</v>
      </c>
      <c r="F52">
        <v>2.41</v>
      </c>
      <c r="G52">
        <f t="shared" si="0"/>
        <v>0.73456946913841015</v>
      </c>
    </row>
    <row r="53" spans="3:7">
      <c r="C53" t="s">
        <v>53</v>
      </c>
      <c r="D53">
        <v>1736527.6410000001</v>
      </c>
      <c r="E53">
        <v>6416460.8459999999</v>
      </c>
      <c r="F53">
        <v>2.9329999999999998</v>
      </c>
      <c r="G53">
        <f t="shared" si="0"/>
        <v>0.893980187959733</v>
      </c>
    </row>
    <row r="54" spans="3:7">
      <c r="C54" t="s">
        <v>54</v>
      </c>
      <c r="D54">
        <v>1736528.4920000001</v>
      </c>
      <c r="E54">
        <v>6416462.2060000002</v>
      </c>
      <c r="F54">
        <v>4.4610000000000003</v>
      </c>
      <c r="G54">
        <f t="shared" si="0"/>
        <v>1.3597155194300612</v>
      </c>
    </row>
    <row r="55" spans="3:7">
      <c r="C55" t="s">
        <v>55</v>
      </c>
      <c r="D55">
        <v>1736527.0819999999</v>
      </c>
      <c r="E55">
        <v>6416461.1440000003</v>
      </c>
      <c r="F55">
        <v>5.157</v>
      </c>
      <c r="G55">
        <f t="shared" si="0"/>
        <v>1.5718567437123572</v>
      </c>
    </row>
    <row r="56" spans="3:7">
      <c r="C56" t="s">
        <v>56</v>
      </c>
      <c r="D56">
        <v>1736525.41</v>
      </c>
      <c r="E56">
        <v>6416459.0520000001</v>
      </c>
      <c r="F56">
        <v>5.5049999999999999</v>
      </c>
      <c r="G56">
        <f t="shared" si="0"/>
        <v>1.6779273558535051</v>
      </c>
    </row>
    <row r="57" spans="3:7">
      <c r="C57" t="s">
        <v>57</v>
      </c>
      <c r="D57">
        <v>1736524.338</v>
      </c>
      <c r="E57">
        <v>6416458.5319999997</v>
      </c>
      <c r="F57">
        <v>5.5149999999999997</v>
      </c>
      <c r="G57">
        <f t="shared" si="0"/>
        <v>1.6809753619495151</v>
      </c>
    </row>
    <row r="58" spans="3:7">
      <c r="C58" t="s">
        <v>58</v>
      </c>
      <c r="D58">
        <v>1736522.5090000001</v>
      </c>
      <c r="E58">
        <v>6416454.2709999997</v>
      </c>
      <c r="F58">
        <v>5.5910000000000002</v>
      </c>
      <c r="G58">
        <f t="shared" si="0"/>
        <v>1.7041402082791912</v>
      </c>
    </row>
    <row r="59" spans="3:7">
      <c r="C59" t="s">
        <v>59</v>
      </c>
      <c r="D59">
        <v>1736519.9310000001</v>
      </c>
      <c r="E59">
        <v>6416448.7630000003</v>
      </c>
      <c r="F59">
        <v>5.6970000000000001</v>
      </c>
      <c r="G59">
        <f t="shared" si="0"/>
        <v>1.7364490728968971</v>
      </c>
    </row>
    <row r="60" spans="3:7">
      <c r="C60" t="s">
        <v>60</v>
      </c>
      <c r="D60">
        <v>1736517.1059999999</v>
      </c>
      <c r="E60">
        <v>6416443.9970000004</v>
      </c>
      <c r="F60">
        <v>5.7119999999999997</v>
      </c>
      <c r="G60">
        <f t="shared" si="0"/>
        <v>1.741021082040912</v>
      </c>
    </row>
    <row r="61" spans="3:7">
      <c r="C61" t="s">
        <v>61</v>
      </c>
      <c r="D61">
        <v>1736514.067</v>
      </c>
      <c r="E61">
        <v>6416439.068</v>
      </c>
      <c r="F61">
        <v>5.6180000000000003</v>
      </c>
      <c r="G61">
        <f t="shared" si="0"/>
        <v>1.7123698247384183</v>
      </c>
    </row>
    <row r="62" spans="3:7">
      <c r="C62" t="s">
        <v>62</v>
      </c>
      <c r="D62">
        <v>1736508.9879999999</v>
      </c>
      <c r="E62">
        <v>6416430.5779999997</v>
      </c>
      <c r="F62">
        <v>5.78</v>
      </c>
      <c r="G62">
        <f t="shared" si="0"/>
        <v>1.7617475234937803</v>
      </c>
    </row>
    <row r="63" spans="3:7">
      <c r="C63" t="s">
        <v>63</v>
      </c>
      <c r="D63">
        <v>1736506.3289999999</v>
      </c>
      <c r="E63">
        <v>6416423.3700000001</v>
      </c>
      <c r="F63">
        <v>5.6760000000000002</v>
      </c>
      <c r="G63">
        <f t="shared" si="0"/>
        <v>1.7300482600952762</v>
      </c>
    </row>
    <row r="64" spans="3:7">
      <c r="C64" t="s">
        <v>64</v>
      </c>
      <c r="D64">
        <v>1736501.7279999999</v>
      </c>
      <c r="E64">
        <v>6416417.0329999998</v>
      </c>
      <c r="F64">
        <v>5.7190000000000003</v>
      </c>
      <c r="G64">
        <f t="shared" si="0"/>
        <v>1.7431546863081193</v>
      </c>
    </row>
    <row r="65" spans="3:7">
      <c r="C65" t="s">
        <v>65</v>
      </c>
      <c r="D65">
        <v>1736495.713</v>
      </c>
      <c r="E65">
        <v>6416408.6260000002</v>
      </c>
      <c r="F65">
        <v>5.7690000000000001</v>
      </c>
      <c r="G65">
        <f t="shared" si="0"/>
        <v>1.7583947167881693</v>
      </c>
    </row>
    <row r="66" spans="3:7">
      <c r="C66" t="s">
        <v>66</v>
      </c>
      <c r="D66">
        <v>1736490.2509999999</v>
      </c>
      <c r="E66">
        <v>6416397.8059999999</v>
      </c>
      <c r="F66">
        <v>5.7510000000000003</v>
      </c>
      <c r="G66">
        <f t="shared" si="0"/>
        <v>1.7529083058153512</v>
      </c>
    </row>
    <row r="67" spans="3:7">
      <c r="C67" t="s">
        <v>67</v>
      </c>
      <c r="D67">
        <v>1736482.42</v>
      </c>
      <c r="E67">
        <v>6416385.6210000003</v>
      </c>
      <c r="F67">
        <v>5.6950000000000003</v>
      </c>
      <c r="G67">
        <f t="shared" si="0"/>
        <v>1.7358394716776953</v>
      </c>
    </row>
    <row r="68" spans="3:7">
      <c r="C68" t="s">
        <v>68</v>
      </c>
      <c r="D68">
        <v>1736476.746</v>
      </c>
      <c r="E68">
        <v>6416374.6869999999</v>
      </c>
      <c r="F68">
        <v>5.7759999999999998</v>
      </c>
      <c r="G68">
        <f t="shared" ref="G68:G92" si="1">F68*0.304800609601</f>
        <v>1.7605283210553762</v>
      </c>
    </row>
    <row r="69" spans="3:7">
      <c r="C69" t="s">
        <v>69</v>
      </c>
      <c r="D69">
        <v>1736469.8470000001</v>
      </c>
      <c r="E69">
        <v>6416363.2939999998</v>
      </c>
      <c r="F69">
        <v>5.9080000000000004</v>
      </c>
      <c r="G69">
        <f t="shared" si="1"/>
        <v>1.8007620015227084</v>
      </c>
    </row>
    <row r="70" spans="3:7">
      <c r="C70" t="s">
        <v>70</v>
      </c>
      <c r="D70">
        <v>1736466.3060000001</v>
      </c>
      <c r="E70">
        <v>6416355.7560000001</v>
      </c>
      <c r="F70">
        <v>5.9329999999999998</v>
      </c>
      <c r="G70">
        <f t="shared" si="1"/>
        <v>1.8083820167627331</v>
      </c>
    </row>
    <row r="71" spans="3:7">
      <c r="C71" t="s">
        <v>71</v>
      </c>
      <c r="D71">
        <v>1736461.898</v>
      </c>
      <c r="E71">
        <v>6416348.2560000001</v>
      </c>
      <c r="F71">
        <v>5.8220000000000001</v>
      </c>
      <c r="G71">
        <f t="shared" si="1"/>
        <v>1.7745491490970222</v>
      </c>
    </row>
    <row r="72" spans="3:7">
      <c r="C72" t="s">
        <v>72</v>
      </c>
      <c r="D72">
        <v>1736457.82</v>
      </c>
      <c r="E72">
        <v>6416337.8470000001</v>
      </c>
      <c r="F72">
        <v>5.6210000000000004</v>
      </c>
      <c r="G72">
        <f t="shared" si="1"/>
        <v>1.7132842265672212</v>
      </c>
    </row>
    <row r="73" spans="3:7">
      <c r="C73" t="s">
        <v>73</v>
      </c>
      <c r="D73">
        <v>1736451.6980000001</v>
      </c>
      <c r="E73">
        <v>6416326.0769999996</v>
      </c>
      <c r="F73">
        <v>5.7759999999999998</v>
      </c>
      <c r="G73">
        <f t="shared" si="1"/>
        <v>1.7605283210553762</v>
      </c>
    </row>
    <row r="74" spans="3:7">
      <c r="C74" t="s">
        <v>74</v>
      </c>
      <c r="D74">
        <v>1736447.85</v>
      </c>
      <c r="E74">
        <v>6416316.6359999999</v>
      </c>
      <c r="F74">
        <v>5.6219999999999999</v>
      </c>
      <c r="G74">
        <f t="shared" si="1"/>
        <v>1.7135890271768222</v>
      </c>
    </row>
    <row r="75" spans="3:7">
      <c r="C75" t="s">
        <v>75</v>
      </c>
      <c r="D75">
        <v>1736446.0220000001</v>
      </c>
      <c r="E75">
        <v>6416307.0480000004</v>
      </c>
      <c r="F75">
        <v>5.6189999999999998</v>
      </c>
      <c r="G75">
        <f t="shared" si="1"/>
        <v>1.7126746253480192</v>
      </c>
    </row>
    <row r="76" spans="3:7">
      <c r="C76" t="s">
        <v>76</v>
      </c>
      <c r="D76">
        <v>1736444.0919999999</v>
      </c>
      <c r="E76">
        <v>6416297.432</v>
      </c>
      <c r="F76">
        <v>5.6260000000000003</v>
      </c>
      <c r="G76">
        <f t="shared" si="1"/>
        <v>1.7148082296152263</v>
      </c>
    </row>
    <row r="77" spans="3:7">
      <c r="C77" t="s">
        <v>77</v>
      </c>
      <c r="D77">
        <v>1736442.2080000001</v>
      </c>
      <c r="E77">
        <v>6416289.2529999996</v>
      </c>
      <c r="F77">
        <v>5.5789999999999997</v>
      </c>
      <c r="G77">
        <f t="shared" si="1"/>
        <v>1.7004826009639791</v>
      </c>
    </row>
    <row r="78" spans="3:7">
      <c r="C78" t="s">
        <v>78</v>
      </c>
      <c r="D78">
        <v>1736438.817</v>
      </c>
      <c r="E78">
        <v>6416278.1430000002</v>
      </c>
      <c r="F78">
        <v>5.5670000000000002</v>
      </c>
      <c r="G78">
        <f t="shared" si="1"/>
        <v>1.6968249936487672</v>
      </c>
    </row>
    <row r="79" spans="3:7">
      <c r="C79" t="s">
        <v>79</v>
      </c>
      <c r="D79">
        <v>1736438.858</v>
      </c>
      <c r="E79">
        <v>6416278.1069999998</v>
      </c>
      <c r="F79">
        <v>5.6159999999999997</v>
      </c>
      <c r="G79">
        <f t="shared" si="1"/>
        <v>1.711760223519216</v>
      </c>
    </row>
    <row r="80" spans="3:7">
      <c r="C80" t="s">
        <v>80</v>
      </c>
      <c r="D80">
        <v>1736435.2890000001</v>
      </c>
      <c r="E80">
        <v>6416267.9529999997</v>
      </c>
      <c r="F80">
        <v>5.4960000000000004</v>
      </c>
      <c r="G80">
        <f t="shared" si="1"/>
        <v>1.6751841503670963</v>
      </c>
    </row>
    <row r="81" spans="1:7">
      <c r="C81" t="s">
        <v>81</v>
      </c>
      <c r="D81">
        <v>1736435.355</v>
      </c>
      <c r="E81">
        <v>6416267.9649999999</v>
      </c>
      <c r="F81">
        <v>5.5579999999999998</v>
      </c>
      <c r="G81">
        <f t="shared" si="1"/>
        <v>1.694081788162358</v>
      </c>
    </row>
    <row r="82" spans="1:7">
      <c r="C82" t="s">
        <v>82</v>
      </c>
      <c r="D82">
        <v>1736434.5190000001</v>
      </c>
      <c r="E82">
        <v>6416265.21</v>
      </c>
      <c r="F82">
        <v>5.1289999999999996</v>
      </c>
      <c r="G82">
        <f t="shared" si="1"/>
        <v>1.563322326643529</v>
      </c>
    </row>
    <row r="83" spans="1:7">
      <c r="C83" t="s">
        <v>83</v>
      </c>
      <c r="D83">
        <v>1736434.5390000001</v>
      </c>
      <c r="E83">
        <v>6416264.4280000003</v>
      </c>
      <c r="F83">
        <v>5.617</v>
      </c>
      <c r="G83">
        <f t="shared" si="1"/>
        <v>1.7120650241288171</v>
      </c>
    </row>
    <row r="84" spans="1:7">
      <c r="C84" t="s">
        <v>84</v>
      </c>
      <c r="D84">
        <v>1736434.263</v>
      </c>
      <c r="E84">
        <v>6416261.4970000004</v>
      </c>
      <c r="F84">
        <v>5.6310000000000002</v>
      </c>
      <c r="G84">
        <f t="shared" si="1"/>
        <v>1.7163322326632313</v>
      </c>
    </row>
    <row r="85" spans="1:7">
      <c r="C85" t="s">
        <v>85</v>
      </c>
      <c r="D85">
        <v>1736432.3810000001</v>
      </c>
      <c r="E85">
        <v>6416254.7690000003</v>
      </c>
      <c r="F85">
        <v>5.6360000000000001</v>
      </c>
      <c r="G85">
        <f t="shared" si="1"/>
        <v>1.7178562357112361</v>
      </c>
    </row>
    <row r="86" spans="1:7">
      <c r="C86" t="s">
        <v>86</v>
      </c>
      <c r="D86">
        <v>1736432.497</v>
      </c>
      <c r="E86">
        <v>6416254.7130000005</v>
      </c>
      <c r="F86">
        <v>5.97</v>
      </c>
      <c r="G86">
        <f t="shared" si="1"/>
        <v>1.81965963931797</v>
      </c>
    </row>
    <row r="87" spans="1:7">
      <c r="C87" t="s">
        <v>87</v>
      </c>
      <c r="D87">
        <v>1736430.73</v>
      </c>
      <c r="E87">
        <v>6416249.2230000002</v>
      </c>
      <c r="F87">
        <v>5.73</v>
      </c>
      <c r="G87">
        <f t="shared" si="1"/>
        <v>1.7465074930137303</v>
      </c>
    </row>
    <row r="88" spans="1:7">
      <c r="A88" s="18" t="s">
        <v>110</v>
      </c>
      <c r="B88" s="18" t="s">
        <v>112</v>
      </c>
      <c r="C88" t="s">
        <v>88</v>
      </c>
      <c r="D88">
        <v>1739225.9990000001</v>
      </c>
      <c r="E88">
        <v>6407544.0489999996</v>
      </c>
      <c r="F88">
        <v>17.731000000000002</v>
      </c>
      <c r="G88">
        <f t="shared" si="1"/>
        <v>5.4044196088353322</v>
      </c>
    </row>
    <row r="89" spans="1:7">
      <c r="A89" s="18" t="s">
        <v>110</v>
      </c>
      <c r="B89" s="18" t="s">
        <v>112</v>
      </c>
      <c r="C89" t="s">
        <v>89</v>
      </c>
      <c r="D89">
        <v>1739225.9310000001</v>
      </c>
      <c r="E89">
        <v>6407544.1469999999</v>
      </c>
      <c r="F89">
        <v>17.666</v>
      </c>
      <c r="G89">
        <f t="shared" si="1"/>
        <v>5.3846075692112665</v>
      </c>
    </row>
    <row r="90" spans="1:7">
      <c r="A90" s="18" t="s">
        <v>110</v>
      </c>
      <c r="B90" s="18" t="s">
        <v>112</v>
      </c>
      <c r="C90" t="s">
        <v>90</v>
      </c>
      <c r="D90">
        <v>1739225.936</v>
      </c>
      <c r="E90">
        <v>6407544.0970000001</v>
      </c>
      <c r="F90">
        <v>17.420999999999999</v>
      </c>
      <c r="G90">
        <f t="shared" si="1"/>
        <v>5.3099314198590211</v>
      </c>
    </row>
    <row r="91" spans="1:7">
      <c r="A91" s="18" t="s">
        <v>110</v>
      </c>
      <c r="B91" s="18" t="s">
        <v>112</v>
      </c>
      <c r="C91" t="s">
        <v>91</v>
      </c>
      <c r="D91">
        <v>1739226.0049999999</v>
      </c>
      <c r="E91">
        <v>6407543.9450000003</v>
      </c>
      <c r="F91">
        <v>17.388999999999999</v>
      </c>
      <c r="G91">
        <f t="shared" si="1"/>
        <v>5.300177800351789</v>
      </c>
    </row>
    <row r="92" spans="1:7">
      <c r="A92" s="18" t="s">
        <v>110</v>
      </c>
      <c r="B92" s="18" t="s">
        <v>112</v>
      </c>
      <c r="C92" t="s">
        <v>92</v>
      </c>
      <c r="D92">
        <v>1739226.0060000001</v>
      </c>
      <c r="E92">
        <v>6407543.9840000002</v>
      </c>
      <c r="F92">
        <v>17.561</v>
      </c>
      <c r="G92">
        <f t="shared" si="1"/>
        <v>5.3526035052031613</v>
      </c>
    </row>
  </sheetData>
  <mergeCells count="2">
    <mergeCell ref="J1:O1"/>
    <mergeCell ref="P1:R1"/>
  </mergeCells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0F7C5-72E2-4DB0-A203-6ADE742A90DA}">
  <dimension ref="A1:R90"/>
  <sheetViews>
    <sheetView workbookViewId="0">
      <selection activeCell="N7" sqref="N7"/>
    </sheetView>
  </sheetViews>
  <sheetFormatPr defaultRowHeight="15"/>
  <cols>
    <col min="10" max="10" width="3.7109375" bestFit="1" customWidth="1"/>
    <col min="11" max="11" width="10.5703125" bestFit="1" customWidth="1"/>
    <col min="12" max="12" width="23.28515625" bestFit="1" customWidth="1"/>
    <col min="13" max="13" width="7.5703125" bestFit="1" customWidth="1"/>
    <col min="14" max="14" width="11.42578125" bestFit="1" customWidth="1"/>
    <col min="15" max="15" width="9.5703125" customWidth="1"/>
    <col min="16" max="16" width="22.85546875" bestFit="1" customWidth="1"/>
    <col min="17" max="17" width="22.85546875" customWidth="1"/>
    <col min="18" max="18" width="13.5703125" bestFit="1" customWidth="1"/>
  </cols>
  <sheetData>
    <row r="1" spans="1:18">
      <c r="A1" t="s">
        <v>93</v>
      </c>
      <c r="B1" t="s">
        <v>111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J1" s="20"/>
      <c r="K1" s="21"/>
      <c r="L1" s="20"/>
      <c r="M1" s="20"/>
      <c r="N1" s="20"/>
      <c r="O1" s="20"/>
      <c r="P1" s="20"/>
      <c r="Q1" s="22"/>
      <c r="R1" s="22"/>
    </row>
    <row r="2" spans="1:18">
      <c r="A2" s="18" t="s">
        <v>110</v>
      </c>
      <c r="B2" s="18" t="s">
        <v>112</v>
      </c>
      <c r="C2" t="s">
        <v>4</v>
      </c>
      <c r="D2">
        <v>1739226.08</v>
      </c>
      <c r="E2">
        <v>6407543.8590000002</v>
      </c>
      <c r="F2">
        <v>17.515000000000001</v>
      </c>
      <c r="G2">
        <f t="shared" ref="G2:G65" si="0">F2*0.304800609601</f>
        <v>5.3385826771615159</v>
      </c>
      <c r="J2" s="20"/>
      <c r="K2" s="20"/>
      <c r="L2" s="20"/>
      <c r="M2" s="20"/>
      <c r="N2" s="20"/>
      <c r="O2" s="20"/>
      <c r="P2" s="20"/>
      <c r="Q2" s="20"/>
      <c r="R2" s="20"/>
    </row>
    <row r="3" spans="1:18">
      <c r="A3" s="18" t="s">
        <v>110</v>
      </c>
      <c r="B3" s="18" t="s">
        <v>112</v>
      </c>
      <c r="C3" t="s">
        <v>5</v>
      </c>
      <c r="D3">
        <v>1739226.0419999999</v>
      </c>
      <c r="E3">
        <v>6407543.8859999999</v>
      </c>
      <c r="F3">
        <v>17.433</v>
      </c>
      <c r="G3">
        <f t="shared" si="0"/>
        <v>5.3135890271742339</v>
      </c>
    </row>
    <row r="4" spans="1:18">
      <c r="A4" s="18" t="s">
        <v>110</v>
      </c>
      <c r="B4" s="18" t="s">
        <v>112</v>
      </c>
      <c r="C4" t="s">
        <v>6</v>
      </c>
      <c r="D4">
        <v>1739226.05</v>
      </c>
      <c r="E4">
        <v>6407543.8810000001</v>
      </c>
      <c r="F4">
        <v>17.492999999999999</v>
      </c>
      <c r="G4">
        <f t="shared" si="0"/>
        <v>5.3318770637502935</v>
      </c>
    </row>
    <row r="5" spans="1:18">
      <c r="A5" s="18" t="s">
        <v>110</v>
      </c>
      <c r="B5" s="18" t="s">
        <v>112</v>
      </c>
      <c r="C5" t="s">
        <v>7</v>
      </c>
      <c r="D5">
        <v>1739226.034</v>
      </c>
      <c r="E5">
        <v>6407543.8490000004</v>
      </c>
      <c r="F5">
        <v>17.428999999999998</v>
      </c>
      <c r="G5">
        <f t="shared" si="0"/>
        <v>5.3123698247358293</v>
      </c>
    </row>
    <row r="6" spans="1:18">
      <c r="C6" t="s">
        <v>8</v>
      </c>
      <c r="D6">
        <v>1736638.368</v>
      </c>
      <c r="E6">
        <v>6416401.6569999997</v>
      </c>
      <c r="F6">
        <v>2.5390000000000001</v>
      </c>
      <c r="G6">
        <f t="shared" si="0"/>
        <v>0.77388874777693917</v>
      </c>
    </row>
    <row r="7" spans="1:18">
      <c r="C7" t="s">
        <v>9</v>
      </c>
      <c r="D7">
        <v>1736637.5079999999</v>
      </c>
      <c r="E7">
        <v>6416400.9199999999</v>
      </c>
      <c r="F7">
        <v>2.718</v>
      </c>
      <c r="G7">
        <f t="shared" si="0"/>
        <v>0.82844805689551804</v>
      </c>
    </row>
    <row r="8" spans="1:18">
      <c r="C8" t="s">
        <v>10</v>
      </c>
      <c r="D8">
        <v>1736636.7109999999</v>
      </c>
      <c r="E8">
        <v>6416400.2599999998</v>
      </c>
      <c r="F8">
        <v>2.585</v>
      </c>
      <c r="G8">
        <f t="shared" si="0"/>
        <v>0.78790957581858501</v>
      </c>
    </row>
    <row r="9" spans="1:18">
      <c r="C9" t="s">
        <v>11</v>
      </c>
      <c r="D9">
        <v>1736635.7439999999</v>
      </c>
      <c r="E9">
        <v>6416399.4989999998</v>
      </c>
      <c r="F9">
        <v>2.7709999999999999</v>
      </c>
      <c r="G9">
        <f t="shared" si="0"/>
        <v>0.84460248920437109</v>
      </c>
    </row>
    <row r="10" spans="1:18">
      <c r="C10" t="s">
        <v>12</v>
      </c>
      <c r="D10">
        <v>1736634.7390000001</v>
      </c>
      <c r="E10">
        <v>6416398.7709999997</v>
      </c>
      <c r="F10">
        <v>2.992</v>
      </c>
      <c r="G10">
        <f t="shared" si="0"/>
        <v>0.91196342392619212</v>
      </c>
    </row>
    <row r="11" spans="1:18">
      <c r="C11" t="s">
        <v>13</v>
      </c>
      <c r="D11">
        <v>1736634.4169999999</v>
      </c>
      <c r="E11">
        <v>6416398.8380000005</v>
      </c>
      <c r="F11">
        <v>3.714</v>
      </c>
      <c r="G11">
        <f t="shared" si="0"/>
        <v>1.1320294640581141</v>
      </c>
    </row>
    <row r="12" spans="1:18">
      <c r="C12" t="s">
        <v>14</v>
      </c>
      <c r="D12">
        <v>1736634.6910000001</v>
      </c>
      <c r="E12">
        <v>6416399.159</v>
      </c>
      <c r="F12">
        <v>4.4119999999999999</v>
      </c>
      <c r="G12">
        <f t="shared" si="0"/>
        <v>1.3447802895596122</v>
      </c>
    </row>
    <row r="13" spans="1:18">
      <c r="C13" t="s">
        <v>15</v>
      </c>
      <c r="D13">
        <v>1736634.7849999999</v>
      </c>
      <c r="E13">
        <v>6416398.8480000002</v>
      </c>
      <c r="F13">
        <v>4.6619999999999999</v>
      </c>
      <c r="G13">
        <f t="shared" si="0"/>
        <v>1.4209804419598622</v>
      </c>
    </row>
    <row r="14" spans="1:18">
      <c r="C14" t="s">
        <v>16</v>
      </c>
      <c r="D14">
        <v>1736634.598</v>
      </c>
      <c r="E14">
        <v>6416398.7970000003</v>
      </c>
      <c r="F14">
        <v>5.2690000000000001</v>
      </c>
      <c r="G14">
        <f t="shared" si="0"/>
        <v>1.6059944119876692</v>
      </c>
    </row>
    <row r="15" spans="1:18">
      <c r="C15" t="s">
        <v>17</v>
      </c>
      <c r="D15">
        <v>1736634.2709999999</v>
      </c>
      <c r="E15">
        <v>6416398.5439999998</v>
      </c>
      <c r="F15">
        <v>5.4029999999999996</v>
      </c>
      <c r="G15">
        <f t="shared" si="0"/>
        <v>1.6468376936742031</v>
      </c>
    </row>
    <row r="16" spans="1:18">
      <c r="C16" t="s">
        <v>18</v>
      </c>
      <c r="D16">
        <v>1736633.524</v>
      </c>
      <c r="E16">
        <v>6416397.835</v>
      </c>
      <c r="F16">
        <v>5.4569999999999999</v>
      </c>
      <c r="G16">
        <f t="shared" si="0"/>
        <v>1.6632969265926572</v>
      </c>
    </row>
    <row r="17" spans="3:7">
      <c r="C17" t="s">
        <v>19</v>
      </c>
      <c r="D17">
        <v>1736632.3459999999</v>
      </c>
      <c r="E17">
        <v>6416395.7910000002</v>
      </c>
      <c r="F17">
        <v>5.7320000000000002</v>
      </c>
      <c r="G17">
        <f t="shared" si="0"/>
        <v>1.7471170942329322</v>
      </c>
    </row>
    <row r="18" spans="3:7">
      <c r="C18" t="s">
        <v>20</v>
      </c>
      <c r="D18">
        <v>1736631.15</v>
      </c>
      <c r="E18">
        <v>6416393.2510000002</v>
      </c>
      <c r="F18">
        <v>5.71</v>
      </c>
      <c r="G18">
        <f t="shared" si="0"/>
        <v>1.7404114808217102</v>
      </c>
    </row>
    <row r="19" spans="3:7">
      <c r="C19" t="s">
        <v>21</v>
      </c>
      <c r="D19">
        <v>1736629.452</v>
      </c>
      <c r="E19">
        <v>6416390.7620000001</v>
      </c>
      <c r="F19">
        <v>5.8860000000000001</v>
      </c>
      <c r="G19">
        <f t="shared" si="0"/>
        <v>1.7940563881114862</v>
      </c>
    </row>
    <row r="20" spans="3:7">
      <c r="C20" t="s">
        <v>22</v>
      </c>
      <c r="D20">
        <v>1736627.321</v>
      </c>
      <c r="E20">
        <v>6416387.0880000005</v>
      </c>
      <c r="F20">
        <v>5.7610000000000001</v>
      </c>
      <c r="G20">
        <f t="shared" si="0"/>
        <v>1.7559563119113613</v>
      </c>
    </row>
    <row r="21" spans="3:7">
      <c r="C21" t="s">
        <v>23</v>
      </c>
      <c r="D21">
        <v>1736624.5390000001</v>
      </c>
      <c r="E21">
        <v>6416379.6330000004</v>
      </c>
      <c r="F21">
        <v>5.6559999999999997</v>
      </c>
      <c r="G21">
        <f t="shared" si="0"/>
        <v>1.7239522479032561</v>
      </c>
    </row>
    <row r="22" spans="3:7">
      <c r="C22" t="s">
        <v>24</v>
      </c>
      <c r="D22">
        <v>1736620.91</v>
      </c>
      <c r="E22">
        <v>6416373.3169999998</v>
      </c>
      <c r="F22">
        <v>5.5449999999999999</v>
      </c>
      <c r="G22">
        <f t="shared" si="0"/>
        <v>1.6901193802375452</v>
      </c>
    </row>
    <row r="23" spans="3:7">
      <c r="C23" t="s">
        <v>25</v>
      </c>
      <c r="D23">
        <v>1736615.7139999999</v>
      </c>
      <c r="E23">
        <v>6416366.0549999997</v>
      </c>
      <c r="F23">
        <v>5.6420000000000003</v>
      </c>
      <c r="G23">
        <f t="shared" si="0"/>
        <v>1.7196850393688423</v>
      </c>
    </row>
    <row r="24" spans="3:7">
      <c r="C24" t="s">
        <v>26</v>
      </c>
      <c r="D24">
        <v>1736609.0179999999</v>
      </c>
      <c r="E24">
        <v>6416355.8380000005</v>
      </c>
      <c r="F24">
        <v>5.657</v>
      </c>
      <c r="G24">
        <f t="shared" si="0"/>
        <v>1.7242570485128572</v>
      </c>
    </row>
    <row r="25" spans="3:7">
      <c r="C25" t="s">
        <v>27</v>
      </c>
      <c r="D25">
        <v>1736602.659</v>
      </c>
      <c r="E25">
        <v>6416346.1370000001</v>
      </c>
      <c r="F25">
        <v>5.68</v>
      </c>
      <c r="G25">
        <f t="shared" si="0"/>
        <v>1.7312674625336801</v>
      </c>
    </row>
    <row r="26" spans="3:7">
      <c r="C26" t="s">
        <v>28</v>
      </c>
      <c r="D26">
        <v>1736598.084</v>
      </c>
      <c r="E26">
        <v>6416333.9139999999</v>
      </c>
      <c r="F26">
        <v>5.7489999999999997</v>
      </c>
      <c r="G26">
        <f t="shared" si="0"/>
        <v>1.7522987045961491</v>
      </c>
    </row>
    <row r="27" spans="3:7">
      <c r="C27" t="s">
        <v>29</v>
      </c>
      <c r="D27">
        <v>1736595.3859999999</v>
      </c>
      <c r="E27">
        <v>6416325.0760000004</v>
      </c>
      <c r="F27">
        <v>5.7919999999999998</v>
      </c>
      <c r="G27">
        <f t="shared" si="0"/>
        <v>1.7654051308089922</v>
      </c>
    </row>
    <row r="28" spans="3:7">
      <c r="C28" t="s">
        <v>30</v>
      </c>
      <c r="D28">
        <v>1736592.801</v>
      </c>
      <c r="E28">
        <v>6416317.5350000001</v>
      </c>
      <c r="F28">
        <v>5.7539999999999996</v>
      </c>
      <c r="G28">
        <f t="shared" si="0"/>
        <v>1.7538227076441539</v>
      </c>
    </row>
    <row r="29" spans="3:7">
      <c r="C29" t="s">
        <v>31</v>
      </c>
      <c r="D29">
        <v>1736590.314</v>
      </c>
      <c r="E29">
        <v>6416308.1960000005</v>
      </c>
      <c r="F29">
        <v>5.641</v>
      </c>
      <c r="G29">
        <f t="shared" si="0"/>
        <v>1.7193802387592412</v>
      </c>
    </row>
    <row r="30" spans="3:7">
      <c r="C30" t="s">
        <v>32</v>
      </c>
      <c r="D30">
        <v>1736588.3430000001</v>
      </c>
      <c r="E30">
        <v>6416298.1370000001</v>
      </c>
      <c r="F30">
        <v>5.7439999999999998</v>
      </c>
      <c r="G30">
        <f t="shared" si="0"/>
        <v>1.7507747015481441</v>
      </c>
    </row>
    <row r="31" spans="3:7">
      <c r="C31" t="s">
        <v>33</v>
      </c>
      <c r="D31">
        <v>1736587.02</v>
      </c>
      <c r="E31">
        <v>6416288.2910000002</v>
      </c>
      <c r="F31">
        <v>5.7690000000000001</v>
      </c>
      <c r="G31">
        <f t="shared" si="0"/>
        <v>1.7583947167881693</v>
      </c>
    </row>
    <row r="32" spans="3:7">
      <c r="C32" t="s">
        <v>34</v>
      </c>
      <c r="D32">
        <v>1736584.6640000001</v>
      </c>
      <c r="E32">
        <v>6416275.0750000002</v>
      </c>
      <c r="F32">
        <v>5.8879999999999999</v>
      </c>
      <c r="G32">
        <f t="shared" si="0"/>
        <v>1.7946659893306882</v>
      </c>
    </row>
    <row r="33" spans="3:7">
      <c r="C33" t="s">
        <v>35</v>
      </c>
      <c r="D33">
        <v>1736583.014</v>
      </c>
      <c r="E33">
        <v>6416264.7319999998</v>
      </c>
      <c r="F33">
        <v>5.91</v>
      </c>
      <c r="G33">
        <f t="shared" si="0"/>
        <v>1.8013716027419102</v>
      </c>
    </row>
    <row r="34" spans="3:7">
      <c r="C34" t="s">
        <v>36</v>
      </c>
      <c r="D34">
        <v>1736580.4939999999</v>
      </c>
      <c r="E34">
        <v>6416256.1399999997</v>
      </c>
      <c r="F34">
        <v>5.931</v>
      </c>
      <c r="G34">
        <f t="shared" si="0"/>
        <v>1.8077724155435311</v>
      </c>
    </row>
    <row r="35" spans="3:7">
      <c r="C35" t="s">
        <v>37</v>
      </c>
      <c r="D35">
        <v>1736578.5859999999</v>
      </c>
      <c r="E35">
        <v>6416249.8660000004</v>
      </c>
      <c r="F35">
        <v>5.6310000000000002</v>
      </c>
      <c r="G35">
        <f t="shared" si="0"/>
        <v>1.7163322326632313</v>
      </c>
    </row>
    <row r="36" spans="3:7">
      <c r="C36" t="s">
        <v>38</v>
      </c>
      <c r="D36">
        <v>1736577.0889999999</v>
      </c>
      <c r="E36">
        <v>6416246.7520000003</v>
      </c>
      <c r="F36">
        <v>5.81</v>
      </c>
      <c r="G36">
        <f t="shared" si="0"/>
        <v>1.7708915417818101</v>
      </c>
    </row>
    <row r="37" spans="3:7">
      <c r="C37" t="s">
        <v>39</v>
      </c>
      <c r="D37">
        <v>1736576.737</v>
      </c>
      <c r="E37">
        <v>6416245.5930000003</v>
      </c>
      <c r="F37">
        <v>5.6050000000000004</v>
      </c>
      <c r="G37">
        <f t="shared" si="0"/>
        <v>1.7084074168136052</v>
      </c>
    </row>
    <row r="38" spans="3:7">
      <c r="C38" t="s">
        <v>40</v>
      </c>
      <c r="D38">
        <v>1736576.469</v>
      </c>
      <c r="E38">
        <v>6416244.8250000002</v>
      </c>
      <c r="F38">
        <v>5.524</v>
      </c>
      <c r="G38">
        <f t="shared" si="0"/>
        <v>1.6837185674359241</v>
      </c>
    </row>
    <row r="39" spans="3:7">
      <c r="C39" t="s">
        <v>41</v>
      </c>
      <c r="D39">
        <v>1736576.4950000001</v>
      </c>
      <c r="E39">
        <v>6416243.801</v>
      </c>
      <c r="F39">
        <v>5.5090000000000003</v>
      </c>
      <c r="G39">
        <f t="shared" si="0"/>
        <v>1.6791465582919092</v>
      </c>
    </row>
    <row r="40" spans="3:7">
      <c r="C40" t="s">
        <v>42</v>
      </c>
      <c r="D40">
        <v>1736576.611</v>
      </c>
      <c r="E40">
        <v>6416242.6160000004</v>
      </c>
      <c r="F40">
        <v>5.7649999999999997</v>
      </c>
      <c r="G40">
        <f t="shared" si="0"/>
        <v>1.7571755143497652</v>
      </c>
    </row>
    <row r="41" spans="3:7">
      <c r="C41" t="s">
        <v>43</v>
      </c>
      <c r="D41">
        <v>1736575.102</v>
      </c>
      <c r="E41">
        <v>6416235.2149999999</v>
      </c>
      <c r="F41">
        <v>5.7960000000000003</v>
      </c>
      <c r="G41">
        <f t="shared" si="0"/>
        <v>1.7666243332473963</v>
      </c>
    </row>
    <row r="42" spans="3:7">
      <c r="C42" t="s">
        <v>44</v>
      </c>
      <c r="D42">
        <v>1736573.0190000001</v>
      </c>
      <c r="E42">
        <v>6416224.1890000002</v>
      </c>
      <c r="F42">
        <v>5.7290000000000001</v>
      </c>
      <c r="G42">
        <f t="shared" si="0"/>
        <v>1.7462026924041292</v>
      </c>
    </row>
    <row r="43" spans="3:7">
      <c r="C43" t="s">
        <v>45</v>
      </c>
      <c r="D43">
        <v>1736569.9380000001</v>
      </c>
      <c r="E43">
        <v>6416215.6859999998</v>
      </c>
      <c r="F43">
        <v>5.81</v>
      </c>
      <c r="G43">
        <f t="shared" si="0"/>
        <v>1.7708915417818101</v>
      </c>
    </row>
    <row r="44" spans="3:7">
      <c r="C44" t="s">
        <v>46</v>
      </c>
      <c r="D44">
        <v>1736566.233</v>
      </c>
      <c r="E44">
        <v>6416202.4380000001</v>
      </c>
      <c r="F44">
        <v>5.7409999999999997</v>
      </c>
      <c r="G44">
        <f t="shared" si="0"/>
        <v>1.7498602997193411</v>
      </c>
    </row>
    <row r="45" spans="3:7">
      <c r="C45" t="s">
        <v>47</v>
      </c>
      <c r="D45">
        <v>1736562.294</v>
      </c>
      <c r="E45">
        <v>6416194.3590000002</v>
      </c>
      <c r="F45">
        <v>5.6609999999999996</v>
      </c>
      <c r="G45">
        <f t="shared" si="0"/>
        <v>1.7254762509512611</v>
      </c>
    </row>
    <row r="46" spans="3:7">
      <c r="C46" t="s">
        <v>48</v>
      </c>
      <c r="D46">
        <v>1736532.2819999999</v>
      </c>
      <c r="E46">
        <v>6416464.8930000002</v>
      </c>
      <c r="F46">
        <v>2.149</v>
      </c>
      <c r="G46">
        <f t="shared" si="0"/>
        <v>0.65501651003254902</v>
      </c>
    </row>
    <row r="47" spans="3:7">
      <c r="C47" t="s">
        <v>49</v>
      </c>
      <c r="D47">
        <v>1736531.098</v>
      </c>
      <c r="E47">
        <v>6416463.9840000002</v>
      </c>
      <c r="F47">
        <v>2.14</v>
      </c>
      <c r="G47">
        <f t="shared" si="0"/>
        <v>0.65227330454614008</v>
      </c>
    </row>
    <row r="48" spans="3:7">
      <c r="C48" t="s">
        <v>50</v>
      </c>
      <c r="D48">
        <v>1736530.0049999999</v>
      </c>
      <c r="E48">
        <v>6416463.1449999996</v>
      </c>
      <c r="F48">
        <v>2.0950000000000002</v>
      </c>
      <c r="G48">
        <f t="shared" si="0"/>
        <v>0.63855727711409516</v>
      </c>
    </row>
    <row r="49" spans="3:7">
      <c r="C49" t="s">
        <v>51</v>
      </c>
      <c r="D49">
        <v>1736528.392</v>
      </c>
      <c r="E49">
        <v>6416461.7810000004</v>
      </c>
      <c r="F49">
        <v>2.5169999999999999</v>
      </c>
      <c r="G49">
        <f t="shared" si="0"/>
        <v>0.76718313436571706</v>
      </c>
    </row>
    <row r="50" spans="3:7">
      <c r="C50" t="s">
        <v>52</v>
      </c>
      <c r="D50">
        <v>1736528.3770000001</v>
      </c>
      <c r="E50">
        <v>6416461.7110000001</v>
      </c>
      <c r="F50">
        <v>2.41</v>
      </c>
      <c r="G50">
        <f t="shared" si="0"/>
        <v>0.73456946913841015</v>
      </c>
    </row>
    <row r="51" spans="3:7">
      <c r="C51" t="s">
        <v>53</v>
      </c>
      <c r="D51">
        <v>1736527.6410000001</v>
      </c>
      <c r="E51">
        <v>6416460.8459999999</v>
      </c>
      <c r="F51">
        <v>2.9329999999999998</v>
      </c>
      <c r="G51">
        <f t="shared" si="0"/>
        <v>0.893980187959733</v>
      </c>
    </row>
    <row r="52" spans="3:7">
      <c r="C52" t="s">
        <v>54</v>
      </c>
      <c r="D52">
        <v>1736528.4920000001</v>
      </c>
      <c r="E52">
        <v>6416462.2060000002</v>
      </c>
      <c r="F52">
        <v>4.4610000000000003</v>
      </c>
      <c r="G52">
        <f t="shared" si="0"/>
        <v>1.3597155194300612</v>
      </c>
    </row>
    <row r="53" spans="3:7">
      <c r="C53" t="s">
        <v>55</v>
      </c>
      <c r="D53">
        <v>1736527.0819999999</v>
      </c>
      <c r="E53">
        <v>6416461.1440000003</v>
      </c>
      <c r="F53">
        <v>5.157</v>
      </c>
      <c r="G53">
        <f t="shared" si="0"/>
        <v>1.5718567437123572</v>
      </c>
    </row>
    <row r="54" spans="3:7">
      <c r="C54" t="s">
        <v>56</v>
      </c>
      <c r="D54">
        <v>1736525.41</v>
      </c>
      <c r="E54">
        <v>6416459.0520000001</v>
      </c>
      <c r="F54">
        <v>5.5049999999999999</v>
      </c>
      <c r="G54">
        <f t="shared" si="0"/>
        <v>1.6779273558535051</v>
      </c>
    </row>
    <row r="55" spans="3:7">
      <c r="C55" t="s">
        <v>57</v>
      </c>
      <c r="D55">
        <v>1736524.338</v>
      </c>
      <c r="E55">
        <v>6416458.5319999997</v>
      </c>
      <c r="F55">
        <v>5.5149999999999997</v>
      </c>
      <c r="G55">
        <f t="shared" si="0"/>
        <v>1.6809753619495151</v>
      </c>
    </row>
    <row r="56" spans="3:7">
      <c r="C56" t="s">
        <v>58</v>
      </c>
      <c r="D56">
        <v>1736522.5090000001</v>
      </c>
      <c r="E56">
        <v>6416454.2709999997</v>
      </c>
      <c r="F56">
        <v>5.5910000000000002</v>
      </c>
      <c r="G56">
        <f t="shared" si="0"/>
        <v>1.7041402082791912</v>
      </c>
    </row>
    <row r="57" spans="3:7">
      <c r="C57" t="s">
        <v>59</v>
      </c>
      <c r="D57">
        <v>1736519.9310000001</v>
      </c>
      <c r="E57">
        <v>6416448.7630000003</v>
      </c>
      <c r="F57">
        <v>5.6970000000000001</v>
      </c>
      <c r="G57">
        <f t="shared" si="0"/>
        <v>1.7364490728968971</v>
      </c>
    </row>
    <row r="58" spans="3:7">
      <c r="C58" t="s">
        <v>60</v>
      </c>
      <c r="D58">
        <v>1736517.1059999999</v>
      </c>
      <c r="E58">
        <v>6416443.9970000004</v>
      </c>
      <c r="F58">
        <v>5.7119999999999997</v>
      </c>
      <c r="G58">
        <f t="shared" si="0"/>
        <v>1.741021082040912</v>
      </c>
    </row>
    <row r="59" spans="3:7">
      <c r="C59" t="s">
        <v>61</v>
      </c>
      <c r="D59">
        <v>1736514.067</v>
      </c>
      <c r="E59">
        <v>6416439.068</v>
      </c>
      <c r="F59">
        <v>5.6180000000000003</v>
      </c>
      <c r="G59">
        <f t="shared" si="0"/>
        <v>1.7123698247384183</v>
      </c>
    </row>
    <row r="60" spans="3:7">
      <c r="C60" t="s">
        <v>62</v>
      </c>
      <c r="D60">
        <v>1736508.9879999999</v>
      </c>
      <c r="E60">
        <v>6416430.5779999997</v>
      </c>
      <c r="F60">
        <v>5.78</v>
      </c>
      <c r="G60">
        <f t="shared" si="0"/>
        <v>1.7617475234937803</v>
      </c>
    </row>
    <row r="61" spans="3:7">
      <c r="C61" t="s">
        <v>63</v>
      </c>
      <c r="D61">
        <v>1736506.3289999999</v>
      </c>
      <c r="E61">
        <v>6416423.3700000001</v>
      </c>
      <c r="F61">
        <v>5.6760000000000002</v>
      </c>
      <c r="G61">
        <f t="shared" si="0"/>
        <v>1.7300482600952762</v>
      </c>
    </row>
    <row r="62" spans="3:7">
      <c r="C62" t="s">
        <v>64</v>
      </c>
      <c r="D62">
        <v>1736501.7279999999</v>
      </c>
      <c r="E62">
        <v>6416417.0329999998</v>
      </c>
      <c r="F62">
        <v>5.7190000000000003</v>
      </c>
      <c r="G62">
        <f t="shared" si="0"/>
        <v>1.7431546863081193</v>
      </c>
    </row>
    <row r="63" spans="3:7">
      <c r="C63" t="s">
        <v>65</v>
      </c>
      <c r="D63">
        <v>1736495.713</v>
      </c>
      <c r="E63">
        <v>6416408.6260000002</v>
      </c>
      <c r="F63">
        <v>5.7690000000000001</v>
      </c>
      <c r="G63">
        <f t="shared" si="0"/>
        <v>1.7583947167881693</v>
      </c>
    </row>
    <row r="64" spans="3:7">
      <c r="C64" t="s">
        <v>66</v>
      </c>
      <c r="D64">
        <v>1736490.2509999999</v>
      </c>
      <c r="E64">
        <v>6416397.8059999999</v>
      </c>
      <c r="F64">
        <v>5.7510000000000003</v>
      </c>
      <c r="G64">
        <f t="shared" si="0"/>
        <v>1.7529083058153512</v>
      </c>
    </row>
    <row r="65" spans="3:7">
      <c r="C65" t="s">
        <v>67</v>
      </c>
      <c r="D65">
        <v>1736482.42</v>
      </c>
      <c r="E65">
        <v>6416385.6210000003</v>
      </c>
      <c r="F65">
        <v>5.6950000000000003</v>
      </c>
      <c r="G65">
        <f t="shared" si="0"/>
        <v>1.7358394716776953</v>
      </c>
    </row>
    <row r="66" spans="3:7">
      <c r="C66" t="s">
        <v>68</v>
      </c>
      <c r="D66">
        <v>1736476.746</v>
      </c>
      <c r="E66">
        <v>6416374.6869999999</v>
      </c>
      <c r="F66">
        <v>5.7759999999999998</v>
      </c>
      <c r="G66">
        <f t="shared" ref="G66:G90" si="1">F66*0.304800609601</f>
        <v>1.7605283210553762</v>
      </c>
    </row>
    <row r="67" spans="3:7">
      <c r="C67" t="s">
        <v>69</v>
      </c>
      <c r="D67">
        <v>1736469.8470000001</v>
      </c>
      <c r="E67">
        <v>6416363.2939999998</v>
      </c>
      <c r="F67">
        <v>5.9080000000000004</v>
      </c>
      <c r="G67">
        <f t="shared" si="1"/>
        <v>1.8007620015227084</v>
      </c>
    </row>
    <row r="68" spans="3:7">
      <c r="C68" t="s">
        <v>70</v>
      </c>
      <c r="D68">
        <v>1736466.3060000001</v>
      </c>
      <c r="E68">
        <v>6416355.7560000001</v>
      </c>
      <c r="F68">
        <v>5.9329999999999998</v>
      </c>
      <c r="G68">
        <f t="shared" si="1"/>
        <v>1.8083820167627331</v>
      </c>
    </row>
    <row r="69" spans="3:7">
      <c r="C69" t="s">
        <v>71</v>
      </c>
      <c r="D69">
        <v>1736461.898</v>
      </c>
      <c r="E69">
        <v>6416348.2560000001</v>
      </c>
      <c r="F69">
        <v>5.8220000000000001</v>
      </c>
      <c r="G69">
        <f t="shared" si="1"/>
        <v>1.7745491490970222</v>
      </c>
    </row>
    <row r="70" spans="3:7">
      <c r="C70" t="s">
        <v>72</v>
      </c>
      <c r="D70">
        <v>1736457.82</v>
      </c>
      <c r="E70">
        <v>6416337.8470000001</v>
      </c>
      <c r="F70">
        <v>5.6210000000000004</v>
      </c>
      <c r="G70">
        <f t="shared" si="1"/>
        <v>1.7132842265672212</v>
      </c>
    </row>
    <row r="71" spans="3:7">
      <c r="C71" t="s">
        <v>73</v>
      </c>
      <c r="D71">
        <v>1736451.6980000001</v>
      </c>
      <c r="E71">
        <v>6416326.0769999996</v>
      </c>
      <c r="F71">
        <v>5.7759999999999998</v>
      </c>
      <c r="G71">
        <f t="shared" si="1"/>
        <v>1.7605283210553762</v>
      </c>
    </row>
    <row r="72" spans="3:7">
      <c r="C72" t="s">
        <v>74</v>
      </c>
      <c r="D72">
        <v>1736447.85</v>
      </c>
      <c r="E72">
        <v>6416316.6359999999</v>
      </c>
      <c r="F72">
        <v>5.6219999999999999</v>
      </c>
      <c r="G72">
        <f t="shared" si="1"/>
        <v>1.7135890271768222</v>
      </c>
    </row>
    <row r="73" spans="3:7">
      <c r="C73" t="s">
        <v>75</v>
      </c>
      <c r="D73">
        <v>1736446.0220000001</v>
      </c>
      <c r="E73">
        <v>6416307.0480000004</v>
      </c>
      <c r="F73">
        <v>5.6189999999999998</v>
      </c>
      <c r="G73">
        <f t="shared" si="1"/>
        <v>1.7126746253480192</v>
      </c>
    </row>
    <row r="74" spans="3:7">
      <c r="C74" t="s">
        <v>76</v>
      </c>
      <c r="D74">
        <v>1736444.0919999999</v>
      </c>
      <c r="E74">
        <v>6416297.432</v>
      </c>
      <c r="F74">
        <v>5.6260000000000003</v>
      </c>
      <c r="G74">
        <f t="shared" si="1"/>
        <v>1.7148082296152263</v>
      </c>
    </row>
    <row r="75" spans="3:7">
      <c r="C75" t="s">
        <v>77</v>
      </c>
      <c r="D75">
        <v>1736442.2080000001</v>
      </c>
      <c r="E75">
        <v>6416289.2529999996</v>
      </c>
      <c r="F75">
        <v>5.5789999999999997</v>
      </c>
      <c r="G75">
        <f t="shared" si="1"/>
        <v>1.7004826009639791</v>
      </c>
    </row>
    <row r="76" spans="3:7">
      <c r="C76" t="s">
        <v>78</v>
      </c>
      <c r="D76">
        <v>1736438.817</v>
      </c>
      <c r="E76">
        <v>6416278.1430000002</v>
      </c>
      <c r="F76">
        <v>5.5670000000000002</v>
      </c>
      <c r="G76">
        <f t="shared" si="1"/>
        <v>1.6968249936487672</v>
      </c>
    </row>
    <row r="77" spans="3:7">
      <c r="C77" t="s">
        <v>79</v>
      </c>
      <c r="D77">
        <v>1736438.858</v>
      </c>
      <c r="E77">
        <v>6416278.1069999998</v>
      </c>
      <c r="F77">
        <v>5.6159999999999997</v>
      </c>
      <c r="G77">
        <f t="shared" si="1"/>
        <v>1.711760223519216</v>
      </c>
    </row>
    <row r="78" spans="3:7">
      <c r="C78" t="s">
        <v>80</v>
      </c>
      <c r="D78">
        <v>1736435.2890000001</v>
      </c>
      <c r="E78">
        <v>6416267.9529999997</v>
      </c>
      <c r="F78">
        <v>5.4960000000000004</v>
      </c>
      <c r="G78">
        <f t="shared" si="1"/>
        <v>1.6751841503670963</v>
      </c>
    </row>
    <row r="79" spans="3:7">
      <c r="C79" t="s">
        <v>81</v>
      </c>
      <c r="D79">
        <v>1736435.355</v>
      </c>
      <c r="E79">
        <v>6416267.9649999999</v>
      </c>
      <c r="F79">
        <v>5.5579999999999998</v>
      </c>
      <c r="G79">
        <f t="shared" si="1"/>
        <v>1.694081788162358</v>
      </c>
    </row>
    <row r="80" spans="3:7">
      <c r="C80" t="s">
        <v>82</v>
      </c>
      <c r="D80">
        <v>1736434.5190000001</v>
      </c>
      <c r="E80">
        <v>6416265.21</v>
      </c>
      <c r="F80">
        <v>5.1289999999999996</v>
      </c>
      <c r="G80">
        <f t="shared" si="1"/>
        <v>1.563322326643529</v>
      </c>
    </row>
    <row r="81" spans="1:7">
      <c r="C81" t="s">
        <v>83</v>
      </c>
      <c r="D81">
        <v>1736434.5390000001</v>
      </c>
      <c r="E81">
        <v>6416264.4280000003</v>
      </c>
      <c r="F81">
        <v>5.617</v>
      </c>
      <c r="G81">
        <f t="shared" si="1"/>
        <v>1.7120650241288171</v>
      </c>
    </row>
    <row r="82" spans="1:7">
      <c r="C82" t="s">
        <v>84</v>
      </c>
      <c r="D82">
        <v>1736434.263</v>
      </c>
      <c r="E82">
        <v>6416261.4970000004</v>
      </c>
      <c r="F82">
        <v>5.6310000000000002</v>
      </c>
      <c r="G82">
        <f t="shared" si="1"/>
        <v>1.7163322326632313</v>
      </c>
    </row>
    <row r="83" spans="1:7">
      <c r="C83" t="s">
        <v>85</v>
      </c>
      <c r="D83">
        <v>1736432.3810000001</v>
      </c>
      <c r="E83">
        <v>6416254.7690000003</v>
      </c>
      <c r="F83">
        <v>5.6360000000000001</v>
      </c>
      <c r="G83">
        <f t="shared" si="1"/>
        <v>1.7178562357112361</v>
      </c>
    </row>
    <row r="84" spans="1:7">
      <c r="C84" t="s">
        <v>86</v>
      </c>
      <c r="D84">
        <v>1736432.497</v>
      </c>
      <c r="E84">
        <v>6416254.7130000005</v>
      </c>
      <c r="F84">
        <v>5.97</v>
      </c>
      <c r="G84">
        <f t="shared" si="1"/>
        <v>1.81965963931797</v>
      </c>
    </row>
    <row r="85" spans="1:7">
      <c r="C85" t="s">
        <v>87</v>
      </c>
      <c r="D85">
        <v>1736430.73</v>
      </c>
      <c r="E85">
        <v>6416249.2230000002</v>
      </c>
      <c r="F85">
        <v>5.73</v>
      </c>
      <c r="G85">
        <f t="shared" si="1"/>
        <v>1.7465074930137303</v>
      </c>
    </row>
    <row r="86" spans="1:7">
      <c r="A86" s="18" t="s">
        <v>110</v>
      </c>
      <c r="B86" s="18" t="s">
        <v>112</v>
      </c>
      <c r="C86" t="s">
        <v>88</v>
      </c>
      <c r="D86">
        <v>1739225.9990000001</v>
      </c>
      <c r="E86">
        <v>6407544.0489999996</v>
      </c>
      <c r="F86">
        <v>17.731000000000002</v>
      </c>
      <c r="G86">
        <f t="shared" si="1"/>
        <v>5.4044196088353322</v>
      </c>
    </row>
    <row r="87" spans="1:7">
      <c r="A87" s="18" t="s">
        <v>110</v>
      </c>
      <c r="B87" s="18" t="s">
        <v>112</v>
      </c>
      <c r="C87" t="s">
        <v>89</v>
      </c>
      <c r="D87">
        <v>1739225.9310000001</v>
      </c>
      <c r="E87">
        <v>6407544.1469999999</v>
      </c>
      <c r="F87">
        <v>17.666</v>
      </c>
      <c r="G87">
        <f t="shared" si="1"/>
        <v>5.3846075692112665</v>
      </c>
    </row>
    <row r="88" spans="1:7">
      <c r="A88" s="18" t="s">
        <v>110</v>
      </c>
      <c r="B88" s="18" t="s">
        <v>112</v>
      </c>
      <c r="C88" t="s">
        <v>90</v>
      </c>
      <c r="D88">
        <v>1739225.936</v>
      </c>
      <c r="E88">
        <v>6407544.0970000001</v>
      </c>
      <c r="F88">
        <v>17.420999999999999</v>
      </c>
      <c r="G88">
        <f t="shared" si="1"/>
        <v>5.3099314198590211</v>
      </c>
    </row>
    <row r="89" spans="1:7">
      <c r="A89" s="18" t="s">
        <v>110</v>
      </c>
      <c r="B89" s="18" t="s">
        <v>112</v>
      </c>
      <c r="C89" t="s">
        <v>91</v>
      </c>
      <c r="D89">
        <v>1739226.0049999999</v>
      </c>
      <c r="E89">
        <v>6407543.9450000003</v>
      </c>
      <c r="F89">
        <v>17.388999999999999</v>
      </c>
      <c r="G89">
        <f t="shared" si="1"/>
        <v>5.300177800351789</v>
      </c>
    </row>
    <row r="90" spans="1:7">
      <c r="A90" s="18" t="s">
        <v>110</v>
      </c>
      <c r="B90" s="18" t="s">
        <v>112</v>
      </c>
      <c r="C90" t="s">
        <v>92</v>
      </c>
      <c r="D90">
        <v>1739226.0060000001</v>
      </c>
      <c r="E90">
        <v>6407543.9840000002</v>
      </c>
      <c r="F90">
        <v>17.561</v>
      </c>
      <c r="G90">
        <f t="shared" si="1"/>
        <v>5.3526035052031613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CorteMadera-06162025</vt:lpstr>
      <vt:lpstr>CorteMadera-06162025-GIS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becca morris</cp:lastModifiedBy>
  <dcterms:created xsi:type="dcterms:W3CDTF">2025-06-26T15:03:24Z</dcterms:created>
  <dcterms:modified xsi:type="dcterms:W3CDTF">2025-06-26T15:03:24Z</dcterms:modified>
</cp:coreProperties>
</file>