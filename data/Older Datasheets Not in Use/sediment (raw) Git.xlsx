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Code/GitHub/DepositionSFB/data/"/>
    </mc:Choice>
  </mc:AlternateContent>
  <xr:revisionPtr revIDLastSave="1498" documentId="8_{32D9265F-6CF1-4634-812D-0F343ECDD000}" xr6:coauthVersionLast="47" xr6:coauthVersionMax="47" xr10:uidLastSave="{F0C71E4E-D3B5-428A-9FFB-FC4761C42DAE}"/>
  <bookViews>
    <workbookView xWindow="-108" yWindow="-108" windowWidth="23256" windowHeight="13176" xr2:uid="{5240CDE7-7CEF-469E-AF5F-09BE3CC24DCD}"/>
  </bookViews>
  <sheets>
    <sheet name="sediment (raw)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63" i="1" l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N2148" i="1" s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N2132" i="1" s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N2116" i="1" s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N2100" i="1" s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N2084" i="1" s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N2068" i="1" s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N2052" i="1" s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N2036" i="1" s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N2020" i="1" s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N2004" i="1" s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N1988" i="1" s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N1972" i="1" s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N1956" i="1" s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N1940" i="1" s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N1924" i="1" s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N1908" i="1" s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N1892" i="1" s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N1876" i="1" s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N1860" i="1" s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N1844" i="1" s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N1828" i="1" s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N1812" i="1" s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N1796" i="1" s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N1780" i="1" s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N1764" i="1" s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N1748" i="1" s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N1732" i="1" s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N1716" i="1" s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N1700" i="1" s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N1684" i="1" s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N1668" i="1" s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N1652" i="1" s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N1636" i="1" s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N1620" i="1" s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N1604" i="1" s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N1588" i="1" s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N1572" i="1" s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N1556" i="1" s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N1540" i="1" s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N1524" i="1" s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N1508" i="1" s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N1492" i="1" s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N1476" i="1" s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N1460" i="1" s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N1444" i="1" s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N1428" i="1" s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N1412" i="1" s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N1396" i="1" s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N1380" i="1" s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N1364" i="1" s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N1348" i="1" s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N1332" i="1" s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N1316" i="1" s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N1300" i="1" s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N1284" i="1" s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N1268" i="1" s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N1252" i="1" s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N1236" i="1" s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N1220" i="1" s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N1204" i="1" s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N1188" i="1" s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N1172" i="1" s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N1156" i="1" s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N1140" i="1" s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N1124" i="1" s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N1108" i="1" s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N1092" i="1" s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N1076" i="1" s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N1060" i="1" s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N1044" i="1" s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N1028" i="1" s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N1012" i="1" s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N996" i="1" s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N980" i="1" s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N964" i="1" s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N948" i="1" s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N932" i="1" s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N916" i="1" s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N900" i="1" s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N884" i="1" s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N868" i="1" s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N852" i="1" s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N836" i="1" s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N820" i="1" s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N804" i="1" s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N788" i="1" s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N772" i="1" s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N756" i="1" s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N740" i="1" s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N724" i="1" s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N708" i="1" s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N692" i="1" s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N676" i="1" s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N660" i="1" s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N644" i="1" s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N628" i="1" s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N612" i="1" s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N596" i="1" s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N580" i="1" s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N564" i="1" s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N548" i="1" s="1"/>
  <c r="J547" i="1"/>
  <c r="J546" i="1"/>
  <c r="J545" i="1"/>
  <c r="J544" i="1"/>
  <c r="J543" i="1"/>
  <c r="N543" i="1" s="1"/>
  <c r="J542" i="1"/>
  <c r="J541" i="1"/>
  <c r="J540" i="1"/>
  <c r="J539" i="1"/>
  <c r="J538" i="1"/>
  <c r="J537" i="1"/>
  <c r="N537" i="1" s="1"/>
  <c r="J536" i="1"/>
  <c r="N536" i="1" s="1"/>
  <c r="J535" i="1"/>
  <c r="N535" i="1" s="1"/>
  <c r="J534" i="1"/>
  <c r="N534" i="1" s="1"/>
  <c r="J533" i="1"/>
  <c r="J532" i="1"/>
  <c r="N532" i="1" s="1"/>
  <c r="J531" i="1"/>
  <c r="J530" i="1"/>
  <c r="J529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3" i="1"/>
  <c r="N538" i="1"/>
  <c r="N539" i="1"/>
  <c r="N540" i="1"/>
  <c r="N541" i="1"/>
  <c r="N542" i="1"/>
  <c r="N544" i="1"/>
  <c r="N545" i="1"/>
  <c r="N546" i="1"/>
  <c r="N547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U366" i="1" l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V382" i="1" s="1"/>
  <c r="W382" i="1" s="1"/>
  <c r="T383" i="1"/>
  <c r="V383" i="1" s="1"/>
  <c r="W383" i="1" s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V398" i="1" s="1"/>
  <c r="W398" i="1" s="1"/>
  <c r="T399" i="1"/>
  <c r="V399" i="1" s="1"/>
  <c r="W399" i="1" s="1"/>
  <c r="T400" i="1"/>
  <c r="T401" i="1"/>
  <c r="T402" i="1"/>
  <c r="T403" i="1"/>
  <c r="T404" i="1"/>
  <c r="T405" i="1"/>
  <c r="T406" i="1"/>
  <c r="T407" i="1"/>
  <c r="T408" i="1"/>
  <c r="T409" i="1"/>
  <c r="V409" i="1" s="1"/>
  <c r="W409" i="1" s="1"/>
  <c r="T410" i="1"/>
  <c r="V410" i="1" s="1"/>
  <c r="W410" i="1" s="1"/>
  <c r="T411" i="1"/>
  <c r="T412" i="1"/>
  <c r="T413" i="1"/>
  <c r="T414" i="1"/>
  <c r="V414" i="1" s="1"/>
  <c r="W414" i="1" s="1"/>
  <c r="T415" i="1"/>
  <c r="V415" i="1" s="1"/>
  <c r="W415" i="1" s="1"/>
  <c r="T416" i="1"/>
  <c r="V416" i="1" s="1"/>
  <c r="W416" i="1" s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V430" i="1" s="1"/>
  <c r="W430" i="1" s="1"/>
  <c r="T431" i="1"/>
  <c r="V431" i="1" s="1"/>
  <c r="W431" i="1" s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V447" i="1" s="1"/>
  <c r="W447" i="1" s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V462" i="1" s="1"/>
  <c r="W462" i="1" s="1"/>
  <c r="T463" i="1"/>
  <c r="V463" i="1" s="1"/>
  <c r="W463" i="1" s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V478" i="1" s="1"/>
  <c r="W478" i="1" s="1"/>
  <c r="T479" i="1"/>
  <c r="V479" i="1" s="1"/>
  <c r="W479" i="1" s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V494" i="1" s="1"/>
  <c r="W494" i="1" s="1"/>
  <c r="T495" i="1"/>
  <c r="V495" i="1" s="1"/>
  <c r="W495" i="1" s="1"/>
  <c r="T496" i="1"/>
  <c r="V496" i="1" s="1"/>
  <c r="W496" i="1" s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V510" i="1" s="1"/>
  <c r="W510" i="1" s="1"/>
  <c r="T511" i="1"/>
  <c r="V511" i="1" s="1"/>
  <c r="W511" i="1" s="1"/>
  <c r="T512" i="1"/>
  <c r="V512" i="1" s="1"/>
  <c r="W512" i="1" s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M366" i="1"/>
  <c r="S366" i="1" s="1"/>
  <c r="U286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61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3" i="1"/>
  <c r="U43" i="1"/>
  <c r="J3" i="1"/>
  <c r="N3" i="1" s="1"/>
  <c r="M3" i="1"/>
  <c r="T3" i="1" s="1"/>
  <c r="M4" i="1"/>
  <c r="T4" i="1" s="1"/>
  <c r="M5" i="1"/>
  <c r="T5" i="1" s="1"/>
  <c r="M6" i="1"/>
  <c r="T6" i="1" s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M21" i="1"/>
  <c r="T21" i="1" s="1"/>
  <c r="M22" i="1"/>
  <c r="T22" i="1" s="1"/>
  <c r="M23" i="1"/>
  <c r="T23" i="1" s="1"/>
  <c r="M24" i="1"/>
  <c r="T24" i="1" s="1"/>
  <c r="M25" i="1"/>
  <c r="T25" i="1" s="1"/>
  <c r="M26" i="1"/>
  <c r="T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M35" i="1"/>
  <c r="T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S43" i="1" s="1"/>
  <c r="M44" i="1"/>
  <c r="S44" i="1" s="1"/>
  <c r="M45" i="1"/>
  <c r="S45" i="1" s="1"/>
  <c r="M46" i="1"/>
  <c r="S46" i="1" s="1"/>
  <c r="M47" i="1"/>
  <c r="S47" i="1" s="1"/>
  <c r="M48" i="1"/>
  <c r="S48" i="1" s="1"/>
  <c r="M49" i="1"/>
  <c r="S49" i="1" s="1"/>
  <c r="M50" i="1"/>
  <c r="S50" i="1" s="1"/>
  <c r="M51" i="1"/>
  <c r="S51" i="1" s="1"/>
  <c r="M52" i="1"/>
  <c r="S52" i="1" s="1"/>
  <c r="M53" i="1"/>
  <c r="S53" i="1" s="1"/>
  <c r="M54" i="1"/>
  <c r="S54" i="1" s="1"/>
  <c r="M55" i="1"/>
  <c r="S55" i="1" s="1"/>
  <c r="M56" i="1"/>
  <c r="S56" i="1" s="1"/>
  <c r="M57" i="1"/>
  <c r="S57" i="1" s="1"/>
  <c r="M58" i="1"/>
  <c r="S58" i="1" s="1"/>
  <c r="M59" i="1"/>
  <c r="S59" i="1" s="1"/>
  <c r="M60" i="1"/>
  <c r="S60" i="1" s="1"/>
  <c r="M61" i="1"/>
  <c r="M62" i="1"/>
  <c r="M63" i="1"/>
  <c r="M64" i="1"/>
  <c r="T64" i="1" s="1"/>
  <c r="M65" i="1"/>
  <c r="T65" i="1" s="1"/>
  <c r="M66" i="1"/>
  <c r="T66" i="1" s="1"/>
  <c r="M67" i="1"/>
  <c r="T67" i="1" s="1"/>
  <c r="M68" i="1"/>
  <c r="T68" i="1" s="1"/>
  <c r="M69" i="1"/>
  <c r="T69" i="1" s="1"/>
  <c r="M70" i="1"/>
  <c r="T70" i="1" s="1"/>
  <c r="M71" i="1"/>
  <c r="T71" i="1" s="1"/>
  <c r="M72" i="1"/>
  <c r="T72" i="1" s="1"/>
  <c r="M73" i="1"/>
  <c r="T73" i="1" s="1"/>
  <c r="M74" i="1"/>
  <c r="T74" i="1" s="1"/>
  <c r="M75" i="1"/>
  <c r="T75" i="1" s="1"/>
  <c r="M76" i="1"/>
  <c r="M77" i="1"/>
  <c r="M78" i="1"/>
  <c r="M79" i="1"/>
  <c r="M80" i="1"/>
  <c r="T80" i="1" s="1"/>
  <c r="M81" i="1"/>
  <c r="T81" i="1" s="1"/>
  <c r="M82" i="1"/>
  <c r="T82" i="1" s="1"/>
  <c r="M83" i="1"/>
  <c r="T83" i="1" s="1"/>
  <c r="M84" i="1"/>
  <c r="T84" i="1" s="1"/>
  <c r="M85" i="1"/>
  <c r="T85" i="1" s="1"/>
  <c r="M86" i="1"/>
  <c r="T86" i="1" s="1"/>
  <c r="M87" i="1"/>
  <c r="T87" i="1" s="1"/>
  <c r="M88" i="1"/>
  <c r="T88" i="1" s="1"/>
  <c r="M89" i="1"/>
  <c r="T89" i="1" s="1"/>
  <c r="M90" i="1"/>
  <c r="T90" i="1" s="1"/>
  <c r="M91" i="1"/>
  <c r="T91" i="1" s="1"/>
  <c r="M92" i="1"/>
  <c r="M93" i="1"/>
  <c r="M94" i="1"/>
  <c r="M95" i="1"/>
  <c r="M96" i="1"/>
  <c r="T96" i="1" s="1"/>
  <c r="M97" i="1"/>
  <c r="T97" i="1" s="1"/>
  <c r="M98" i="1"/>
  <c r="T98" i="1" s="1"/>
  <c r="M99" i="1"/>
  <c r="T99" i="1" s="1"/>
  <c r="M100" i="1"/>
  <c r="M101" i="1"/>
  <c r="T101" i="1" s="1"/>
  <c r="M102" i="1"/>
  <c r="T102" i="1" s="1"/>
  <c r="M103" i="1"/>
  <c r="T103" i="1" s="1"/>
  <c r="M104" i="1"/>
  <c r="M105" i="1"/>
  <c r="T105" i="1" s="1"/>
  <c r="M106" i="1"/>
  <c r="T106" i="1" s="1"/>
  <c r="M107" i="1"/>
  <c r="T107" i="1" s="1"/>
  <c r="M108" i="1"/>
  <c r="M109" i="1"/>
  <c r="M110" i="1"/>
  <c r="M111" i="1"/>
  <c r="M112" i="1"/>
  <c r="T112" i="1" s="1"/>
  <c r="M113" i="1"/>
  <c r="T113" i="1" s="1"/>
  <c r="M114" i="1"/>
  <c r="T114" i="1" s="1"/>
  <c r="M115" i="1"/>
  <c r="T115" i="1" s="1"/>
  <c r="M116" i="1"/>
  <c r="M117" i="1"/>
  <c r="T117" i="1" s="1"/>
  <c r="M118" i="1"/>
  <c r="T118" i="1" s="1"/>
  <c r="M119" i="1"/>
  <c r="T119" i="1" s="1"/>
  <c r="M120" i="1"/>
  <c r="T120" i="1" s="1"/>
  <c r="M121" i="1"/>
  <c r="T121" i="1" s="1"/>
  <c r="M122" i="1"/>
  <c r="T122" i="1" s="1"/>
  <c r="M123" i="1"/>
  <c r="T123" i="1" s="1"/>
  <c r="M124" i="1"/>
  <c r="M125" i="1"/>
  <c r="M126" i="1"/>
  <c r="M127" i="1"/>
  <c r="M128" i="1"/>
  <c r="T128" i="1" s="1"/>
  <c r="M129" i="1"/>
  <c r="M130" i="1"/>
  <c r="T130" i="1" s="1"/>
  <c r="M131" i="1"/>
  <c r="T131" i="1" s="1"/>
  <c r="M132" i="1"/>
  <c r="T132" i="1" s="1"/>
  <c r="M133" i="1"/>
  <c r="T133" i="1" s="1"/>
  <c r="M134" i="1"/>
  <c r="T134" i="1" s="1"/>
  <c r="M135" i="1"/>
  <c r="T135" i="1" s="1"/>
  <c r="M136" i="1"/>
  <c r="T136" i="1" s="1"/>
  <c r="M137" i="1"/>
  <c r="T137" i="1" s="1"/>
  <c r="M138" i="1"/>
  <c r="T138" i="1" s="1"/>
  <c r="M139" i="1"/>
  <c r="T139" i="1" s="1"/>
  <c r="M140" i="1"/>
  <c r="M141" i="1"/>
  <c r="M142" i="1"/>
  <c r="M143" i="1"/>
  <c r="M144" i="1"/>
  <c r="T144" i="1" s="1"/>
  <c r="M145" i="1"/>
  <c r="T145" i="1" s="1"/>
  <c r="M146" i="1"/>
  <c r="T146" i="1" s="1"/>
  <c r="M147" i="1"/>
  <c r="T147" i="1" s="1"/>
  <c r="M148" i="1"/>
  <c r="M149" i="1"/>
  <c r="T149" i="1" s="1"/>
  <c r="M150" i="1"/>
  <c r="T150" i="1" s="1"/>
  <c r="M151" i="1"/>
  <c r="T151" i="1" s="1"/>
  <c r="M152" i="1"/>
  <c r="M153" i="1"/>
  <c r="T153" i="1" s="1"/>
  <c r="M154" i="1"/>
  <c r="T154" i="1" s="1"/>
  <c r="M155" i="1"/>
  <c r="T155" i="1" s="1"/>
  <c r="M156" i="1"/>
  <c r="M157" i="1"/>
  <c r="M158" i="1"/>
  <c r="M159" i="1"/>
  <c r="M160" i="1"/>
  <c r="T160" i="1" s="1"/>
  <c r="M161" i="1"/>
  <c r="T161" i="1" s="1"/>
  <c r="M162" i="1"/>
  <c r="T162" i="1" s="1"/>
  <c r="M163" i="1"/>
  <c r="T163" i="1" s="1"/>
  <c r="M164" i="1"/>
  <c r="M165" i="1"/>
  <c r="T165" i="1" s="1"/>
  <c r="M166" i="1"/>
  <c r="T166" i="1" s="1"/>
  <c r="M167" i="1"/>
  <c r="T167" i="1" s="1"/>
  <c r="M168" i="1"/>
  <c r="M169" i="1"/>
  <c r="T169" i="1" s="1"/>
  <c r="M170" i="1"/>
  <c r="T170" i="1" s="1"/>
  <c r="M171" i="1"/>
  <c r="T171" i="1" s="1"/>
  <c r="M172" i="1"/>
  <c r="M173" i="1"/>
  <c r="M174" i="1"/>
  <c r="M175" i="1"/>
  <c r="M176" i="1"/>
  <c r="T176" i="1" s="1"/>
  <c r="M177" i="1"/>
  <c r="T177" i="1" s="1"/>
  <c r="M178" i="1"/>
  <c r="T178" i="1" s="1"/>
  <c r="M179" i="1"/>
  <c r="T179" i="1" s="1"/>
  <c r="M180" i="1"/>
  <c r="T180" i="1" s="1"/>
  <c r="M181" i="1"/>
  <c r="T181" i="1" s="1"/>
  <c r="M182" i="1"/>
  <c r="T182" i="1" s="1"/>
  <c r="M183" i="1"/>
  <c r="T183" i="1" s="1"/>
  <c r="M184" i="1"/>
  <c r="T184" i="1" s="1"/>
  <c r="M185" i="1"/>
  <c r="T185" i="1" s="1"/>
  <c r="M186" i="1"/>
  <c r="T186" i="1" s="1"/>
  <c r="M187" i="1"/>
  <c r="T187" i="1" s="1"/>
  <c r="M188" i="1"/>
  <c r="M189" i="1"/>
  <c r="M190" i="1"/>
  <c r="M191" i="1"/>
  <c r="M192" i="1"/>
  <c r="T192" i="1" s="1"/>
  <c r="M193" i="1"/>
  <c r="M194" i="1"/>
  <c r="T194" i="1" s="1"/>
  <c r="M195" i="1"/>
  <c r="T195" i="1" s="1"/>
  <c r="M196" i="1"/>
  <c r="T196" i="1" s="1"/>
  <c r="M197" i="1"/>
  <c r="T197" i="1" s="1"/>
  <c r="M198" i="1"/>
  <c r="T198" i="1" s="1"/>
  <c r="M199" i="1"/>
  <c r="T199" i="1" s="1"/>
  <c r="M200" i="1"/>
  <c r="T200" i="1" s="1"/>
  <c r="M201" i="1"/>
  <c r="T201" i="1" s="1"/>
  <c r="M202" i="1"/>
  <c r="T202" i="1" s="1"/>
  <c r="M203" i="1"/>
  <c r="T203" i="1" s="1"/>
  <c r="M204" i="1"/>
  <c r="M205" i="1"/>
  <c r="M206" i="1"/>
  <c r="M207" i="1"/>
  <c r="M208" i="1"/>
  <c r="M209" i="1"/>
  <c r="T209" i="1" s="1"/>
  <c r="M210" i="1"/>
  <c r="T210" i="1" s="1"/>
  <c r="M211" i="1"/>
  <c r="T211" i="1" s="1"/>
  <c r="M212" i="1"/>
  <c r="M213" i="1"/>
  <c r="T213" i="1" s="1"/>
  <c r="M214" i="1"/>
  <c r="T214" i="1" s="1"/>
  <c r="M215" i="1"/>
  <c r="T215" i="1" s="1"/>
  <c r="M216" i="1"/>
  <c r="T216" i="1" s="1"/>
  <c r="M217" i="1"/>
  <c r="T217" i="1" s="1"/>
  <c r="M218" i="1"/>
  <c r="T218" i="1" s="1"/>
  <c r="M219" i="1"/>
  <c r="T219" i="1" s="1"/>
  <c r="M220" i="1"/>
  <c r="M221" i="1"/>
  <c r="M222" i="1"/>
  <c r="M223" i="1"/>
  <c r="M224" i="1"/>
  <c r="M225" i="1"/>
  <c r="T225" i="1" s="1"/>
  <c r="M226" i="1"/>
  <c r="T226" i="1" s="1"/>
  <c r="M227" i="1"/>
  <c r="T227" i="1" s="1"/>
  <c r="M228" i="1"/>
  <c r="T228" i="1" s="1"/>
  <c r="M229" i="1"/>
  <c r="T229" i="1" s="1"/>
  <c r="M230" i="1"/>
  <c r="T230" i="1" s="1"/>
  <c r="M231" i="1"/>
  <c r="T231" i="1" s="1"/>
  <c r="M232" i="1"/>
  <c r="T232" i="1" s="1"/>
  <c r="M233" i="1"/>
  <c r="T233" i="1" s="1"/>
  <c r="M234" i="1"/>
  <c r="T234" i="1" s="1"/>
  <c r="M235" i="1"/>
  <c r="T235" i="1" s="1"/>
  <c r="M236" i="1"/>
  <c r="M237" i="1"/>
  <c r="M238" i="1"/>
  <c r="M239" i="1"/>
  <c r="M240" i="1"/>
  <c r="M241" i="1"/>
  <c r="T241" i="1" s="1"/>
  <c r="M242" i="1"/>
  <c r="T242" i="1" s="1"/>
  <c r="M243" i="1"/>
  <c r="T243" i="1" s="1"/>
  <c r="M244" i="1"/>
  <c r="T244" i="1" s="1"/>
  <c r="M245" i="1"/>
  <c r="T245" i="1" s="1"/>
  <c r="M246" i="1"/>
  <c r="T246" i="1" s="1"/>
  <c r="M247" i="1"/>
  <c r="T247" i="1" s="1"/>
  <c r="M248" i="1"/>
  <c r="T248" i="1" s="1"/>
  <c r="M249" i="1"/>
  <c r="T249" i="1" s="1"/>
  <c r="M250" i="1"/>
  <c r="T250" i="1" s="1"/>
  <c r="M251" i="1"/>
  <c r="T251" i="1" s="1"/>
  <c r="M252" i="1"/>
  <c r="M253" i="1"/>
  <c r="M254" i="1"/>
  <c r="M255" i="1"/>
  <c r="M256" i="1"/>
  <c r="M257" i="1"/>
  <c r="T257" i="1" s="1"/>
  <c r="M258" i="1"/>
  <c r="T258" i="1" s="1"/>
  <c r="M259" i="1"/>
  <c r="T259" i="1" s="1"/>
  <c r="M260" i="1"/>
  <c r="M261" i="1"/>
  <c r="T261" i="1" s="1"/>
  <c r="M262" i="1"/>
  <c r="T262" i="1" s="1"/>
  <c r="M263" i="1"/>
  <c r="T263" i="1" s="1"/>
  <c r="M264" i="1"/>
  <c r="T264" i="1" s="1"/>
  <c r="M265" i="1"/>
  <c r="T265" i="1" s="1"/>
  <c r="M266" i="1"/>
  <c r="T266" i="1" s="1"/>
  <c r="M267" i="1"/>
  <c r="T267" i="1" s="1"/>
  <c r="M268" i="1"/>
  <c r="M269" i="1"/>
  <c r="M270" i="1"/>
  <c r="M271" i="1"/>
  <c r="M272" i="1"/>
  <c r="M273" i="1"/>
  <c r="M274" i="1"/>
  <c r="T274" i="1" s="1"/>
  <c r="M275" i="1"/>
  <c r="T275" i="1" s="1"/>
  <c r="M276" i="1"/>
  <c r="T276" i="1" s="1"/>
  <c r="M277" i="1"/>
  <c r="T277" i="1" s="1"/>
  <c r="M278" i="1"/>
  <c r="T278" i="1" s="1"/>
  <c r="M279" i="1"/>
  <c r="T279" i="1" s="1"/>
  <c r="M280" i="1"/>
  <c r="T280" i="1" s="1"/>
  <c r="M281" i="1"/>
  <c r="T281" i="1" s="1"/>
  <c r="M282" i="1"/>
  <c r="T282" i="1" s="1"/>
  <c r="M283" i="1"/>
  <c r="T283" i="1" s="1"/>
  <c r="M284" i="1"/>
  <c r="M285" i="1"/>
  <c r="M286" i="1"/>
  <c r="M287" i="1"/>
  <c r="M288" i="1"/>
  <c r="M289" i="1"/>
  <c r="T289" i="1" s="1"/>
  <c r="M290" i="1"/>
  <c r="T290" i="1" s="1"/>
  <c r="M291" i="1"/>
  <c r="T291" i="1" s="1"/>
  <c r="M292" i="1"/>
  <c r="T292" i="1" s="1"/>
  <c r="M293" i="1"/>
  <c r="T293" i="1" s="1"/>
  <c r="M294" i="1"/>
  <c r="T294" i="1" s="1"/>
  <c r="M295" i="1"/>
  <c r="T295" i="1" s="1"/>
  <c r="M296" i="1"/>
  <c r="T296" i="1" s="1"/>
  <c r="M297" i="1"/>
  <c r="T297" i="1" s="1"/>
  <c r="M298" i="1"/>
  <c r="T298" i="1" s="1"/>
  <c r="M299" i="1"/>
  <c r="T299" i="1" s="1"/>
  <c r="M300" i="1"/>
  <c r="M301" i="1"/>
  <c r="M302" i="1"/>
  <c r="M303" i="1"/>
  <c r="M304" i="1"/>
  <c r="M305" i="1"/>
  <c r="M306" i="1"/>
  <c r="T306" i="1" s="1"/>
  <c r="M307" i="1"/>
  <c r="T307" i="1" s="1"/>
  <c r="M308" i="1"/>
  <c r="M309" i="1"/>
  <c r="T309" i="1" s="1"/>
  <c r="M310" i="1"/>
  <c r="M311" i="1"/>
  <c r="T311" i="1" s="1"/>
  <c r="M312" i="1"/>
  <c r="T312" i="1" s="1"/>
  <c r="M313" i="1"/>
  <c r="T313" i="1" s="1"/>
  <c r="M314" i="1"/>
  <c r="T314" i="1" s="1"/>
  <c r="M315" i="1"/>
  <c r="T315" i="1" s="1"/>
  <c r="M316" i="1"/>
  <c r="M317" i="1"/>
  <c r="M318" i="1"/>
  <c r="M319" i="1"/>
  <c r="M320" i="1"/>
  <c r="M321" i="1"/>
  <c r="M322" i="1"/>
  <c r="T322" i="1" s="1"/>
  <c r="M323" i="1"/>
  <c r="T323" i="1" s="1"/>
  <c r="M324" i="1"/>
  <c r="T324" i="1" s="1"/>
  <c r="M325" i="1"/>
  <c r="T325" i="1" s="1"/>
  <c r="M326" i="1"/>
  <c r="T326" i="1" s="1"/>
  <c r="M327" i="1"/>
  <c r="T327" i="1" s="1"/>
  <c r="M328" i="1"/>
  <c r="T328" i="1" s="1"/>
  <c r="M329" i="1"/>
  <c r="T329" i="1" s="1"/>
  <c r="M330" i="1"/>
  <c r="T330" i="1" s="1"/>
  <c r="M331" i="1"/>
  <c r="T331" i="1" s="1"/>
  <c r="M332" i="1"/>
  <c r="M333" i="1"/>
  <c r="M334" i="1"/>
  <c r="M335" i="1"/>
  <c r="M336" i="1"/>
  <c r="M337" i="1"/>
  <c r="T337" i="1" s="1"/>
  <c r="M338" i="1"/>
  <c r="T338" i="1" s="1"/>
  <c r="M339" i="1"/>
  <c r="T339" i="1" s="1"/>
  <c r="M340" i="1"/>
  <c r="T340" i="1" s="1"/>
  <c r="M341" i="1"/>
  <c r="T341" i="1" s="1"/>
  <c r="M342" i="1"/>
  <c r="T342" i="1" s="1"/>
  <c r="M343" i="1"/>
  <c r="T343" i="1" s="1"/>
  <c r="M344" i="1"/>
  <c r="T344" i="1" s="1"/>
  <c r="M345" i="1"/>
  <c r="T345" i="1" s="1"/>
  <c r="M346" i="1"/>
  <c r="T346" i="1" s="1"/>
  <c r="M347" i="1"/>
  <c r="T347" i="1" s="1"/>
  <c r="M348" i="1"/>
  <c r="M349" i="1"/>
  <c r="M350" i="1"/>
  <c r="M351" i="1"/>
  <c r="M352" i="1"/>
  <c r="M353" i="1"/>
  <c r="T353" i="1" s="1"/>
  <c r="M354" i="1"/>
  <c r="T354" i="1" s="1"/>
  <c r="M355" i="1"/>
  <c r="T355" i="1" s="1"/>
  <c r="M356" i="1"/>
  <c r="M357" i="1"/>
  <c r="T357" i="1" s="1"/>
  <c r="M358" i="1"/>
  <c r="T358" i="1" s="1"/>
  <c r="M359" i="1"/>
  <c r="T359" i="1" s="1"/>
  <c r="M360" i="1"/>
  <c r="T360" i="1" s="1"/>
  <c r="M361" i="1"/>
  <c r="T361" i="1" s="1"/>
  <c r="M362" i="1"/>
  <c r="T362" i="1" s="1"/>
  <c r="M363" i="1"/>
  <c r="T363" i="1" s="1"/>
  <c r="M364" i="1"/>
  <c r="M365" i="1"/>
  <c r="J365" i="1"/>
  <c r="N365" i="1" s="1"/>
  <c r="J364" i="1"/>
  <c r="N364" i="1" s="1"/>
  <c r="J363" i="1"/>
  <c r="N363" i="1" s="1"/>
  <c r="J362" i="1"/>
  <c r="N362" i="1" s="1"/>
  <c r="J361" i="1"/>
  <c r="N361" i="1" s="1"/>
  <c r="J360" i="1"/>
  <c r="N360" i="1" s="1"/>
  <c r="J359" i="1"/>
  <c r="N359" i="1" s="1"/>
  <c r="J358" i="1"/>
  <c r="N358" i="1" s="1"/>
  <c r="J357" i="1"/>
  <c r="N357" i="1" s="1"/>
  <c r="J356" i="1"/>
  <c r="N356" i="1" s="1"/>
  <c r="J355" i="1"/>
  <c r="N355" i="1" s="1"/>
  <c r="J354" i="1"/>
  <c r="N354" i="1" s="1"/>
  <c r="J353" i="1"/>
  <c r="N353" i="1" s="1"/>
  <c r="J352" i="1"/>
  <c r="N352" i="1" s="1"/>
  <c r="J351" i="1"/>
  <c r="N351" i="1" s="1"/>
  <c r="J350" i="1"/>
  <c r="N350" i="1" s="1"/>
  <c r="J349" i="1"/>
  <c r="N349" i="1" s="1"/>
  <c r="J348" i="1"/>
  <c r="N348" i="1" s="1"/>
  <c r="J347" i="1"/>
  <c r="N347" i="1" s="1"/>
  <c r="J346" i="1"/>
  <c r="N346" i="1" s="1"/>
  <c r="J345" i="1"/>
  <c r="N345" i="1" s="1"/>
  <c r="J344" i="1"/>
  <c r="N344" i="1" s="1"/>
  <c r="J343" i="1"/>
  <c r="N343" i="1" s="1"/>
  <c r="J342" i="1"/>
  <c r="N342" i="1" s="1"/>
  <c r="J341" i="1"/>
  <c r="N341" i="1" s="1"/>
  <c r="J340" i="1"/>
  <c r="N340" i="1" s="1"/>
  <c r="J339" i="1"/>
  <c r="N339" i="1" s="1"/>
  <c r="J338" i="1"/>
  <c r="N338" i="1" s="1"/>
  <c r="J337" i="1"/>
  <c r="N337" i="1" s="1"/>
  <c r="J336" i="1"/>
  <c r="N336" i="1" s="1"/>
  <c r="J335" i="1"/>
  <c r="N335" i="1" s="1"/>
  <c r="J334" i="1"/>
  <c r="N334" i="1" s="1"/>
  <c r="J333" i="1"/>
  <c r="N333" i="1" s="1"/>
  <c r="J332" i="1"/>
  <c r="N332" i="1" s="1"/>
  <c r="J331" i="1"/>
  <c r="N331" i="1" s="1"/>
  <c r="J330" i="1"/>
  <c r="N330" i="1" s="1"/>
  <c r="J329" i="1"/>
  <c r="N329" i="1" s="1"/>
  <c r="J328" i="1"/>
  <c r="N328" i="1" s="1"/>
  <c r="J327" i="1"/>
  <c r="N327" i="1" s="1"/>
  <c r="J326" i="1"/>
  <c r="N326" i="1" s="1"/>
  <c r="J325" i="1"/>
  <c r="N325" i="1" s="1"/>
  <c r="J324" i="1"/>
  <c r="N324" i="1" s="1"/>
  <c r="J323" i="1"/>
  <c r="N323" i="1" s="1"/>
  <c r="J322" i="1"/>
  <c r="N322" i="1" s="1"/>
  <c r="J321" i="1"/>
  <c r="N321" i="1" s="1"/>
  <c r="J320" i="1"/>
  <c r="N320" i="1" s="1"/>
  <c r="J319" i="1"/>
  <c r="N319" i="1" s="1"/>
  <c r="J318" i="1"/>
  <c r="N318" i="1" s="1"/>
  <c r="J317" i="1"/>
  <c r="N317" i="1" s="1"/>
  <c r="J316" i="1"/>
  <c r="N316" i="1" s="1"/>
  <c r="J315" i="1"/>
  <c r="N315" i="1" s="1"/>
  <c r="J314" i="1"/>
  <c r="N314" i="1" s="1"/>
  <c r="J313" i="1"/>
  <c r="N313" i="1" s="1"/>
  <c r="J312" i="1"/>
  <c r="N312" i="1" s="1"/>
  <c r="J311" i="1"/>
  <c r="N311" i="1" s="1"/>
  <c r="J310" i="1"/>
  <c r="N310" i="1" s="1"/>
  <c r="J309" i="1"/>
  <c r="N309" i="1" s="1"/>
  <c r="J308" i="1"/>
  <c r="N308" i="1" s="1"/>
  <c r="J307" i="1"/>
  <c r="N307" i="1" s="1"/>
  <c r="J306" i="1"/>
  <c r="N306" i="1" s="1"/>
  <c r="J305" i="1"/>
  <c r="N305" i="1" s="1"/>
  <c r="J304" i="1"/>
  <c r="N304" i="1" s="1"/>
  <c r="J303" i="1"/>
  <c r="N303" i="1" s="1"/>
  <c r="J302" i="1"/>
  <c r="N302" i="1" s="1"/>
  <c r="J301" i="1"/>
  <c r="N301" i="1" s="1"/>
  <c r="J300" i="1"/>
  <c r="N300" i="1" s="1"/>
  <c r="J299" i="1"/>
  <c r="N299" i="1" s="1"/>
  <c r="J298" i="1"/>
  <c r="N298" i="1" s="1"/>
  <c r="J297" i="1"/>
  <c r="N297" i="1" s="1"/>
  <c r="J296" i="1"/>
  <c r="N296" i="1" s="1"/>
  <c r="J295" i="1"/>
  <c r="N295" i="1" s="1"/>
  <c r="J294" i="1"/>
  <c r="N294" i="1" s="1"/>
  <c r="J293" i="1"/>
  <c r="N293" i="1" s="1"/>
  <c r="J292" i="1"/>
  <c r="N292" i="1" s="1"/>
  <c r="J291" i="1"/>
  <c r="N291" i="1" s="1"/>
  <c r="J290" i="1"/>
  <c r="N290" i="1" s="1"/>
  <c r="J289" i="1"/>
  <c r="N289" i="1" s="1"/>
  <c r="J288" i="1"/>
  <c r="N288" i="1" s="1"/>
  <c r="J287" i="1"/>
  <c r="N287" i="1" s="1"/>
  <c r="J286" i="1"/>
  <c r="N286" i="1" s="1"/>
  <c r="J285" i="1"/>
  <c r="N285" i="1" s="1"/>
  <c r="J284" i="1"/>
  <c r="N284" i="1" s="1"/>
  <c r="J283" i="1"/>
  <c r="N283" i="1" s="1"/>
  <c r="J282" i="1"/>
  <c r="N282" i="1" s="1"/>
  <c r="J281" i="1"/>
  <c r="N281" i="1" s="1"/>
  <c r="J280" i="1"/>
  <c r="N280" i="1" s="1"/>
  <c r="J279" i="1"/>
  <c r="N279" i="1" s="1"/>
  <c r="J278" i="1"/>
  <c r="N278" i="1" s="1"/>
  <c r="J277" i="1"/>
  <c r="N277" i="1" s="1"/>
  <c r="J276" i="1"/>
  <c r="N276" i="1" s="1"/>
  <c r="J275" i="1"/>
  <c r="N275" i="1" s="1"/>
  <c r="J274" i="1"/>
  <c r="N274" i="1" s="1"/>
  <c r="J273" i="1"/>
  <c r="N273" i="1" s="1"/>
  <c r="J272" i="1"/>
  <c r="N272" i="1" s="1"/>
  <c r="J271" i="1"/>
  <c r="N271" i="1" s="1"/>
  <c r="J270" i="1"/>
  <c r="N270" i="1" s="1"/>
  <c r="J269" i="1"/>
  <c r="N269" i="1" s="1"/>
  <c r="J268" i="1"/>
  <c r="N268" i="1" s="1"/>
  <c r="J267" i="1"/>
  <c r="N267" i="1" s="1"/>
  <c r="J266" i="1"/>
  <c r="N266" i="1" s="1"/>
  <c r="J265" i="1"/>
  <c r="N265" i="1" s="1"/>
  <c r="J264" i="1"/>
  <c r="N264" i="1" s="1"/>
  <c r="J263" i="1"/>
  <c r="N263" i="1" s="1"/>
  <c r="J262" i="1"/>
  <c r="N262" i="1" s="1"/>
  <c r="J261" i="1"/>
  <c r="N261" i="1" s="1"/>
  <c r="J260" i="1"/>
  <c r="N260" i="1" s="1"/>
  <c r="J259" i="1"/>
  <c r="N259" i="1" s="1"/>
  <c r="J258" i="1"/>
  <c r="N258" i="1" s="1"/>
  <c r="J257" i="1"/>
  <c r="N257" i="1" s="1"/>
  <c r="J256" i="1"/>
  <c r="N256" i="1" s="1"/>
  <c r="J255" i="1"/>
  <c r="N255" i="1" s="1"/>
  <c r="J254" i="1"/>
  <c r="N254" i="1" s="1"/>
  <c r="J253" i="1"/>
  <c r="N253" i="1" s="1"/>
  <c r="J252" i="1"/>
  <c r="N252" i="1" s="1"/>
  <c r="J251" i="1"/>
  <c r="N251" i="1" s="1"/>
  <c r="J250" i="1"/>
  <c r="N250" i="1" s="1"/>
  <c r="J249" i="1"/>
  <c r="N249" i="1" s="1"/>
  <c r="J248" i="1"/>
  <c r="N248" i="1" s="1"/>
  <c r="J247" i="1"/>
  <c r="N247" i="1" s="1"/>
  <c r="J246" i="1"/>
  <c r="N246" i="1" s="1"/>
  <c r="J245" i="1"/>
  <c r="N245" i="1" s="1"/>
  <c r="J244" i="1"/>
  <c r="N244" i="1" s="1"/>
  <c r="J243" i="1"/>
  <c r="N243" i="1" s="1"/>
  <c r="J242" i="1"/>
  <c r="N242" i="1" s="1"/>
  <c r="J241" i="1"/>
  <c r="N241" i="1" s="1"/>
  <c r="J240" i="1"/>
  <c r="N240" i="1" s="1"/>
  <c r="J239" i="1"/>
  <c r="N239" i="1" s="1"/>
  <c r="J238" i="1"/>
  <c r="N238" i="1" s="1"/>
  <c r="J237" i="1"/>
  <c r="N237" i="1" s="1"/>
  <c r="J236" i="1"/>
  <c r="N236" i="1" s="1"/>
  <c r="J235" i="1"/>
  <c r="N235" i="1" s="1"/>
  <c r="J234" i="1"/>
  <c r="N234" i="1" s="1"/>
  <c r="J233" i="1"/>
  <c r="N233" i="1" s="1"/>
  <c r="J232" i="1"/>
  <c r="N232" i="1" s="1"/>
  <c r="J231" i="1"/>
  <c r="N231" i="1" s="1"/>
  <c r="J230" i="1"/>
  <c r="N230" i="1" s="1"/>
  <c r="J229" i="1"/>
  <c r="N229" i="1" s="1"/>
  <c r="J228" i="1"/>
  <c r="N228" i="1" s="1"/>
  <c r="J227" i="1"/>
  <c r="N227" i="1" s="1"/>
  <c r="J226" i="1"/>
  <c r="N226" i="1" s="1"/>
  <c r="J225" i="1"/>
  <c r="N225" i="1" s="1"/>
  <c r="J224" i="1"/>
  <c r="N224" i="1" s="1"/>
  <c r="J223" i="1"/>
  <c r="N223" i="1" s="1"/>
  <c r="J222" i="1"/>
  <c r="N222" i="1" s="1"/>
  <c r="J221" i="1"/>
  <c r="N221" i="1" s="1"/>
  <c r="J220" i="1"/>
  <c r="N220" i="1" s="1"/>
  <c r="J219" i="1"/>
  <c r="N219" i="1" s="1"/>
  <c r="J218" i="1"/>
  <c r="N218" i="1" s="1"/>
  <c r="J217" i="1"/>
  <c r="N217" i="1" s="1"/>
  <c r="J216" i="1"/>
  <c r="N216" i="1" s="1"/>
  <c r="J215" i="1"/>
  <c r="N215" i="1" s="1"/>
  <c r="J214" i="1"/>
  <c r="N214" i="1" s="1"/>
  <c r="J213" i="1"/>
  <c r="N213" i="1" s="1"/>
  <c r="J212" i="1"/>
  <c r="N212" i="1" s="1"/>
  <c r="J211" i="1"/>
  <c r="N211" i="1" s="1"/>
  <c r="J210" i="1"/>
  <c r="N210" i="1" s="1"/>
  <c r="J209" i="1"/>
  <c r="N209" i="1" s="1"/>
  <c r="J208" i="1"/>
  <c r="N208" i="1" s="1"/>
  <c r="J207" i="1"/>
  <c r="N207" i="1" s="1"/>
  <c r="J206" i="1"/>
  <c r="N206" i="1" s="1"/>
  <c r="J205" i="1"/>
  <c r="N205" i="1" s="1"/>
  <c r="J204" i="1"/>
  <c r="N204" i="1" s="1"/>
  <c r="J203" i="1"/>
  <c r="N203" i="1" s="1"/>
  <c r="J202" i="1"/>
  <c r="N202" i="1" s="1"/>
  <c r="J201" i="1"/>
  <c r="N201" i="1" s="1"/>
  <c r="J200" i="1"/>
  <c r="N200" i="1" s="1"/>
  <c r="J199" i="1"/>
  <c r="N199" i="1" s="1"/>
  <c r="J198" i="1"/>
  <c r="N198" i="1" s="1"/>
  <c r="J197" i="1"/>
  <c r="N197" i="1" s="1"/>
  <c r="J196" i="1"/>
  <c r="N196" i="1" s="1"/>
  <c r="J195" i="1"/>
  <c r="N195" i="1" s="1"/>
  <c r="J194" i="1"/>
  <c r="N194" i="1" s="1"/>
  <c r="J193" i="1"/>
  <c r="N193" i="1" s="1"/>
  <c r="J192" i="1"/>
  <c r="N192" i="1" s="1"/>
  <c r="J191" i="1"/>
  <c r="N191" i="1" s="1"/>
  <c r="J190" i="1"/>
  <c r="N190" i="1" s="1"/>
  <c r="J189" i="1"/>
  <c r="N189" i="1" s="1"/>
  <c r="J188" i="1"/>
  <c r="N188" i="1" s="1"/>
  <c r="J187" i="1"/>
  <c r="N187" i="1" s="1"/>
  <c r="J186" i="1"/>
  <c r="N186" i="1" s="1"/>
  <c r="J185" i="1"/>
  <c r="N185" i="1" s="1"/>
  <c r="J184" i="1"/>
  <c r="N184" i="1" s="1"/>
  <c r="J183" i="1"/>
  <c r="N183" i="1" s="1"/>
  <c r="J182" i="1"/>
  <c r="N182" i="1" s="1"/>
  <c r="J181" i="1"/>
  <c r="N181" i="1" s="1"/>
  <c r="J180" i="1"/>
  <c r="N180" i="1" s="1"/>
  <c r="J179" i="1"/>
  <c r="N179" i="1" s="1"/>
  <c r="J178" i="1"/>
  <c r="N178" i="1" s="1"/>
  <c r="J177" i="1"/>
  <c r="N177" i="1" s="1"/>
  <c r="J176" i="1"/>
  <c r="N176" i="1" s="1"/>
  <c r="J175" i="1"/>
  <c r="N175" i="1" s="1"/>
  <c r="J174" i="1"/>
  <c r="N174" i="1" s="1"/>
  <c r="J173" i="1"/>
  <c r="N173" i="1" s="1"/>
  <c r="J172" i="1"/>
  <c r="N172" i="1" s="1"/>
  <c r="J171" i="1"/>
  <c r="N171" i="1" s="1"/>
  <c r="J170" i="1"/>
  <c r="N170" i="1" s="1"/>
  <c r="J169" i="1"/>
  <c r="N169" i="1" s="1"/>
  <c r="J168" i="1"/>
  <c r="N168" i="1" s="1"/>
  <c r="J167" i="1"/>
  <c r="N167" i="1" s="1"/>
  <c r="J166" i="1"/>
  <c r="N166" i="1" s="1"/>
  <c r="J165" i="1"/>
  <c r="N165" i="1" s="1"/>
  <c r="J164" i="1"/>
  <c r="N164" i="1" s="1"/>
  <c r="J163" i="1"/>
  <c r="N163" i="1" s="1"/>
  <c r="J162" i="1"/>
  <c r="N162" i="1" s="1"/>
  <c r="J161" i="1"/>
  <c r="N161" i="1" s="1"/>
  <c r="J160" i="1"/>
  <c r="N160" i="1" s="1"/>
  <c r="J159" i="1"/>
  <c r="N159" i="1" s="1"/>
  <c r="J158" i="1"/>
  <c r="N158" i="1" s="1"/>
  <c r="J157" i="1"/>
  <c r="N157" i="1" s="1"/>
  <c r="J156" i="1"/>
  <c r="N156" i="1" s="1"/>
  <c r="J155" i="1"/>
  <c r="N155" i="1" s="1"/>
  <c r="J154" i="1"/>
  <c r="N154" i="1" s="1"/>
  <c r="J153" i="1"/>
  <c r="N153" i="1" s="1"/>
  <c r="J152" i="1"/>
  <c r="N152" i="1" s="1"/>
  <c r="J151" i="1"/>
  <c r="N151" i="1" s="1"/>
  <c r="J150" i="1"/>
  <c r="N150" i="1" s="1"/>
  <c r="J149" i="1"/>
  <c r="N149" i="1" s="1"/>
  <c r="J148" i="1"/>
  <c r="N148" i="1" s="1"/>
  <c r="J147" i="1"/>
  <c r="N147" i="1" s="1"/>
  <c r="J146" i="1"/>
  <c r="N146" i="1" s="1"/>
  <c r="J145" i="1"/>
  <c r="N145" i="1" s="1"/>
  <c r="J144" i="1"/>
  <c r="N144" i="1" s="1"/>
  <c r="J143" i="1"/>
  <c r="N143" i="1" s="1"/>
  <c r="J142" i="1"/>
  <c r="N142" i="1" s="1"/>
  <c r="J141" i="1"/>
  <c r="N141" i="1" s="1"/>
  <c r="J140" i="1"/>
  <c r="N140" i="1" s="1"/>
  <c r="J139" i="1"/>
  <c r="N139" i="1" s="1"/>
  <c r="J138" i="1"/>
  <c r="N138" i="1" s="1"/>
  <c r="J137" i="1"/>
  <c r="N137" i="1" s="1"/>
  <c r="J136" i="1"/>
  <c r="N136" i="1" s="1"/>
  <c r="J135" i="1"/>
  <c r="N135" i="1" s="1"/>
  <c r="J134" i="1"/>
  <c r="N134" i="1" s="1"/>
  <c r="J133" i="1"/>
  <c r="N133" i="1" s="1"/>
  <c r="J132" i="1"/>
  <c r="N132" i="1" s="1"/>
  <c r="J131" i="1"/>
  <c r="N131" i="1" s="1"/>
  <c r="J130" i="1"/>
  <c r="N130" i="1" s="1"/>
  <c r="J129" i="1"/>
  <c r="N129" i="1" s="1"/>
  <c r="J128" i="1"/>
  <c r="N128" i="1" s="1"/>
  <c r="J127" i="1"/>
  <c r="N127" i="1" s="1"/>
  <c r="J126" i="1"/>
  <c r="N126" i="1" s="1"/>
  <c r="J125" i="1"/>
  <c r="N125" i="1" s="1"/>
  <c r="J124" i="1"/>
  <c r="N124" i="1" s="1"/>
  <c r="J123" i="1"/>
  <c r="N123" i="1" s="1"/>
  <c r="J122" i="1"/>
  <c r="N122" i="1" s="1"/>
  <c r="J121" i="1"/>
  <c r="N121" i="1" s="1"/>
  <c r="J120" i="1"/>
  <c r="N120" i="1" s="1"/>
  <c r="J119" i="1"/>
  <c r="N119" i="1" s="1"/>
  <c r="J118" i="1"/>
  <c r="N118" i="1" s="1"/>
  <c r="J117" i="1"/>
  <c r="N117" i="1" s="1"/>
  <c r="J116" i="1"/>
  <c r="N116" i="1" s="1"/>
  <c r="J115" i="1"/>
  <c r="N115" i="1" s="1"/>
  <c r="J114" i="1"/>
  <c r="N114" i="1" s="1"/>
  <c r="J113" i="1"/>
  <c r="N113" i="1" s="1"/>
  <c r="J112" i="1"/>
  <c r="N112" i="1" s="1"/>
  <c r="J111" i="1"/>
  <c r="N111" i="1" s="1"/>
  <c r="J110" i="1"/>
  <c r="N110" i="1" s="1"/>
  <c r="J109" i="1"/>
  <c r="N109" i="1" s="1"/>
  <c r="J108" i="1"/>
  <c r="N108" i="1" s="1"/>
  <c r="J107" i="1"/>
  <c r="N107" i="1" s="1"/>
  <c r="J106" i="1"/>
  <c r="N106" i="1" s="1"/>
  <c r="J105" i="1"/>
  <c r="N105" i="1" s="1"/>
  <c r="J104" i="1"/>
  <c r="N104" i="1" s="1"/>
  <c r="J103" i="1"/>
  <c r="N103" i="1" s="1"/>
  <c r="J102" i="1"/>
  <c r="N102" i="1" s="1"/>
  <c r="J101" i="1"/>
  <c r="N101" i="1" s="1"/>
  <c r="J100" i="1"/>
  <c r="N100" i="1" s="1"/>
  <c r="J99" i="1"/>
  <c r="N99" i="1" s="1"/>
  <c r="J98" i="1"/>
  <c r="N98" i="1" s="1"/>
  <c r="J97" i="1"/>
  <c r="N97" i="1" s="1"/>
  <c r="J96" i="1"/>
  <c r="N96" i="1" s="1"/>
  <c r="J95" i="1"/>
  <c r="N95" i="1" s="1"/>
  <c r="J94" i="1"/>
  <c r="N94" i="1" s="1"/>
  <c r="J93" i="1"/>
  <c r="N93" i="1" s="1"/>
  <c r="J92" i="1"/>
  <c r="N92" i="1" s="1"/>
  <c r="J91" i="1"/>
  <c r="N91" i="1" s="1"/>
  <c r="J90" i="1"/>
  <c r="N90" i="1" s="1"/>
  <c r="J89" i="1"/>
  <c r="N89" i="1" s="1"/>
  <c r="J88" i="1"/>
  <c r="N88" i="1" s="1"/>
  <c r="J87" i="1"/>
  <c r="N87" i="1" s="1"/>
  <c r="J86" i="1"/>
  <c r="N86" i="1" s="1"/>
  <c r="J85" i="1"/>
  <c r="N85" i="1" s="1"/>
  <c r="J84" i="1"/>
  <c r="N84" i="1" s="1"/>
  <c r="J83" i="1"/>
  <c r="N83" i="1" s="1"/>
  <c r="J82" i="1"/>
  <c r="N82" i="1" s="1"/>
  <c r="J81" i="1"/>
  <c r="N81" i="1" s="1"/>
  <c r="J80" i="1"/>
  <c r="N80" i="1" s="1"/>
  <c r="J79" i="1"/>
  <c r="N79" i="1" s="1"/>
  <c r="J78" i="1"/>
  <c r="N78" i="1" s="1"/>
  <c r="J77" i="1"/>
  <c r="N77" i="1" s="1"/>
  <c r="J76" i="1"/>
  <c r="N76" i="1" s="1"/>
  <c r="J75" i="1"/>
  <c r="N75" i="1" s="1"/>
  <c r="J74" i="1"/>
  <c r="N74" i="1" s="1"/>
  <c r="J73" i="1"/>
  <c r="N73" i="1" s="1"/>
  <c r="J72" i="1"/>
  <c r="N72" i="1" s="1"/>
  <c r="J71" i="1"/>
  <c r="N71" i="1" s="1"/>
  <c r="J70" i="1"/>
  <c r="N70" i="1" s="1"/>
  <c r="J69" i="1"/>
  <c r="N69" i="1" s="1"/>
  <c r="J68" i="1"/>
  <c r="N68" i="1" s="1"/>
  <c r="J67" i="1"/>
  <c r="N67" i="1" s="1"/>
  <c r="J66" i="1"/>
  <c r="N66" i="1" s="1"/>
  <c r="J65" i="1"/>
  <c r="N65" i="1" s="1"/>
  <c r="J64" i="1"/>
  <c r="N64" i="1" s="1"/>
  <c r="J63" i="1"/>
  <c r="N63" i="1" s="1"/>
  <c r="J62" i="1"/>
  <c r="N62" i="1" s="1"/>
  <c r="J61" i="1"/>
  <c r="N61" i="1" s="1"/>
  <c r="J60" i="1"/>
  <c r="N60" i="1" s="1"/>
  <c r="J59" i="1"/>
  <c r="N59" i="1" s="1"/>
  <c r="J58" i="1"/>
  <c r="N58" i="1" s="1"/>
  <c r="J57" i="1"/>
  <c r="N57" i="1" s="1"/>
  <c r="J56" i="1"/>
  <c r="N56" i="1" s="1"/>
  <c r="J55" i="1"/>
  <c r="N55" i="1" s="1"/>
  <c r="J54" i="1"/>
  <c r="N54" i="1" s="1"/>
  <c r="J53" i="1"/>
  <c r="N53" i="1" s="1"/>
  <c r="J52" i="1"/>
  <c r="N52" i="1" s="1"/>
  <c r="J51" i="1"/>
  <c r="N51" i="1" s="1"/>
  <c r="J50" i="1"/>
  <c r="N50" i="1" s="1"/>
  <c r="J49" i="1"/>
  <c r="N49" i="1" s="1"/>
  <c r="J48" i="1"/>
  <c r="N48" i="1" s="1"/>
  <c r="J47" i="1"/>
  <c r="N47" i="1" s="1"/>
  <c r="J46" i="1"/>
  <c r="N46" i="1" s="1"/>
  <c r="J45" i="1"/>
  <c r="N45" i="1" s="1"/>
  <c r="J44" i="1"/>
  <c r="N44" i="1" s="1"/>
  <c r="J42" i="1"/>
  <c r="N42" i="1" s="1"/>
  <c r="J41" i="1"/>
  <c r="N41" i="1" s="1"/>
  <c r="J40" i="1"/>
  <c r="N40" i="1" s="1"/>
  <c r="J39" i="1"/>
  <c r="N39" i="1" s="1"/>
  <c r="J38" i="1"/>
  <c r="N38" i="1" s="1"/>
  <c r="J37" i="1"/>
  <c r="N37" i="1" s="1"/>
  <c r="J36" i="1"/>
  <c r="N36" i="1" s="1"/>
  <c r="J35" i="1"/>
  <c r="N35" i="1" s="1"/>
  <c r="J34" i="1"/>
  <c r="N34" i="1" s="1"/>
  <c r="J33" i="1"/>
  <c r="N33" i="1" s="1"/>
  <c r="J32" i="1"/>
  <c r="N32" i="1" s="1"/>
  <c r="J31" i="1"/>
  <c r="N31" i="1" s="1"/>
  <c r="J30" i="1"/>
  <c r="N30" i="1" s="1"/>
  <c r="J29" i="1"/>
  <c r="N29" i="1" s="1"/>
  <c r="J28" i="1"/>
  <c r="N28" i="1" s="1"/>
  <c r="J27" i="1"/>
  <c r="N27" i="1" s="1"/>
  <c r="J26" i="1"/>
  <c r="N26" i="1" s="1"/>
  <c r="J25" i="1"/>
  <c r="N25" i="1" s="1"/>
  <c r="J24" i="1"/>
  <c r="N24" i="1" s="1"/>
  <c r="J23" i="1"/>
  <c r="N23" i="1" s="1"/>
  <c r="J22" i="1"/>
  <c r="N22" i="1" s="1"/>
  <c r="J21" i="1"/>
  <c r="N21" i="1" s="1"/>
  <c r="J20" i="1"/>
  <c r="N20" i="1" s="1"/>
  <c r="J19" i="1"/>
  <c r="N19" i="1" s="1"/>
  <c r="J18" i="1"/>
  <c r="N18" i="1" s="1"/>
  <c r="J17" i="1"/>
  <c r="N17" i="1" s="1"/>
  <c r="J16" i="1"/>
  <c r="N16" i="1" s="1"/>
  <c r="J15" i="1"/>
  <c r="N15" i="1" s="1"/>
  <c r="J14" i="1"/>
  <c r="N14" i="1" s="1"/>
  <c r="J13" i="1"/>
  <c r="N13" i="1" s="1"/>
  <c r="J12" i="1"/>
  <c r="N12" i="1" s="1"/>
  <c r="J11" i="1"/>
  <c r="N11" i="1" s="1"/>
  <c r="J10" i="1"/>
  <c r="N10" i="1" s="1"/>
  <c r="J9" i="1"/>
  <c r="N9" i="1" s="1"/>
  <c r="J8" i="1"/>
  <c r="N8" i="1" s="1"/>
  <c r="J7" i="1"/>
  <c r="N7" i="1" s="1"/>
  <c r="J6" i="1"/>
  <c r="N6" i="1" s="1"/>
  <c r="J5" i="1"/>
  <c r="N5" i="1" s="1"/>
  <c r="J4" i="1"/>
  <c r="N4" i="1" s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J43" i="1"/>
  <c r="N43" i="1" s="1"/>
  <c r="V527" i="1" l="1"/>
  <c r="W527" i="1" s="1"/>
  <c r="V526" i="1"/>
  <c r="W526" i="1" s="1"/>
  <c r="V487" i="1"/>
  <c r="W487" i="1" s="1"/>
  <c r="V517" i="1"/>
  <c r="W517" i="1" s="1"/>
  <c r="V501" i="1"/>
  <c r="W501" i="1" s="1"/>
  <c r="V485" i="1"/>
  <c r="W485" i="1" s="1"/>
  <c r="V469" i="1"/>
  <c r="W469" i="1" s="1"/>
  <c r="V453" i="1"/>
  <c r="W453" i="1" s="1"/>
  <c r="V437" i="1"/>
  <c r="W437" i="1" s="1"/>
  <c r="V421" i="1"/>
  <c r="W421" i="1" s="1"/>
  <c r="V405" i="1"/>
  <c r="W405" i="1" s="1"/>
  <c r="V389" i="1"/>
  <c r="W389" i="1" s="1"/>
  <c r="V373" i="1"/>
  <c r="W373" i="1" s="1"/>
  <c r="V446" i="1"/>
  <c r="W446" i="1" s="1"/>
  <c r="V458" i="1"/>
  <c r="W458" i="1" s="1"/>
  <c r="V514" i="1"/>
  <c r="W514" i="1" s="1"/>
  <c r="V498" i="1"/>
  <c r="W498" i="1" s="1"/>
  <c r="V482" i="1"/>
  <c r="W482" i="1" s="1"/>
  <c r="V466" i="1"/>
  <c r="W466" i="1" s="1"/>
  <c r="V450" i="1"/>
  <c r="W450" i="1" s="1"/>
  <c r="V434" i="1"/>
  <c r="W434" i="1" s="1"/>
  <c r="V418" i="1"/>
  <c r="W418" i="1" s="1"/>
  <c r="V402" i="1"/>
  <c r="W402" i="1" s="1"/>
  <c r="V386" i="1"/>
  <c r="W386" i="1" s="1"/>
  <c r="V474" i="1"/>
  <c r="W474" i="1" s="1"/>
  <c r="V394" i="1"/>
  <c r="W394" i="1" s="1"/>
  <c r="V506" i="1"/>
  <c r="W506" i="1" s="1"/>
  <c r="V524" i="1"/>
  <c r="W524" i="1" s="1"/>
  <c r="V508" i="1"/>
  <c r="W508" i="1" s="1"/>
  <c r="V492" i="1"/>
  <c r="W492" i="1" s="1"/>
  <c r="V476" i="1"/>
  <c r="W476" i="1" s="1"/>
  <c r="V460" i="1"/>
  <c r="W460" i="1" s="1"/>
  <c r="V444" i="1"/>
  <c r="W444" i="1" s="1"/>
  <c r="V428" i="1"/>
  <c r="W428" i="1" s="1"/>
  <c r="V412" i="1"/>
  <c r="W412" i="1" s="1"/>
  <c r="V396" i="1"/>
  <c r="W396" i="1" s="1"/>
  <c r="V380" i="1"/>
  <c r="W380" i="1" s="1"/>
  <c r="V370" i="1"/>
  <c r="W370" i="1" s="1"/>
  <c r="V367" i="1"/>
  <c r="W367" i="1" s="1"/>
  <c r="V40" i="1"/>
  <c r="W40" i="1" s="1"/>
  <c r="V24" i="1"/>
  <c r="W24" i="1" s="1"/>
  <c r="V8" i="1"/>
  <c r="W8" i="1" s="1"/>
  <c r="V490" i="1"/>
  <c r="W490" i="1" s="1"/>
  <c r="V294" i="1"/>
  <c r="W294" i="1" s="1"/>
  <c r="V38" i="1"/>
  <c r="W38" i="1" s="1"/>
  <c r="V22" i="1"/>
  <c r="W22" i="1" s="1"/>
  <c r="V6" i="1"/>
  <c r="W6" i="1" s="1"/>
  <c r="V521" i="1"/>
  <c r="W521" i="1" s="1"/>
  <c r="V505" i="1"/>
  <c r="W505" i="1" s="1"/>
  <c r="V489" i="1"/>
  <c r="W489" i="1" s="1"/>
  <c r="V473" i="1"/>
  <c r="W473" i="1" s="1"/>
  <c r="V457" i="1"/>
  <c r="W457" i="1" s="1"/>
  <c r="V441" i="1"/>
  <c r="W441" i="1" s="1"/>
  <c r="V425" i="1"/>
  <c r="W425" i="1" s="1"/>
  <c r="V393" i="1"/>
  <c r="W393" i="1" s="1"/>
  <c r="V377" i="1"/>
  <c r="W377" i="1" s="1"/>
  <c r="V368" i="1"/>
  <c r="W368" i="1" s="1"/>
  <c r="V309" i="1"/>
  <c r="W309" i="1" s="1"/>
  <c r="V293" i="1"/>
  <c r="W293" i="1" s="1"/>
  <c r="V424" i="1"/>
  <c r="W424" i="1" s="1"/>
  <c r="V322" i="1"/>
  <c r="W322" i="1" s="1"/>
  <c r="V306" i="1"/>
  <c r="W306" i="1" s="1"/>
  <c r="V290" i="1"/>
  <c r="W290" i="1" s="1"/>
  <c r="V274" i="1"/>
  <c r="W274" i="1" s="1"/>
  <c r="V258" i="1"/>
  <c r="W258" i="1" s="1"/>
  <c r="V242" i="1"/>
  <c r="W242" i="1" s="1"/>
  <c r="V226" i="1"/>
  <c r="W226" i="1" s="1"/>
  <c r="V210" i="1"/>
  <c r="W210" i="1" s="1"/>
  <c r="V194" i="1"/>
  <c r="W194" i="1" s="1"/>
  <c r="V178" i="1"/>
  <c r="W178" i="1" s="1"/>
  <c r="V162" i="1"/>
  <c r="W162" i="1" s="1"/>
  <c r="V146" i="1"/>
  <c r="W146" i="1" s="1"/>
  <c r="V130" i="1"/>
  <c r="W130" i="1" s="1"/>
  <c r="V114" i="1"/>
  <c r="W114" i="1" s="1"/>
  <c r="V98" i="1"/>
  <c r="W98" i="1" s="1"/>
  <c r="V82" i="1"/>
  <c r="W82" i="1" s="1"/>
  <c r="V66" i="1"/>
  <c r="W66" i="1" s="1"/>
  <c r="V33" i="1"/>
  <c r="W33" i="1" s="1"/>
  <c r="V17" i="1"/>
  <c r="W17" i="1" s="1"/>
  <c r="V219" i="1"/>
  <c r="W219" i="1" s="1"/>
  <c r="V464" i="1"/>
  <c r="W464" i="1" s="1"/>
  <c r="V177" i="1"/>
  <c r="W177" i="1" s="1"/>
  <c r="S154" i="1"/>
  <c r="V160" i="1"/>
  <c r="W160" i="1" s="1"/>
  <c r="V128" i="1"/>
  <c r="W128" i="1" s="1"/>
  <c r="V112" i="1"/>
  <c r="W112" i="1" s="1"/>
  <c r="V64" i="1"/>
  <c r="W64" i="1" s="1"/>
  <c r="S97" i="1"/>
  <c r="V519" i="1"/>
  <c r="W519" i="1" s="1"/>
  <c r="V423" i="1"/>
  <c r="W423" i="1" s="1"/>
  <c r="V324" i="1"/>
  <c r="W324" i="1" s="1"/>
  <c r="V516" i="1"/>
  <c r="W516" i="1" s="1"/>
  <c r="V500" i="1"/>
  <c r="W500" i="1" s="1"/>
  <c r="V484" i="1"/>
  <c r="W484" i="1" s="1"/>
  <c r="V468" i="1"/>
  <c r="W468" i="1" s="1"/>
  <c r="V452" i="1"/>
  <c r="W452" i="1" s="1"/>
  <c r="V436" i="1"/>
  <c r="W436" i="1" s="1"/>
  <c r="V420" i="1"/>
  <c r="W420" i="1" s="1"/>
  <c r="V404" i="1"/>
  <c r="W404" i="1" s="1"/>
  <c r="V388" i="1"/>
  <c r="W388" i="1" s="1"/>
  <c r="V372" i="1"/>
  <c r="W372" i="1" s="1"/>
  <c r="V323" i="1"/>
  <c r="W323" i="1" s="1"/>
  <c r="V307" i="1"/>
  <c r="W307" i="1" s="1"/>
  <c r="V291" i="1"/>
  <c r="W291" i="1" s="1"/>
  <c r="V35" i="1"/>
  <c r="W35" i="1" s="1"/>
  <c r="V515" i="1"/>
  <c r="W515" i="1" s="1"/>
  <c r="V499" i="1"/>
  <c r="W499" i="1" s="1"/>
  <c r="V483" i="1"/>
  <c r="W483" i="1" s="1"/>
  <c r="V467" i="1"/>
  <c r="W467" i="1" s="1"/>
  <c r="V451" i="1"/>
  <c r="W451" i="1" s="1"/>
  <c r="V435" i="1"/>
  <c r="W435" i="1" s="1"/>
  <c r="V419" i="1"/>
  <c r="W419" i="1" s="1"/>
  <c r="V403" i="1"/>
  <c r="W403" i="1" s="1"/>
  <c r="V387" i="1"/>
  <c r="W387" i="1" s="1"/>
  <c r="V371" i="1"/>
  <c r="W371" i="1" s="1"/>
  <c r="V503" i="1"/>
  <c r="W503" i="1" s="1"/>
  <c r="V471" i="1"/>
  <c r="W471" i="1" s="1"/>
  <c r="V455" i="1"/>
  <c r="W455" i="1" s="1"/>
  <c r="V407" i="1"/>
  <c r="W407" i="1" s="1"/>
  <c r="V34" i="1"/>
  <c r="W34" i="1" s="1"/>
  <c r="V297" i="1"/>
  <c r="W297" i="1" s="1"/>
  <c r="S345" i="1"/>
  <c r="V360" i="1"/>
  <c r="W360" i="1" s="1"/>
  <c r="V513" i="1"/>
  <c r="W513" i="1" s="1"/>
  <c r="V497" i="1"/>
  <c r="W497" i="1" s="1"/>
  <c r="V481" i="1"/>
  <c r="W481" i="1" s="1"/>
  <c r="V465" i="1"/>
  <c r="W465" i="1" s="1"/>
  <c r="V449" i="1"/>
  <c r="W449" i="1" s="1"/>
  <c r="V433" i="1"/>
  <c r="W433" i="1" s="1"/>
  <c r="V417" i="1"/>
  <c r="W417" i="1" s="1"/>
  <c r="V401" i="1"/>
  <c r="W401" i="1" s="1"/>
  <c r="V385" i="1"/>
  <c r="W385" i="1" s="1"/>
  <c r="V369" i="1"/>
  <c r="W369" i="1" s="1"/>
  <c r="S313" i="1"/>
  <c r="V528" i="1"/>
  <c r="W528" i="1" s="1"/>
  <c r="V480" i="1"/>
  <c r="W480" i="1" s="1"/>
  <c r="V448" i="1"/>
  <c r="W448" i="1" s="1"/>
  <c r="V432" i="1"/>
  <c r="W432" i="1" s="1"/>
  <c r="V400" i="1"/>
  <c r="W400" i="1" s="1"/>
  <c r="V384" i="1"/>
  <c r="W384" i="1" s="1"/>
  <c r="V408" i="1"/>
  <c r="W408" i="1" s="1"/>
  <c r="S88" i="1"/>
  <c r="V472" i="1"/>
  <c r="W472" i="1" s="1"/>
  <c r="V440" i="1"/>
  <c r="W440" i="1" s="1"/>
  <c r="V21" i="1"/>
  <c r="W21" i="1" s="1"/>
  <c r="S89" i="1"/>
  <c r="V520" i="1"/>
  <c r="W520" i="1" s="1"/>
  <c r="V456" i="1"/>
  <c r="W456" i="1" s="1"/>
  <c r="V376" i="1"/>
  <c r="W376" i="1" s="1"/>
  <c r="V439" i="1"/>
  <c r="W439" i="1" s="1"/>
  <c r="V375" i="1"/>
  <c r="W375" i="1" s="1"/>
  <c r="S297" i="1"/>
  <c r="S153" i="1"/>
  <c r="S121" i="1"/>
  <c r="V523" i="1"/>
  <c r="W523" i="1" s="1"/>
  <c r="V507" i="1"/>
  <c r="W507" i="1" s="1"/>
  <c r="V491" i="1"/>
  <c r="W491" i="1" s="1"/>
  <c r="V475" i="1"/>
  <c r="W475" i="1" s="1"/>
  <c r="V459" i="1"/>
  <c r="W459" i="1" s="1"/>
  <c r="V443" i="1"/>
  <c r="W443" i="1" s="1"/>
  <c r="V427" i="1"/>
  <c r="W427" i="1" s="1"/>
  <c r="V411" i="1"/>
  <c r="W411" i="1" s="1"/>
  <c r="V395" i="1"/>
  <c r="W395" i="1" s="1"/>
  <c r="V379" i="1"/>
  <c r="W379" i="1" s="1"/>
  <c r="V525" i="1"/>
  <c r="W525" i="1" s="1"/>
  <c r="V509" i="1"/>
  <c r="W509" i="1" s="1"/>
  <c r="V493" i="1"/>
  <c r="W493" i="1" s="1"/>
  <c r="V477" i="1"/>
  <c r="W477" i="1" s="1"/>
  <c r="V461" i="1"/>
  <c r="W461" i="1" s="1"/>
  <c r="V445" i="1"/>
  <c r="W445" i="1" s="1"/>
  <c r="V429" i="1"/>
  <c r="W429" i="1" s="1"/>
  <c r="V413" i="1"/>
  <c r="W413" i="1" s="1"/>
  <c r="V397" i="1"/>
  <c r="W397" i="1" s="1"/>
  <c r="V381" i="1"/>
  <c r="W381" i="1" s="1"/>
  <c r="V391" i="1"/>
  <c r="W391" i="1" s="1"/>
  <c r="S249" i="1"/>
  <c r="S105" i="1"/>
  <c r="V442" i="1"/>
  <c r="W442" i="1" s="1"/>
  <c r="S277" i="1"/>
  <c r="V454" i="1"/>
  <c r="W454" i="1" s="1"/>
  <c r="S67" i="1"/>
  <c r="S275" i="1"/>
  <c r="V347" i="1"/>
  <c r="W347" i="1" s="1"/>
  <c r="V27" i="1"/>
  <c r="W27" i="1" s="1"/>
  <c r="V11" i="1"/>
  <c r="W11" i="1" s="1"/>
  <c r="V362" i="1"/>
  <c r="W362" i="1" s="1"/>
  <c r="V346" i="1"/>
  <c r="W346" i="1" s="1"/>
  <c r="V282" i="1"/>
  <c r="W282" i="1" s="1"/>
  <c r="V266" i="1"/>
  <c r="W266" i="1" s="1"/>
  <c r="V250" i="1"/>
  <c r="W250" i="1" s="1"/>
  <c r="V234" i="1"/>
  <c r="W234" i="1" s="1"/>
  <c r="V218" i="1"/>
  <c r="W218" i="1" s="1"/>
  <c r="V202" i="1"/>
  <c r="W202" i="1" s="1"/>
  <c r="V186" i="1"/>
  <c r="W186" i="1" s="1"/>
  <c r="V170" i="1"/>
  <c r="W170" i="1" s="1"/>
  <c r="V154" i="1"/>
  <c r="W154" i="1" s="1"/>
  <c r="V138" i="1"/>
  <c r="W138" i="1" s="1"/>
  <c r="V122" i="1"/>
  <c r="W122" i="1" s="1"/>
  <c r="V106" i="1"/>
  <c r="W106" i="1" s="1"/>
  <c r="V90" i="1"/>
  <c r="W90" i="1" s="1"/>
  <c r="V74" i="1"/>
  <c r="W74" i="1" s="1"/>
  <c r="S218" i="1"/>
  <c r="V502" i="1"/>
  <c r="W502" i="1" s="1"/>
  <c r="V438" i="1"/>
  <c r="W438" i="1" s="1"/>
  <c r="V390" i="1"/>
  <c r="W390" i="1" s="1"/>
  <c r="S68" i="1"/>
  <c r="V265" i="1"/>
  <c r="W265" i="1" s="1"/>
  <c r="V518" i="1"/>
  <c r="W518" i="1" s="1"/>
  <c r="V486" i="1"/>
  <c r="W486" i="1" s="1"/>
  <c r="V422" i="1"/>
  <c r="W422" i="1" s="1"/>
  <c r="V374" i="1"/>
  <c r="W374" i="1" s="1"/>
  <c r="S307" i="1"/>
  <c r="V315" i="1"/>
  <c r="W315" i="1" s="1"/>
  <c r="V249" i="1"/>
  <c r="W249" i="1" s="1"/>
  <c r="S217" i="1"/>
  <c r="S169" i="1"/>
  <c r="V504" i="1"/>
  <c r="W504" i="1" s="1"/>
  <c r="V488" i="1"/>
  <c r="W488" i="1" s="1"/>
  <c r="V392" i="1"/>
  <c r="W392" i="1" s="1"/>
  <c r="V522" i="1"/>
  <c r="W522" i="1" s="1"/>
  <c r="V426" i="1"/>
  <c r="W426" i="1" s="1"/>
  <c r="V378" i="1"/>
  <c r="W378" i="1" s="1"/>
  <c r="V470" i="1"/>
  <c r="W470" i="1" s="1"/>
  <c r="V406" i="1"/>
  <c r="W406" i="1" s="1"/>
  <c r="V363" i="1"/>
  <c r="W363" i="1" s="1"/>
  <c r="V331" i="1"/>
  <c r="W331" i="1" s="1"/>
  <c r="V359" i="1"/>
  <c r="W359" i="1" s="1"/>
  <c r="V280" i="1"/>
  <c r="W280" i="1" s="1"/>
  <c r="S248" i="1"/>
  <c r="T310" i="1"/>
  <c r="V310" i="1" s="1"/>
  <c r="W310" i="1" s="1"/>
  <c r="S310" i="1"/>
  <c r="V278" i="1"/>
  <c r="W278" i="1" s="1"/>
  <c r="V262" i="1"/>
  <c r="W262" i="1" s="1"/>
  <c r="V246" i="1"/>
  <c r="W246" i="1" s="1"/>
  <c r="V230" i="1"/>
  <c r="W230" i="1" s="1"/>
  <c r="V214" i="1"/>
  <c r="W214" i="1" s="1"/>
  <c r="V198" i="1"/>
  <c r="W198" i="1" s="1"/>
  <c r="V182" i="1"/>
  <c r="W182" i="1" s="1"/>
  <c r="V166" i="1"/>
  <c r="W166" i="1" s="1"/>
  <c r="V150" i="1"/>
  <c r="W150" i="1" s="1"/>
  <c r="V134" i="1"/>
  <c r="W134" i="1" s="1"/>
  <c r="V118" i="1"/>
  <c r="W118" i="1" s="1"/>
  <c r="V102" i="1"/>
  <c r="W102" i="1" s="1"/>
  <c r="V86" i="1"/>
  <c r="W86" i="1" s="1"/>
  <c r="V70" i="1"/>
  <c r="W70" i="1" s="1"/>
  <c r="V277" i="1"/>
  <c r="W277" i="1" s="1"/>
  <c r="V261" i="1"/>
  <c r="W261" i="1" s="1"/>
  <c r="V245" i="1"/>
  <c r="W245" i="1" s="1"/>
  <c r="V229" i="1"/>
  <c r="W229" i="1" s="1"/>
  <c r="V213" i="1"/>
  <c r="W213" i="1" s="1"/>
  <c r="V197" i="1"/>
  <c r="W197" i="1" s="1"/>
  <c r="V181" i="1"/>
  <c r="W181" i="1" s="1"/>
  <c r="V165" i="1"/>
  <c r="W165" i="1" s="1"/>
  <c r="V149" i="1"/>
  <c r="W149" i="1" s="1"/>
  <c r="V133" i="1"/>
  <c r="W133" i="1" s="1"/>
  <c r="V117" i="1"/>
  <c r="W117" i="1" s="1"/>
  <c r="V101" i="1"/>
  <c r="W101" i="1" s="1"/>
  <c r="V85" i="1"/>
  <c r="W85" i="1" s="1"/>
  <c r="V69" i="1"/>
  <c r="W69" i="1" s="1"/>
  <c r="V171" i="1"/>
  <c r="W171" i="1" s="1"/>
  <c r="V187" i="1"/>
  <c r="W187" i="1" s="1"/>
  <c r="V328" i="1"/>
  <c r="W328" i="1" s="1"/>
  <c r="V296" i="1"/>
  <c r="W296" i="1" s="1"/>
  <c r="V248" i="1"/>
  <c r="W248" i="1" s="1"/>
  <c r="V216" i="1"/>
  <c r="W216" i="1" s="1"/>
  <c r="V184" i="1"/>
  <c r="W184" i="1" s="1"/>
  <c r="T168" i="1"/>
  <c r="V168" i="1" s="1"/>
  <c r="W168" i="1" s="1"/>
  <c r="S168" i="1"/>
  <c r="T152" i="1"/>
  <c r="V152" i="1" s="1"/>
  <c r="W152" i="1" s="1"/>
  <c r="S152" i="1"/>
  <c r="V120" i="1"/>
  <c r="W120" i="1" s="1"/>
  <c r="T104" i="1"/>
  <c r="V104" i="1" s="1"/>
  <c r="W104" i="1" s="1"/>
  <c r="S104" i="1"/>
  <c r="V72" i="1"/>
  <c r="W72" i="1" s="1"/>
  <c r="T321" i="1"/>
  <c r="V321" i="1" s="1"/>
  <c r="W321" i="1" s="1"/>
  <c r="S321" i="1"/>
  <c r="T273" i="1"/>
  <c r="V273" i="1" s="1"/>
  <c r="W273" i="1" s="1"/>
  <c r="S273" i="1"/>
  <c r="V257" i="1"/>
  <c r="W257" i="1" s="1"/>
  <c r="V225" i="1"/>
  <c r="W225" i="1" s="1"/>
  <c r="V209" i="1"/>
  <c r="W209" i="1" s="1"/>
  <c r="T193" i="1"/>
  <c r="V193" i="1" s="1"/>
  <c r="W193" i="1" s="1"/>
  <c r="S193" i="1"/>
  <c r="V161" i="1"/>
  <c r="W161" i="1" s="1"/>
  <c r="V145" i="1"/>
  <c r="W145" i="1" s="1"/>
  <c r="T129" i="1"/>
  <c r="V129" i="1" s="1"/>
  <c r="W129" i="1" s="1"/>
  <c r="S129" i="1"/>
  <c r="V113" i="1"/>
  <c r="W113" i="1" s="1"/>
  <c r="V97" i="1"/>
  <c r="W97" i="1" s="1"/>
  <c r="V81" i="1"/>
  <c r="W81" i="1" s="1"/>
  <c r="V65" i="1"/>
  <c r="W65" i="1" s="1"/>
  <c r="S353" i="1"/>
  <c r="S130" i="1"/>
  <c r="S123" i="1"/>
  <c r="S344" i="1"/>
  <c r="V203" i="1"/>
  <c r="W203" i="1" s="1"/>
  <c r="V344" i="1"/>
  <c r="W344" i="1" s="1"/>
  <c r="V312" i="1"/>
  <c r="W312" i="1" s="1"/>
  <c r="V264" i="1"/>
  <c r="W264" i="1" s="1"/>
  <c r="V232" i="1"/>
  <c r="W232" i="1" s="1"/>
  <c r="V200" i="1"/>
  <c r="W200" i="1" s="1"/>
  <c r="V136" i="1"/>
  <c r="W136" i="1" s="1"/>
  <c r="V88" i="1"/>
  <c r="W88" i="1" s="1"/>
  <c r="T305" i="1"/>
  <c r="V305" i="1" s="1"/>
  <c r="W305" i="1" s="1"/>
  <c r="S305" i="1"/>
  <c r="V241" i="1"/>
  <c r="W241" i="1" s="1"/>
  <c r="S309" i="1"/>
  <c r="S98" i="1"/>
  <c r="V18" i="1"/>
  <c r="W18" i="1" s="1"/>
  <c r="V30" i="1"/>
  <c r="W30" i="1" s="1"/>
  <c r="V14" i="1"/>
  <c r="W14" i="1" s="1"/>
  <c r="V29" i="1"/>
  <c r="W29" i="1" s="1"/>
  <c r="V13" i="1"/>
  <c r="W13" i="1" s="1"/>
  <c r="V28" i="1"/>
  <c r="W28" i="1" s="1"/>
  <c r="V12" i="1"/>
  <c r="W12" i="1" s="1"/>
  <c r="V42" i="1"/>
  <c r="W42" i="1" s="1"/>
  <c r="V26" i="1"/>
  <c r="W26" i="1" s="1"/>
  <c r="V10" i="1"/>
  <c r="W10" i="1" s="1"/>
  <c r="V144" i="1"/>
  <c r="W144" i="1" s="1"/>
  <c r="V96" i="1"/>
  <c r="W96" i="1" s="1"/>
  <c r="V313" i="1"/>
  <c r="W313" i="1" s="1"/>
  <c r="V25" i="1"/>
  <c r="W25" i="1" s="1"/>
  <c r="V343" i="1"/>
  <c r="W343" i="1" s="1"/>
  <c r="V327" i="1"/>
  <c r="W327" i="1" s="1"/>
  <c r="V311" i="1"/>
  <c r="W311" i="1" s="1"/>
  <c r="V295" i="1"/>
  <c r="W295" i="1" s="1"/>
  <c r="V279" i="1"/>
  <c r="W279" i="1" s="1"/>
  <c r="V263" i="1"/>
  <c r="W263" i="1" s="1"/>
  <c r="V247" i="1"/>
  <c r="W247" i="1" s="1"/>
  <c r="V231" i="1"/>
  <c r="W231" i="1" s="1"/>
  <c r="V215" i="1"/>
  <c r="W215" i="1" s="1"/>
  <c r="V199" i="1"/>
  <c r="W199" i="1" s="1"/>
  <c r="V183" i="1"/>
  <c r="W183" i="1" s="1"/>
  <c r="V167" i="1"/>
  <c r="W167" i="1" s="1"/>
  <c r="V151" i="1"/>
  <c r="W151" i="1" s="1"/>
  <c r="V135" i="1"/>
  <c r="W135" i="1" s="1"/>
  <c r="V119" i="1"/>
  <c r="W119" i="1" s="1"/>
  <c r="V103" i="1"/>
  <c r="W103" i="1" s="1"/>
  <c r="V87" i="1"/>
  <c r="W87" i="1" s="1"/>
  <c r="V71" i="1"/>
  <c r="W71" i="1" s="1"/>
  <c r="V39" i="1"/>
  <c r="W39" i="1" s="1"/>
  <c r="V23" i="1"/>
  <c r="W23" i="1" s="1"/>
  <c r="V7" i="1"/>
  <c r="W7" i="1" s="1"/>
  <c r="S281" i="1"/>
  <c r="V276" i="1"/>
  <c r="W276" i="1" s="1"/>
  <c r="V244" i="1"/>
  <c r="W244" i="1" s="1"/>
  <c r="V228" i="1"/>
  <c r="W228" i="1" s="1"/>
  <c r="V196" i="1"/>
  <c r="W196" i="1" s="1"/>
  <c r="V180" i="1"/>
  <c r="W180" i="1" s="1"/>
  <c r="V132" i="1"/>
  <c r="W132" i="1" s="1"/>
  <c r="V84" i="1"/>
  <c r="W84" i="1" s="1"/>
  <c r="V68" i="1"/>
  <c r="W68" i="1" s="1"/>
  <c r="V299" i="1"/>
  <c r="W299" i="1" s="1"/>
  <c r="V275" i="1"/>
  <c r="W275" i="1" s="1"/>
  <c r="V259" i="1"/>
  <c r="W259" i="1" s="1"/>
  <c r="V243" i="1"/>
  <c r="W243" i="1" s="1"/>
  <c r="V227" i="1"/>
  <c r="W227" i="1" s="1"/>
  <c r="V211" i="1"/>
  <c r="W211" i="1" s="1"/>
  <c r="V195" i="1"/>
  <c r="W195" i="1" s="1"/>
  <c r="V179" i="1"/>
  <c r="W179" i="1" s="1"/>
  <c r="V163" i="1"/>
  <c r="W163" i="1" s="1"/>
  <c r="V147" i="1"/>
  <c r="W147" i="1" s="1"/>
  <c r="V131" i="1"/>
  <c r="W131" i="1" s="1"/>
  <c r="V115" i="1"/>
  <c r="W115" i="1" s="1"/>
  <c r="V99" i="1"/>
  <c r="W99" i="1" s="1"/>
  <c r="V83" i="1"/>
  <c r="W83" i="1" s="1"/>
  <c r="V67" i="1"/>
  <c r="W67" i="1" s="1"/>
  <c r="V3" i="1"/>
  <c r="W3" i="1" s="1"/>
  <c r="S250" i="1"/>
  <c r="V330" i="1"/>
  <c r="W330" i="1" s="1"/>
  <c r="V358" i="1"/>
  <c r="W358" i="1" s="1"/>
  <c r="V342" i="1"/>
  <c r="W342" i="1" s="1"/>
  <c r="V326" i="1"/>
  <c r="W326" i="1" s="1"/>
  <c r="V340" i="1"/>
  <c r="W340" i="1" s="1"/>
  <c r="V357" i="1"/>
  <c r="W357" i="1" s="1"/>
  <c r="V355" i="1"/>
  <c r="W355" i="1" s="1"/>
  <c r="V339" i="1"/>
  <c r="W339" i="1" s="1"/>
  <c r="V341" i="1"/>
  <c r="W341" i="1" s="1"/>
  <c r="V354" i="1"/>
  <c r="W354" i="1" s="1"/>
  <c r="V338" i="1"/>
  <c r="W338" i="1" s="1"/>
  <c r="V353" i="1"/>
  <c r="W353" i="1" s="1"/>
  <c r="V337" i="1"/>
  <c r="W337" i="1" s="1"/>
  <c r="V325" i="1"/>
  <c r="W325" i="1" s="1"/>
  <c r="V298" i="1"/>
  <c r="W298" i="1" s="1"/>
  <c r="V314" i="1"/>
  <c r="W314" i="1" s="1"/>
  <c r="V292" i="1"/>
  <c r="W292" i="1" s="1"/>
  <c r="V289" i="1"/>
  <c r="W289" i="1" s="1"/>
  <c r="V281" i="1"/>
  <c r="W281" i="1" s="1"/>
  <c r="V233" i="1"/>
  <c r="W233" i="1" s="1"/>
  <c r="V217" i="1"/>
  <c r="W217" i="1" s="1"/>
  <c r="V201" i="1"/>
  <c r="W201" i="1" s="1"/>
  <c r="V185" i="1"/>
  <c r="W185" i="1" s="1"/>
  <c r="V169" i="1"/>
  <c r="W169" i="1" s="1"/>
  <c r="V153" i="1"/>
  <c r="W153" i="1" s="1"/>
  <c r="V137" i="1"/>
  <c r="W137" i="1" s="1"/>
  <c r="V121" i="1"/>
  <c r="W121" i="1" s="1"/>
  <c r="V105" i="1"/>
  <c r="W105" i="1" s="1"/>
  <c r="V89" i="1"/>
  <c r="W89" i="1" s="1"/>
  <c r="V73" i="1"/>
  <c r="W73" i="1" s="1"/>
  <c r="V41" i="1"/>
  <c r="W41" i="1" s="1"/>
  <c r="V9" i="1"/>
  <c r="W9" i="1" s="1"/>
  <c r="S354" i="1"/>
  <c r="S312" i="1"/>
  <c r="S289" i="1"/>
  <c r="S251" i="1"/>
  <c r="S219" i="1"/>
  <c r="S195" i="1"/>
  <c r="S161" i="1"/>
  <c r="S131" i="1"/>
  <c r="S99" i="1"/>
  <c r="V37" i="1"/>
  <c r="W37" i="1" s="1"/>
  <c r="V5" i="1"/>
  <c r="W5" i="1" s="1"/>
  <c r="S247" i="1"/>
  <c r="V283" i="1"/>
  <c r="W283" i="1" s="1"/>
  <c r="V267" i="1"/>
  <c r="W267" i="1" s="1"/>
  <c r="V251" i="1"/>
  <c r="W251" i="1" s="1"/>
  <c r="V235" i="1"/>
  <c r="W235" i="1" s="1"/>
  <c r="S311" i="1"/>
  <c r="S283" i="1"/>
  <c r="S194" i="1"/>
  <c r="S155" i="1"/>
  <c r="V19" i="1"/>
  <c r="W19" i="1" s="1"/>
  <c r="V36" i="1"/>
  <c r="W36" i="1" s="1"/>
  <c r="V20" i="1"/>
  <c r="W20" i="1" s="1"/>
  <c r="V4" i="1"/>
  <c r="W4" i="1" s="1"/>
  <c r="S342" i="1"/>
  <c r="S306" i="1"/>
  <c r="S274" i="1"/>
  <c r="S246" i="1"/>
  <c r="S211" i="1"/>
  <c r="S181" i="1"/>
  <c r="S151" i="1"/>
  <c r="S119" i="1"/>
  <c r="S87" i="1"/>
  <c r="V16" i="1"/>
  <c r="W16" i="1" s="1"/>
  <c r="S182" i="1"/>
  <c r="S341" i="1"/>
  <c r="S245" i="1"/>
  <c r="S210" i="1"/>
  <c r="S179" i="1"/>
  <c r="S150" i="1"/>
  <c r="S115" i="1"/>
  <c r="S86" i="1"/>
  <c r="S339" i="1"/>
  <c r="S298" i="1"/>
  <c r="S267" i="1"/>
  <c r="S243" i="1"/>
  <c r="S209" i="1"/>
  <c r="S178" i="1"/>
  <c r="S149" i="1"/>
  <c r="S114" i="1"/>
  <c r="S85" i="1"/>
  <c r="V32" i="1"/>
  <c r="W32" i="1" s="1"/>
  <c r="S362" i="1"/>
  <c r="S337" i="1"/>
  <c r="S296" i="1"/>
  <c r="S265" i="1"/>
  <c r="S241" i="1"/>
  <c r="S202" i="1"/>
  <c r="S171" i="1"/>
  <c r="S146" i="1"/>
  <c r="S107" i="1"/>
  <c r="S82" i="1"/>
  <c r="S363" i="1"/>
  <c r="S338" i="1"/>
  <c r="S266" i="1"/>
  <c r="S242" i="1"/>
  <c r="S203" i="1"/>
  <c r="S177" i="1"/>
  <c r="S147" i="1"/>
  <c r="S113" i="1"/>
  <c r="S83" i="1"/>
  <c r="V192" i="1"/>
  <c r="W192" i="1" s="1"/>
  <c r="V176" i="1"/>
  <c r="W176" i="1" s="1"/>
  <c r="V80" i="1"/>
  <c r="W80" i="1" s="1"/>
  <c r="V31" i="1"/>
  <c r="W31" i="1" s="1"/>
  <c r="V15" i="1"/>
  <c r="W15" i="1" s="1"/>
  <c r="S361" i="1"/>
  <c r="S323" i="1"/>
  <c r="S295" i="1"/>
  <c r="S264" i="1"/>
  <c r="S230" i="1"/>
  <c r="S201" i="1"/>
  <c r="S170" i="1"/>
  <c r="S145" i="1"/>
  <c r="S106" i="1"/>
  <c r="S81" i="1"/>
  <c r="S360" i="1"/>
  <c r="S322" i="1"/>
  <c r="S294" i="1"/>
  <c r="S263" i="1"/>
  <c r="S229" i="1"/>
  <c r="S200" i="1"/>
  <c r="S136" i="1"/>
  <c r="S183" i="1"/>
  <c r="S262" i="1"/>
  <c r="S199" i="1"/>
  <c r="S215" i="1"/>
  <c r="S343" i="1"/>
  <c r="S213" i="1"/>
  <c r="S359" i="1"/>
  <c r="S293" i="1"/>
  <c r="S228" i="1"/>
  <c r="S135" i="1"/>
  <c r="S358" i="1"/>
  <c r="S315" i="1"/>
  <c r="S292" i="1"/>
  <c r="S259" i="1"/>
  <c r="S227" i="1"/>
  <c r="S198" i="1"/>
  <c r="S166" i="1"/>
  <c r="S134" i="1"/>
  <c r="S103" i="1"/>
  <c r="S66" i="1"/>
  <c r="S357" i="1"/>
  <c r="S314" i="1"/>
  <c r="S291" i="1"/>
  <c r="S258" i="1"/>
  <c r="S226" i="1"/>
  <c r="S197" i="1"/>
  <c r="S163" i="1"/>
  <c r="S133" i="1"/>
  <c r="S102" i="1"/>
  <c r="S65" i="1"/>
  <c r="V155" i="1"/>
  <c r="W155" i="1" s="1"/>
  <c r="V139" i="1"/>
  <c r="W139" i="1" s="1"/>
  <c r="V123" i="1"/>
  <c r="W123" i="1" s="1"/>
  <c r="V107" i="1"/>
  <c r="W107" i="1" s="1"/>
  <c r="V91" i="1"/>
  <c r="W91" i="1" s="1"/>
  <c r="V75" i="1"/>
  <c r="W75" i="1" s="1"/>
  <c r="S355" i="1"/>
  <c r="S290" i="1"/>
  <c r="S257" i="1"/>
  <c r="S225" i="1"/>
  <c r="S196" i="1"/>
  <c r="S162" i="1"/>
  <c r="S132" i="1"/>
  <c r="S101" i="1"/>
  <c r="T260" i="1"/>
  <c r="V260" i="1" s="1"/>
  <c r="W260" i="1" s="1"/>
  <c r="S260" i="1"/>
  <c r="T212" i="1"/>
  <c r="V212" i="1" s="1"/>
  <c r="W212" i="1" s="1"/>
  <c r="S212" i="1"/>
  <c r="T164" i="1"/>
  <c r="V164" i="1" s="1"/>
  <c r="W164" i="1" s="1"/>
  <c r="S164" i="1"/>
  <c r="S340" i="1"/>
  <c r="T336" i="1"/>
  <c r="V336" i="1" s="1"/>
  <c r="W336" i="1" s="1"/>
  <c r="S336" i="1"/>
  <c r="T272" i="1"/>
  <c r="V272" i="1" s="1"/>
  <c r="W272" i="1" s="1"/>
  <c r="S272" i="1"/>
  <c r="T240" i="1"/>
  <c r="V240" i="1" s="1"/>
  <c r="W240" i="1" s="1"/>
  <c r="S240" i="1"/>
  <c r="T351" i="1"/>
  <c r="V351" i="1" s="1"/>
  <c r="W351" i="1" s="1"/>
  <c r="S351" i="1"/>
  <c r="T335" i="1"/>
  <c r="V335" i="1" s="1"/>
  <c r="W335" i="1" s="1"/>
  <c r="S335" i="1"/>
  <c r="T319" i="1"/>
  <c r="V319" i="1" s="1"/>
  <c r="W319" i="1" s="1"/>
  <c r="S319" i="1"/>
  <c r="T303" i="1"/>
  <c r="V303" i="1" s="1"/>
  <c r="W303" i="1" s="1"/>
  <c r="S303" i="1"/>
  <c r="T287" i="1"/>
  <c r="V287" i="1" s="1"/>
  <c r="W287" i="1" s="1"/>
  <c r="S287" i="1"/>
  <c r="T271" i="1"/>
  <c r="V271" i="1" s="1"/>
  <c r="W271" i="1" s="1"/>
  <c r="S271" i="1"/>
  <c r="T255" i="1"/>
  <c r="V255" i="1" s="1"/>
  <c r="W255" i="1" s="1"/>
  <c r="S255" i="1"/>
  <c r="T239" i="1"/>
  <c r="V239" i="1" s="1"/>
  <c r="W239" i="1" s="1"/>
  <c r="S239" i="1"/>
  <c r="T223" i="1"/>
  <c r="V223" i="1" s="1"/>
  <c r="W223" i="1" s="1"/>
  <c r="S223" i="1"/>
  <c r="T207" i="1"/>
  <c r="V207" i="1" s="1"/>
  <c r="W207" i="1" s="1"/>
  <c r="S207" i="1"/>
  <c r="T191" i="1"/>
  <c r="V191" i="1" s="1"/>
  <c r="W191" i="1" s="1"/>
  <c r="S191" i="1"/>
  <c r="T175" i="1"/>
  <c r="V175" i="1" s="1"/>
  <c r="W175" i="1" s="1"/>
  <c r="S175" i="1"/>
  <c r="T159" i="1"/>
  <c r="V159" i="1" s="1"/>
  <c r="W159" i="1" s="1"/>
  <c r="S159" i="1"/>
  <c r="T143" i="1"/>
  <c r="V143" i="1" s="1"/>
  <c r="W143" i="1" s="1"/>
  <c r="S143" i="1"/>
  <c r="T127" i="1"/>
  <c r="V127" i="1" s="1"/>
  <c r="W127" i="1" s="1"/>
  <c r="S127" i="1"/>
  <c r="T111" i="1"/>
  <c r="V111" i="1" s="1"/>
  <c r="W111" i="1" s="1"/>
  <c r="S111" i="1"/>
  <c r="T95" i="1"/>
  <c r="V95" i="1" s="1"/>
  <c r="W95" i="1" s="1"/>
  <c r="S95" i="1"/>
  <c r="T79" i="1"/>
  <c r="V79" i="1" s="1"/>
  <c r="W79" i="1" s="1"/>
  <c r="S79" i="1"/>
  <c r="T63" i="1"/>
  <c r="V63" i="1" s="1"/>
  <c r="W63" i="1" s="1"/>
  <c r="S63" i="1"/>
  <c r="S244" i="1"/>
  <c r="S180" i="1"/>
  <c r="S276" i="1"/>
  <c r="T350" i="1"/>
  <c r="V350" i="1" s="1"/>
  <c r="W350" i="1" s="1"/>
  <c r="S350" i="1"/>
  <c r="T334" i="1"/>
  <c r="V334" i="1" s="1"/>
  <c r="W334" i="1" s="1"/>
  <c r="S334" i="1"/>
  <c r="T318" i="1"/>
  <c r="V318" i="1" s="1"/>
  <c r="W318" i="1" s="1"/>
  <c r="S318" i="1"/>
  <c r="T302" i="1"/>
  <c r="V302" i="1" s="1"/>
  <c r="W302" i="1" s="1"/>
  <c r="S302" i="1"/>
  <c r="T286" i="1"/>
  <c r="V286" i="1" s="1"/>
  <c r="W286" i="1" s="1"/>
  <c r="S286" i="1"/>
  <c r="T270" i="1"/>
  <c r="V270" i="1" s="1"/>
  <c r="W270" i="1" s="1"/>
  <c r="S270" i="1"/>
  <c r="T254" i="1"/>
  <c r="V254" i="1" s="1"/>
  <c r="W254" i="1" s="1"/>
  <c r="S254" i="1"/>
  <c r="T238" i="1"/>
  <c r="V238" i="1" s="1"/>
  <c r="W238" i="1" s="1"/>
  <c r="S238" i="1"/>
  <c r="T222" i="1"/>
  <c r="V222" i="1" s="1"/>
  <c r="W222" i="1" s="1"/>
  <c r="S222" i="1"/>
  <c r="T206" i="1"/>
  <c r="V206" i="1" s="1"/>
  <c r="W206" i="1" s="1"/>
  <c r="S206" i="1"/>
  <c r="T190" i="1"/>
  <c r="V190" i="1" s="1"/>
  <c r="W190" i="1" s="1"/>
  <c r="S190" i="1"/>
  <c r="T174" i="1"/>
  <c r="V174" i="1" s="1"/>
  <c r="W174" i="1" s="1"/>
  <c r="S174" i="1"/>
  <c r="T158" i="1"/>
  <c r="V158" i="1" s="1"/>
  <c r="W158" i="1" s="1"/>
  <c r="S158" i="1"/>
  <c r="T142" i="1"/>
  <c r="V142" i="1" s="1"/>
  <c r="W142" i="1" s="1"/>
  <c r="S142" i="1"/>
  <c r="T126" i="1"/>
  <c r="V126" i="1" s="1"/>
  <c r="W126" i="1" s="1"/>
  <c r="S126" i="1"/>
  <c r="T110" i="1"/>
  <c r="V110" i="1" s="1"/>
  <c r="W110" i="1" s="1"/>
  <c r="S110" i="1"/>
  <c r="T94" i="1"/>
  <c r="V94" i="1" s="1"/>
  <c r="W94" i="1" s="1"/>
  <c r="S94" i="1"/>
  <c r="T78" i="1"/>
  <c r="V78" i="1" s="1"/>
  <c r="W78" i="1" s="1"/>
  <c r="S78" i="1"/>
  <c r="T62" i="1"/>
  <c r="V62" i="1" s="1"/>
  <c r="W62" i="1" s="1"/>
  <c r="S62" i="1"/>
  <c r="S324" i="1"/>
  <c r="T304" i="1"/>
  <c r="V304" i="1" s="1"/>
  <c r="W304" i="1" s="1"/>
  <c r="S304" i="1"/>
  <c r="T333" i="1"/>
  <c r="V333" i="1" s="1"/>
  <c r="W333" i="1" s="1"/>
  <c r="S333" i="1"/>
  <c r="T285" i="1"/>
  <c r="V285" i="1" s="1"/>
  <c r="W285" i="1" s="1"/>
  <c r="S285" i="1"/>
  <c r="T253" i="1"/>
  <c r="V253" i="1" s="1"/>
  <c r="W253" i="1" s="1"/>
  <c r="S253" i="1"/>
  <c r="T221" i="1"/>
  <c r="V221" i="1" s="1"/>
  <c r="W221" i="1" s="1"/>
  <c r="S221" i="1"/>
  <c r="T189" i="1"/>
  <c r="V189" i="1" s="1"/>
  <c r="W189" i="1" s="1"/>
  <c r="S189" i="1"/>
  <c r="T157" i="1"/>
  <c r="V157" i="1" s="1"/>
  <c r="W157" i="1" s="1"/>
  <c r="S157" i="1"/>
  <c r="T141" i="1"/>
  <c r="V141" i="1" s="1"/>
  <c r="W141" i="1" s="1"/>
  <c r="S141" i="1"/>
  <c r="T109" i="1"/>
  <c r="V109" i="1" s="1"/>
  <c r="W109" i="1" s="1"/>
  <c r="S109" i="1"/>
  <c r="T77" i="1"/>
  <c r="V77" i="1" s="1"/>
  <c r="W77" i="1" s="1"/>
  <c r="S77" i="1"/>
  <c r="T61" i="1"/>
  <c r="V61" i="1" s="1"/>
  <c r="W61" i="1" s="1"/>
  <c r="S61" i="1"/>
  <c r="T352" i="1"/>
  <c r="V352" i="1" s="1"/>
  <c r="W352" i="1" s="1"/>
  <c r="S352" i="1"/>
  <c r="T288" i="1"/>
  <c r="V288" i="1" s="1"/>
  <c r="W288" i="1" s="1"/>
  <c r="S288" i="1"/>
  <c r="T256" i="1"/>
  <c r="V256" i="1" s="1"/>
  <c r="W256" i="1" s="1"/>
  <c r="S256" i="1"/>
  <c r="T208" i="1"/>
  <c r="V208" i="1" s="1"/>
  <c r="W208" i="1" s="1"/>
  <c r="S208" i="1"/>
  <c r="T301" i="1"/>
  <c r="V301" i="1" s="1"/>
  <c r="W301" i="1" s="1"/>
  <c r="S301" i="1"/>
  <c r="T93" i="1"/>
  <c r="V93" i="1" s="1"/>
  <c r="W93" i="1" s="1"/>
  <c r="S93" i="1"/>
  <c r="T348" i="1"/>
  <c r="V348" i="1" s="1"/>
  <c r="W348" i="1" s="1"/>
  <c r="S348" i="1"/>
  <c r="T316" i="1"/>
  <c r="V316" i="1" s="1"/>
  <c r="W316" i="1" s="1"/>
  <c r="S316" i="1"/>
  <c r="T284" i="1"/>
  <c r="V284" i="1" s="1"/>
  <c r="W284" i="1" s="1"/>
  <c r="S284" i="1"/>
  <c r="T252" i="1"/>
  <c r="V252" i="1" s="1"/>
  <c r="W252" i="1" s="1"/>
  <c r="S252" i="1"/>
  <c r="T220" i="1"/>
  <c r="V220" i="1" s="1"/>
  <c r="W220" i="1" s="1"/>
  <c r="S220" i="1"/>
  <c r="T204" i="1"/>
  <c r="V204" i="1" s="1"/>
  <c r="W204" i="1" s="1"/>
  <c r="S204" i="1"/>
  <c r="T172" i="1"/>
  <c r="V172" i="1" s="1"/>
  <c r="W172" i="1" s="1"/>
  <c r="S172" i="1"/>
  <c r="T156" i="1"/>
  <c r="V156" i="1" s="1"/>
  <c r="W156" i="1" s="1"/>
  <c r="S156" i="1"/>
  <c r="T140" i="1"/>
  <c r="V140" i="1" s="1"/>
  <c r="W140" i="1" s="1"/>
  <c r="S140" i="1"/>
  <c r="T124" i="1"/>
  <c r="V124" i="1" s="1"/>
  <c r="W124" i="1" s="1"/>
  <c r="S124" i="1"/>
  <c r="T108" i="1"/>
  <c r="V108" i="1" s="1"/>
  <c r="W108" i="1" s="1"/>
  <c r="S108" i="1"/>
  <c r="T92" i="1"/>
  <c r="V92" i="1" s="1"/>
  <c r="W92" i="1" s="1"/>
  <c r="S92" i="1"/>
  <c r="T76" i="1"/>
  <c r="V76" i="1" s="1"/>
  <c r="W76" i="1" s="1"/>
  <c r="S76" i="1"/>
  <c r="S84" i="1"/>
  <c r="T356" i="1"/>
  <c r="V356" i="1" s="1"/>
  <c r="W356" i="1" s="1"/>
  <c r="S356" i="1"/>
  <c r="T308" i="1"/>
  <c r="V308" i="1" s="1"/>
  <c r="W308" i="1" s="1"/>
  <c r="S308" i="1"/>
  <c r="T148" i="1"/>
  <c r="V148" i="1" s="1"/>
  <c r="W148" i="1" s="1"/>
  <c r="S148" i="1"/>
  <c r="T116" i="1"/>
  <c r="V116" i="1" s="1"/>
  <c r="W116" i="1" s="1"/>
  <c r="S116" i="1"/>
  <c r="T100" i="1"/>
  <c r="V100" i="1" s="1"/>
  <c r="W100" i="1" s="1"/>
  <c r="S100" i="1"/>
  <c r="T320" i="1"/>
  <c r="V320" i="1" s="1"/>
  <c r="W320" i="1" s="1"/>
  <c r="S320" i="1"/>
  <c r="T224" i="1"/>
  <c r="V224" i="1" s="1"/>
  <c r="W224" i="1" s="1"/>
  <c r="S224" i="1"/>
  <c r="T365" i="1"/>
  <c r="V365" i="1" s="1"/>
  <c r="W365" i="1" s="1"/>
  <c r="S365" i="1"/>
  <c r="T349" i="1"/>
  <c r="V349" i="1" s="1"/>
  <c r="W349" i="1" s="1"/>
  <c r="S349" i="1"/>
  <c r="T317" i="1"/>
  <c r="V317" i="1" s="1"/>
  <c r="W317" i="1" s="1"/>
  <c r="S317" i="1"/>
  <c r="T269" i="1"/>
  <c r="V269" i="1" s="1"/>
  <c r="W269" i="1" s="1"/>
  <c r="S269" i="1"/>
  <c r="T237" i="1"/>
  <c r="V237" i="1" s="1"/>
  <c r="W237" i="1" s="1"/>
  <c r="S237" i="1"/>
  <c r="T205" i="1"/>
  <c r="V205" i="1" s="1"/>
  <c r="W205" i="1" s="1"/>
  <c r="S205" i="1"/>
  <c r="T173" i="1"/>
  <c r="V173" i="1" s="1"/>
  <c r="W173" i="1" s="1"/>
  <c r="S173" i="1"/>
  <c r="T125" i="1"/>
  <c r="V125" i="1" s="1"/>
  <c r="W125" i="1" s="1"/>
  <c r="S125" i="1"/>
  <c r="T364" i="1"/>
  <c r="V364" i="1" s="1"/>
  <c r="W364" i="1" s="1"/>
  <c r="S364" i="1"/>
  <c r="T332" i="1"/>
  <c r="V332" i="1" s="1"/>
  <c r="W332" i="1" s="1"/>
  <c r="S332" i="1"/>
  <c r="T300" i="1"/>
  <c r="V300" i="1" s="1"/>
  <c r="W300" i="1" s="1"/>
  <c r="S300" i="1"/>
  <c r="T268" i="1"/>
  <c r="V268" i="1" s="1"/>
  <c r="W268" i="1" s="1"/>
  <c r="S268" i="1"/>
  <c r="T236" i="1"/>
  <c r="V236" i="1" s="1"/>
  <c r="W236" i="1" s="1"/>
  <c r="S236" i="1"/>
  <c r="T188" i="1"/>
  <c r="V188" i="1" s="1"/>
  <c r="W188" i="1" s="1"/>
  <c r="S188" i="1"/>
  <c r="S331" i="1"/>
  <c r="S216" i="1"/>
  <c r="S122" i="1"/>
  <c r="S75" i="1"/>
  <c r="S330" i="1"/>
  <c r="S74" i="1"/>
  <c r="V361" i="1"/>
  <c r="W361" i="1" s="1"/>
  <c r="V345" i="1"/>
  <c r="W345" i="1" s="1"/>
  <c r="V329" i="1"/>
  <c r="W329" i="1" s="1"/>
  <c r="S329" i="1"/>
  <c r="S282" i="1"/>
  <c r="S261" i="1"/>
  <c r="S235" i="1"/>
  <c r="S214" i="1"/>
  <c r="S167" i="1"/>
  <c r="S120" i="1"/>
  <c r="S73" i="1"/>
  <c r="S328" i="1"/>
  <c r="S72" i="1"/>
  <c r="S327" i="1"/>
  <c r="S280" i="1"/>
  <c r="S233" i="1"/>
  <c r="S186" i="1"/>
  <c r="S165" i="1"/>
  <c r="S139" i="1"/>
  <c r="S118" i="1"/>
  <c r="S71" i="1"/>
  <c r="S234" i="1"/>
  <c r="S187" i="1"/>
  <c r="S347" i="1"/>
  <c r="S326" i="1"/>
  <c r="S279" i="1"/>
  <c r="S232" i="1"/>
  <c r="S185" i="1"/>
  <c r="S138" i="1"/>
  <c r="S117" i="1"/>
  <c r="S91" i="1"/>
  <c r="S70" i="1"/>
  <c r="S346" i="1"/>
  <c r="S325" i="1"/>
  <c r="S299" i="1"/>
  <c r="S278" i="1"/>
  <c r="S231" i="1"/>
  <c r="S184" i="1"/>
  <c r="S137" i="1"/>
  <c r="S90" i="1"/>
  <c r="S69" i="1"/>
  <c r="S192" i="1"/>
  <c r="S176" i="1"/>
  <c r="S160" i="1"/>
  <c r="S144" i="1"/>
  <c r="S128" i="1"/>
  <c r="S112" i="1"/>
  <c r="S96" i="1"/>
  <c r="S80" i="1"/>
  <c r="S64" i="1"/>
  <c r="T366" i="1"/>
  <c r="V366" i="1" s="1"/>
  <c r="W366" i="1" s="1"/>
  <c r="T46" i="1"/>
  <c r="V46" i="1" s="1"/>
  <c r="W46" i="1" s="1"/>
  <c r="T58" i="1"/>
  <c r="V58" i="1" s="1"/>
  <c r="W58" i="1" s="1"/>
  <c r="T52" i="1"/>
  <c r="V52" i="1" s="1"/>
  <c r="W52" i="1" s="1"/>
  <c r="T60" i="1"/>
  <c r="V60" i="1" s="1"/>
  <c r="W60" i="1" s="1"/>
  <c r="T50" i="1"/>
  <c r="V50" i="1" s="1"/>
  <c r="W50" i="1" s="1"/>
  <c r="T54" i="1"/>
  <c r="V54" i="1" s="1"/>
  <c r="W54" i="1" s="1"/>
  <c r="T44" i="1"/>
  <c r="V44" i="1" s="1"/>
  <c r="W44" i="1" s="1"/>
  <c r="T48" i="1"/>
  <c r="V48" i="1" s="1"/>
  <c r="W48" i="1" s="1"/>
  <c r="T56" i="1"/>
  <c r="V56" i="1" s="1"/>
  <c r="W56" i="1" s="1"/>
  <c r="T53" i="1"/>
  <c r="V53" i="1" s="1"/>
  <c r="W53" i="1" s="1"/>
  <c r="T45" i="1"/>
  <c r="V45" i="1" s="1"/>
  <c r="W45" i="1" s="1"/>
  <c r="T49" i="1"/>
  <c r="V49" i="1" s="1"/>
  <c r="W49" i="1" s="1"/>
  <c r="T43" i="1"/>
  <c r="T51" i="1"/>
  <c r="V51" i="1" s="1"/>
  <c r="W51" i="1" s="1"/>
  <c r="T55" i="1"/>
  <c r="V55" i="1" s="1"/>
  <c r="W55" i="1" s="1"/>
  <c r="T57" i="1"/>
  <c r="V57" i="1" s="1"/>
  <c r="W57" i="1" s="1"/>
  <c r="T47" i="1"/>
  <c r="V47" i="1" s="1"/>
  <c r="W47" i="1" s="1"/>
  <c r="T59" i="1"/>
  <c r="V59" i="1" s="1"/>
  <c r="W59" i="1" s="1"/>
  <c r="V43" i="1" l="1"/>
  <c r="W43" i="1" s="1"/>
</calcChain>
</file>

<file path=xl/sharedStrings.xml><?xml version="1.0" encoding="utf-8"?>
<sst xmlns="http://schemas.openxmlformats.org/spreadsheetml/2006/main" count="7414" uniqueCount="254">
  <si>
    <t>PRE-PLACE</t>
  </si>
  <si>
    <t xml:space="preserve">PLACE </t>
  </si>
  <si>
    <t xml:space="preserve">PRE-COLLECT </t>
  </si>
  <si>
    <t>FIELD</t>
  </si>
  <si>
    <t xml:space="preserve">DRYING  (OVEN) </t>
  </si>
  <si>
    <t xml:space="preserve">LOSS OF IGNITION MEASUREMENTS (MUFFLE FURNACE) </t>
  </si>
  <si>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</si>
  <si>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</si>
  <si>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</si>
  <si>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</si>
  <si>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</si>
  <si>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</si>
  <si>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</si>
  <si>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</si>
  <si>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</si>
  <si>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</si>
  <si>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Date(s) of Procedure</t>
  </si>
  <si>
    <t xml:space="preserve">Post-Dry Mass  (Filter/Zip/Sed Total, g) </t>
  </si>
  <si>
    <t xml:space="preserve">(1) Confirmatory Post-Dry Weight (Optional, g) </t>
  </si>
  <si>
    <t xml:space="preserve">(2) Confirmatory Post-Dry Weight (Optional, g) </t>
  </si>
  <si>
    <t xml:space="preserve">Date(s) of Procedure </t>
  </si>
  <si>
    <t xml:space="preserve">Crucible Number # </t>
  </si>
  <si>
    <t>Empty Crucible Weight</t>
  </si>
  <si>
    <t xml:space="preserve">Subsample Weight (Filter + Sediment on Filter) </t>
  </si>
  <si>
    <t xml:space="preserve">Post-Burn Weight </t>
  </si>
  <si>
    <t xml:space="preserve">Notes </t>
  </si>
  <si>
    <t>P1</t>
  </si>
  <si>
    <t xml:space="preserve">B </t>
  </si>
  <si>
    <t xml:space="preserve">a </t>
  </si>
  <si>
    <t xml:space="preserve">Averaged over 100 zip loc bags </t>
  </si>
  <si>
    <t xml:space="preserve">b </t>
  </si>
  <si>
    <t>c</t>
  </si>
  <si>
    <t xml:space="preserve"> </t>
  </si>
  <si>
    <t xml:space="preserve">No M1 </t>
  </si>
  <si>
    <t xml:space="preserve">N/A </t>
  </si>
  <si>
    <t>18a</t>
  </si>
  <si>
    <t xml:space="preserve">E1 </t>
  </si>
  <si>
    <t>Quality of initial filter not good</t>
  </si>
  <si>
    <t>18b</t>
  </si>
  <si>
    <t xml:space="preserve">E2 </t>
  </si>
  <si>
    <t xml:space="preserve">18c </t>
  </si>
  <si>
    <t>E3</t>
  </si>
  <si>
    <t xml:space="preserve">Quality of initial filter not good; drying-notes beside it say "Only w/dehydrator" </t>
  </si>
  <si>
    <t xml:space="preserve">E4 </t>
  </si>
  <si>
    <t>Not used</t>
  </si>
  <si>
    <t>M1</t>
  </si>
  <si>
    <t>8/5/2025-8/6/2025 (24 hours); 2:30 pm</t>
  </si>
  <si>
    <t xml:space="preserve">Plastic bags originally for P1 and measured for P1 </t>
  </si>
  <si>
    <t>8/6/2025-8/7/2025 (24 hours)</t>
  </si>
  <si>
    <t xml:space="preserve">Filters originally weighed for P1 </t>
  </si>
  <si>
    <t xml:space="preserve">Filters originally weighed for P1 ; Plastic bags originally for P1 and measured for P1 </t>
  </si>
  <si>
    <t>G</t>
  </si>
  <si>
    <t xml:space="preserve">some gold mold on it </t>
  </si>
  <si>
    <t>orange mold on filter?</t>
  </si>
  <si>
    <t>C</t>
  </si>
  <si>
    <t>No M1</t>
  </si>
  <si>
    <t>NA</t>
  </si>
  <si>
    <t>S</t>
  </si>
  <si>
    <t xml:space="preserve">lots of plant matter in bag </t>
  </si>
  <si>
    <t xml:space="preserve">not sure what this is </t>
  </si>
  <si>
    <t>M2</t>
  </si>
  <si>
    <t>B</t>
  </si>
  <si>
    <t xml:space="preserve">c </t>
  </si>
  <si>
    <t xml:space="preserve">M2 </t>
  </si>
  <si>
    <t>a</t>
  </si>
  <si>
    <t xml:space="preserve">&gt;120 </t>
  </si>
  <si>
    <t>&gt;120</t>
  </si>
  <si>
    <t xml:space="preserve">E-1 </t>
  </si>
  <si>
    <t xml:space="preserve">E-2 </t>
  </si>
  <si>
    <t xml:space="preserve">E-3 </t>
  </si>
  <si>
    <t xml:space="preserve">E-4 </t>
  </si>
  <si>
    <t>POST-FIELD LAB CALC</t>
  </si>
  <si>
    <t>POST-DRYING CALC</t>
  </si>
  <si>
    <t>Rubber Band Surface Area (cm2)</t>
  </si>
  <si>
    <t xml:space="preserve">Prop Filter Recovered (%)  </t>
  </si>
  <si>
    <t xml:space="preserve">Adjusted Filter Mass Recovered (g) </t>
  </si>
  <si>
    <t>Adjusted Filter Surface Area Recovered (cm2)</t>
  </si>
  <si>
    <r>
      <t xml:space="preserve">Sediment Mass               </t>
    </r>
    <r>
      <rPr>
        <i/>
        <sz val="11"/>
        <color theme="1"/>
        <rFont val="Aptos Narrow"/>
        <family val="2"/>
        <scheme val="minor"/>
      </rPr>
      <t>(Post-Dry Mass- Adjusted Filter Mass Recovered-Bag Mass, g)</t>
    </r>
  </si>
  <si>
    <r>
      <t xml:space="preserve">Sediment Density </t>
    </r>
    <r>
      <rPr>
        <i/>
        <sz val="11"/>
        <color theme="1"/>
        <rFont val="Aptos Narrow"/>
        <family val="2"/>
        <scheme val="minor"/>
      </rPr>
      <t>(Sediment Mass/Adj Filter SA; g/cm2)</t>
    </r>
  </si>
  <si>
    <r>
      <t xml:space="preserve">Flux                        </t>
    </r>
    <r>
      <rPr>
        <i/>
        <sz val="11"/>
        <color theme="1"/>
        <rFont val="Aptos Narrow"/>
        <family val="2"/>
        <scheme val="minor"/>
      </rPr>
      <t xml:space="preserve">(# of Days Deployed) </t>
    </r>
  </si>
  <si>
    <r>
      <t xml:space="preserve">Flux-cm               </t>
    </r>
    <r>
      <rPr>
        <i/>
        <sz val="11"/>
        <color theme="1"/>
        <rFont val="Aptos Narrow"/>
        <family val="2"/>
        <scheme val="minor"/>
      </rPr>
      <t xml:space="preserve"> (Sediment Density/Duration;  g/cm2 per day) </t>
    </r>
    <r>
      <rPr>
        <b/>
        <i/>
        <sz val="11"/>
        <color theme="1"/>
        <rFont val="Aptos Narrow"/>
        <family val="2"/>
        <scheme val="minor"/>
      </rPr>
      <t xml:space="preserve"> </t>
    </r>
  </si>
  <si>
    <r>
      <t xml:space="preserve">Flux-m                  </t>
    </r>
    <r>
      <rPr>
        <i/>
        <sz val="11"/>
        <color theme="1"/>
        <rFont val="Aptos Narrow"/>
        <family val="2"/>
        <scheme val="minor"/>
      </rPr>
      <t xml:space="preserve">(Sediment Density/Duration; g/m2 per day) </t>
    </r>
  </si>
  <si>
    <t>M3</t>
  </si>
  <si>
    <t>M4</t>
  </si>
  <si>
    <t>10/20-10/21 9:30 am-10:45 am (25 hours)</t>
  </si>
  <si>
    <t xml:space="preserve">1 folded </t>
  </si>
  <si>
    <t>1 folded</t>
  </si>
  <si>
    <t>small drop taking out of oven didn't see fall out</t>
  </si>
  <si>
    <t xml:space="preserve">10/21-10/22 11 am- 1 pm (26 hours) </t>
  </si>
  <si>
    <t>partial filter; small spec</t>
  </si>
  <si>
    <t xml:space="preserve">10/23-10/24 5 - 6 pm (25 hours) </t>
  </si>
  <si>
    <t xml:space="preserve">10/22-10/23 1-4:45 pm (28-29 hours) </t>
  </si>
  <si>
    <t xml:space="preserve">empty/control measure </t>
  </si>
  <si>
    <t xml:space="preserve">double check this-the writing is odd </t>
  </si>
  <si>
    <t xml:space="preserve">used G2 filters </t>
  </si>
  <si>
    <t>SEDIMENT PAD DATA SHEET-PREP-COLLECTION-DRYING</t>
  </si>
  <si>
    <t>STUDY PHASE:</t>
  </si>
  <si>
    <t>Example Labeling Scheme: B1-0.5a; M1</t>
  </si>
  <si>
    <t>Weight is to 0.00001 g</t>
  </si>
  <si>
    <t>Study Phase Notes:</t>
  </si>
  <si>
    <t>KEY</t>
  </si>
  <si>
    <t>TRANS</t>
  </si>
  <si>
    <t>DISTANCE</t>
  </si>
  <si>
    <t>REPLICATE/</t>
  </si>
  <si>
    <t>SITES (Name):</t>
  </si>
  <si>
    <t>STUDY PHASE (put in other corner of ziploc):</t>
  </si>
  <si>
    <t>ECT(#):</t>
  </si>
  <si>
    <t>(meters):</t>
  </si>
  <si>
    <t>EXTRA</t>
  </si>
  <si>
    <t>Buck's Landing = B</t>
  </si>
  <si>
    <t>1 0.5,2,6</t>
  </si>
  <si>
    <t>P#: Pilot (number is order);</t>
  </si>
  <si>
    <t>Corte Madera = C</t>
  </si>
  <si>
    <t>2 12, 24, 48</t>
  </si>
  <si>
    <t>b</t>
  </si>
  <si>
    <t>M1: First month collected</t>
  </si>
  <si>
    <t>San Pablo NWR = S</t>
  </si>
  <si>
    <t>M2: Second month collected and so on ... till M12</t>
  </si>
  <si>
    <t>Giant Marsh = G</t>
  </si>
  <si>
    <t>E</t>
  </si>
  <si>
    <t>PLACE</t>
  </si>
  <si>
    <t>PRE-COLLECT</t>
  </si>
  <si>
    <t>DRYING (OVEN)</t>
  </si>
  <si>
    <t>Confirmatory</t>
  </si>
  <si>
    <t>NOTES</t>
  </si>
  <si>
    <t>Rep or</t>
  </si>
  <si>
    <t>St Filter Wt</t>
  </si>
  <si>
    <t>St Ziploc Wt</t>
  </si>
  <si>
    <t>Date</t>
  </si>
  <si>
    <t>Date(s) of</t>
  </si>
  <si>
    <t>Post-Dry Weight</t>
  </si>
  <si>
    <t>Study</t>
  </si>
  <si>
    <t>Site Tran</t>
  </si>
  <si>
    <t>Dist</t>
  </si>
  <si>
    <t>(g)</t>
  </si>
  <si>
    <t>Removed</t>
  </si>
  <si>
    <t>Procedure</t>
  </si>
  <si>
    <t>(Optional, g)</t>
  </si>
  <si>
    <t>Phase</t>
  </si>
  <si>
    <t>Extra</t>
  </si>
  <si>
    <t>M2B</t>
  </si>
  <si>
    <t>0.5 a</t>
  </si>
  <si>
    <t>0.5|b</t>
  </si>
  <si>
    <t>0.5 c</t>
  </si>
  <si>
    <t>2|a</t>
  </si>
  <si>
    <t>2|</t>
  </si>
  <si>
    <t>6|c</t>
  </si>
  <si>
    <t>12|a</t>
  </si>
  <si>
    <t>12|b</t>
  </si>
  <si>
    <t>12|c</t>
  </si>
  <si>
    <t>18|a</t>
  </si>
  <si>
    <t>18|b</t>
  </si>
  <si>
    <t xml:space="preserve">used G1 filters </t>
  </si>
  <si>
    <t>half filter?</t>
  </si>
  <si>
    <t xml:space="preserve">uses B2 bag </t>
  </si>
  <si>
    <t xml:space="preserve">10/23-10/24 5 pm-6 pm (25 hours) </t>
  </si>
  <si>
    <t>10/24-10/25 6 pm-5 pm (23 hours)</t>
  </si>
  <si>
    <t>10/25-10/26 5 pm-4:30 pm (23.5 hours)</t>
  </si>
  <si>
    <t>N/A</t>
  </si>
  <si>
    <t>M2 filter weights; empty no filter</t>
  </si>
  <si>
    <t>M2 filter weights</t>
  </si>
  <si>
    <t xml:space="preserve">M2 filter weights; 1 rubber band off </t>
  </si>
  <si>
    <t>M2 filter weights; 75% of filter rough-written on bag</t>
  </si>
  <si>
    <t>50% filter</t>
  </si>
  <si>
    <t>10/26-10/27 4:30 pm (24 hours? No end time)</t>
  </si>
  <si>
    <t xml:space="preserve">10/30-10/31 (no timing included) </t>
  </si>
  <si>
    <t>M2 filters</t>
  </si>
  <si>
    <t xml:space="preserve">M2 Filters </t>
  </si>
  <si>
    <t xml:space="preserve">M5 (starts 18 meters) </t>
  </si>
  <si>
    <t xml:space="preserve">looks like 1/2 filter </t>
  </si>
  <si>
    <t xml:space="preserve">looks like 1/4 filter </t>
  </si>
  <si>
    <t xml:space="preserve">no filter collection </t>
  </si>
  <si>
    <t xml:space="preserve">used 2c bag </t>
  </si>
  <si>
    <t xml:space="preserve">used 2a bag </t>
  </si>
  <si>
    <t xml:space="preserve">used 2b bag </t>
  </si>
  <si>
    <t xml:space="preserve">tons of sand! </t>
  </si>
  <si>
    <t xml:space="preserve">"no filter RB" all sand on it; tons of sand! </t>
  </si>
  <si>
    <t xml:space="preserve">did something weird weighing wise; double check </t>
  </si>
  <si>
    <t xml:space="preserve">9/25-9/26 6-6 pm (24 hours) </t>
  </si>
  <si>
    <t xml:space="preserve">9/26-9/27 6- 1 pm (19 hours) </t>
  </si>
  <si>
    <t xml:space="preserve">(no duration of time written) </t>
  </si>
  <si>
    <t xml:space="preserve">9/28-9/29 3-6 pm (27 hours at 65 C) </t>
  </si>
  <si>
    <t xml:space="preserve">9/29-9/30 6 pm-2 pm (20 hours at 65 C) </t>
  </si>
  <si>
    <t xml:space="preserve">P51 bag measurement; no sediment </t>
  </si>
  <si>
    <t>P52 bag measurement</t>
  </si>
  <si>
    <t>P53 bag measurement</t>
  </si>
  <si>
    <t>P54 bag measurement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</si>
  <si>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</si>
  <si>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</si>
  <si>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</si>
  <si>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</si>
  <si>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</si>
  <si>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</si>
  <si>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</si>
  <si>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</si>
  <si>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</si>
  <si>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</si>
  <si>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</si>
  <si>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</si>
  <si>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</si>
  <si>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</si>
  <si>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</si>
  <si>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</si>
  <si>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</si>
  <si>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</si>
  <si>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</si>
  <si>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</si>
  <si>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</si>
  <si>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</si>
  <si>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</si>
  <si>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</si>
  <si>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</si>
  <si>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</si>
  <si>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</si>
  <si>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</si>
  <si>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</si>
  <si>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</si>
  <si>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</si>
  <si>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</si>
  <si>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 xml:space="preserve">M6 B1 and B2 </t>
  </si>
  <si>
    <t>M6</t>
  </si>
  <si>
    <t>1/22-1/23 12:15 pm-11:45 pm (24 hours) 65 degrees C</t>
  </si>
  <si>
    <t xml:space="preserve">small holes cut out-maybe 25%? </t>
  </si>
  <si>
    <t>5. 10008</t>
  </si>
  <si>
    <t>didn't dry fully-weigh</t>
  </si>
  <si>
    <t>different plastic bag type</t>
  </si>
  <si>
    <t>scale tap a bit</t>
  </si>
  <si>
    <t>amphipod sign</t>
  </si>
  <si>
    <t>1 amphipod</t>
  </si>
  <si>
    <t xml:space="preserve">different bag type </t>
  </si>
  <si>
    <t xml:space="preserve">different bag type; bird poop on filter </t>
  </si>
  <si>
    <t>5. 15083</t>
  </si>
  <si>
    <t>5. 13214</t>
  </si>
  <si>
    <t xml:space="preserve">small amphipod removed </t>
  </si>
  <si>
    <t>many amphipods; different plastic bag type</t>
  </si>
  <si>
    <t xml:space="preserve">zipper broke, bag secured with rubber band </t>
  </si>
  <si>
    <t xml:space="preserve">1/11-1/12 10:30 am (24 hours) </t>
  </si>
  <si>
    <t xml:space="preserve">filters labeled as 24 </t>
  </si>
  <si>
    <t xml:space="preserve">filters labeled as 18 filters </t>
  </si>
  <si>
    <t xml:space="preserve">top of bag broke, secondary container </t>
  </si>
  <si>
    <t>E1 (B1-18a)</t>
  </si>
  <si>
    <t>E2  (B1-18b)</t>
  </si>
  <si>
    <t>E3 (B1-18c)</t>
  </si>
  <si>
    <t>lost some in the transfer to the oven</t>
  </si>
  <si>
    <t xml:space="preserve">17 September 2025 Buck's Landing Vegetation </t>
  </si>
  <si>
    <t>Attempt on 11/5/2025 but rained out</t>
  </si>
  <si>
    <t>RTK!</t>
  </si>
  <si>
    <t>M5</t>
  </si>
  <si>
    <t>M7</t>
  </si>
  <si>
    <t>M8</t>
  </si>
  <si>
    <t>M9</t>
  </si>
  <si>
    <t>M10</t>
  </si>
  <si>
    <t>M11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</si>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</sst>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 wrapText="1"/>
    </xf>
    <xf numFmtId="18" fontId="0" fillId="0" borderId="0" xfId="0" applyNumberFormat="1"/>
    <xf numFmtId="14" fontId="0" fillId="3" borderId="0" xfId="0" applyNumberFormat="1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7E79-6573-4E0E-8A1B-0AD1BAEF4325}">
  <dimension ref="A1:AC2163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7" max="7" width="12.5546875" customWidth="1"/>
    <col min="9" max="9" width="10.33203125" bestFit="1" customWidth="1"/>
    <col min="12" max="12" width="10.44140625" style="7" bestFit="1" customWidth="1"/>
    <col min="13" max="13" width="11.109375" bestFit="1" customWidth="1"/>
    <col min="14" max="14" width="14.6640625" bestFit="1" customWidth="1"/>
    <col min="15" max="15" width="35.77734375" customWidth="1"/>
    <col min="16" max="16" width="14.5546875" bestFit="1" customWidth="1"/>
    <col min="17" max="18" width="12.6640625" bestFit="1" customWidth="1"/>
    <col min="19" max="19" width="16.21875" hidden="1" customWidth="1"/>
    <col min="20" max="20" width="16.5546875" hidden="1" customWidth="1"/>
    <col min="21" max="21" width="10.44140625" hidden="1" customWidth="1"/>
    <col min="22" max="23" width="16.5546875" hidden="1" customWidth="1"/>
    <col min="24" max="24" width="10.77734375" hidden="1" customWidth="1"/>
    <col min="25" max="26" width="9.109375" hidden="1" customWidth="1"/>
    <col min="27" max="27" width="11.5546875" hidden="1" customWidth="1"/>
    <col min="28" max="28" width="8" hidden="1" customWidth="1"/>
  </cols>
  <sheetData>
    <row r="1" spans="1:29" s="8" customFormat="1" ht="80.400000000000006" customHeight="1" thickBot="1" x14ac:dyDescent="0.3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73</v>
      </c>
      <c r="L1" s="4" t="s">
        <v>74</v>
      </c>
      <c r="M1" s="3" t="s">
        <v>75</v>
      </c>
      <c r="N1" s="3" t="s">
        <v>76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77</v>
      </c>
      <c r="T1" s="3" t="s">
        <v>78</v>
      </c>
      <c r="U1" s="3" t="s">
        <v>79</v>
      </c>
      <c r="V1" s="3" t="s">
        <v>80</v>
      </c>
      <c r="W1" s="3" t="s">
        <v>81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</row>
    <row r="2" spans="1:29" x14ac:dyDescent="0.3">
      <c r="A2" s="11" t="s">
        <v>0</v>
      </c>
      <c r="B2" s="12"/>
      <c r="C2" s="12"/>
      <c r="D2" s="12"/>
      <c r="E2" s="13"/>
      <c r="F2" s="11" t="s">
        <v>1</v>
      </c>
      <c r="G2" s="13"/>
      <c r="H2" s="11" t="s">
        <v>2</v>
      </c>
      <c r="I2" s="12"/>
      <c r="J2" s="12"/>
      <c r="K2" s="5"/>
      <c r="L2" s="6" t="s">
        <v>3</v>
      </c>
      <c r="M2" s="14" t="s">
        <v>71</v>
      </c>
      <c r="N2" s="15"/>
      <c r="O2" s="16" t="s">
        <v>4</v>
      </c>
      <c r="P2" s="17"/>
      <c r="Q2" s="17"/>
      <c r="R2" s="18"/>
      <c r="S2" s="14" t="s">
        <v>72</v>
      </c>
      <c r="T2" s="19"/>
      <c r="U2" s="19"/>
      <c r="V2" s="19"/>
      <c r="W2" s="20"/>
      <c r="X2" s="11" t="s">
        <v>5</v>
      </c>
      <c r="Y2" s="12"/>
      <c r="Z2" s="12"/>
      <c r="AA2" s="12"/>
      <c r="AB2" s="13"/>
      <c r="AC2" s="2"/>
    </row>
    <row r="3" spans="1:29" x14ac:dyDescent="0.3">
      <c r="A3" t="s">
        <v>26</v>
      </c>
      <c r="B3" t="s">
        <v>27</v>
      </c>
      <c r="C3">
        <v>1</v>
      </c>
      <c r="D3">
        <v>0.5</v>
      </c>
      <c r="E3" t="s">
        <v>28</v>
      </c>
      <c r="F3">
        <v>0.43813000000000002</v>
      </c>
      <c r="G3" s="1">
        <v>45841</v>
      </c>
      <c r="H3">
        <v>2.7082221999999998</v>
      </c>
      <c r="I3" s="1">
        <v>45846</v>
      </c>
      <c r="J3">
        <f t="shared" ref="J3:J42" si="0">4.5*4.5*3.14159265</f>
        <v>63.617251162500004</v>
      </c>
      <c r="K3">
        <v>5.31</v>
      </c>
      <c r="M3">
        <f>L3*F3</f>
        <v>0</v>
      </c>
      <c r="N3">
        <f>(L3*J3)-K3</f>
        <v>-5.31</v>
      </c>
      <c r="O3" s="1">
        <v>45868</v>
      </c>
      <c r="P3">
        <v>2.9992100000000002</v>
      </c>
      <c r="Q3">
        <v>2.98969</v>
      </c>
      <c r="R3">
        <v>2.97966</v>
      </c>
      <c r="T3">
        <f t="shared" ref="T3:T42" si="1">Q3-M3-H3</f>
        <v>0.28146780000000016</v>
      </c>
      <c r="U3">
        <f>I3-G3</f>
        <v>5</v>
      </c>
      <c r="V3">
        <f>T3/U3</f>
        <v>5.6293560000000034E-2</v>
      </c>
      <c r="W3">
        <f>V3*10000</f>
        <v>562.93560000000036</v>
      </c>
      <c r="AC3" t="s">
        <v>29</v>
      </c>
    </row>
    <row r="4" spans="1:29" x14ac:dyDescent="0.3">
      <c r="A4" t="s">
        <v>26</v>
      </c>
      <c r="B4" t="s">
        <v>27</v>
      </c>
      <c r="C4">
        <v>1</v>
      </c>
      <c r="D4">
        <v>0.5</v>
      </c>
      <c r="E4" t="s">
        <v>30</v>
      </c>
      <c r="F4">
        <v>0.43667</v>
      </c>
      <c r="G4" s="1">
        <v>45841</v>
      </c>
      <c r="H4">
        <v>2.7082221999999998</v>
      </c>
      <c r="I4" s="1">
        <v>45846</v>
      </c>
      <c r="J4">
        <f t="shared" si="0"/>
        <v>63.617251162500004</v>
      </c>
      <c r="K4">
        <v>5.31</v>
      </c>
      <c r="M4">
        <f t="shared" ref="M4:M67" si="2">L4*F4</f>
        <v>0</v>
      </c>
      <c r="N4">
        <f t="shared" ref="N4:N42" si="3">(L4*J4)-K4</f>
        <v>-5.31</v>
      </c>
      <c r="O4" s="1">
        <v>45868</v>
      </c>
      <c r="Q4">
        <v>3.0321199999999999</v>
      </c>
      <c r="R4">
        <v>3.0308799999999998</v>
      </c>
      <c r="T4">
        <f t="shared" si="1"/>
        <v>0.32389780000000012</v>
      </c>
      <c r="U4">
        <f t="shared" ref="U4:U42" si="4">I4-G4</f>
        <v>5</v>
      </c>
      <c r="V4">
        <f t="shared" ref="V4:V42" si="5">T4/U4</f>
        <v>6.4779560000000028E-2</v>
      </c>
      <c r="W4">
        <f t="shared" ref="W4:W42" si="6">V4*10000</f>
        <v>647.79560000000026</v>
      </c>
      <c r="AC4" t="s">
        <v>29</v>
      </c>
    </row>
    <row r="5" spans="1:29" x14ac:dyDescent="0.3">
      <c r="A5" t="s">
        <v>26</v>
      </c>
      <c r="B5" t="s">
        <v>27</v>
      </c>
      <c r="C5">
        <v>1</v>
      </c>
      <c r="D5">
        <v>0.5</v>
      </c>
      <c r="E5" t="s">
        <v>31</v>
      </c>
      <c r="F5">
        <v>0.42559999999999998</v>
      </c>
      <c r="G5" s="1">
        <v>45841</v>
      </c>
      <c r="H5">
        <v>2.7082221999999998</v>
      </c>
      <c r="I5" s="1">
        <v>45846</v>
      </c>
      <c r="J5">
        <f t="shared" si="0"/>
        <v>63.617251162500004</v>
      </c>
      <c r="K5">
        <v>5.31</v>
      </c>
      <c r="M5">
        <f t="shared" si="2"/>
        <v>0</v>
      </c>
      <c r="N5">
        <f t="shared" si="3"/>
        <v>-5.31</v>
      </c>
      <c r="O5" s="1">
        <v>45868</v>
      </c>
      <c r="Q5">
        <v>2.9659800000000001</v>
      </c>
      <c r="R5">
        <v>2.9633500000000002</v>
      </c>
      <c r="T5">
        <f t="shared" si="1"/>
        <v>0.25775780000000026</v>
      </c>
      <c r="U5">
        <f t="shared" si="4"/>
        <v>5</v>
      </c>
      <c r="V5">
        <f t="shared" si="5"/>
        <v>5.1551560000000052E-2</v>
      </c>
      <c r="W5">
        <f t="shared" si="6"/>
        <v>515.51560000000052</v>
      </c>
      <c r="AC5" t="s">
        <v>29</v>
      </c>
    </row>
    <row r="6" spans="1:29" x14ac:dyDescent="0.3">
      <c r="A6" t="s">
        <v>26</v>
      </c>
      <c r="B6" t="s">
        <v>27</v>
      </c>
      <c r="C6">
        <v>1</v>
      </c>
      <c r="D6">
        <v>2</v>
      </c>
      <c r="E6" t="s">
        <v>28</v>
      </c>
      <c r="F6">
        <v>0.43795000000000001</v>
      </c>
      <c r="G6" s="1">
        <v>45841</v>
      </c>
      <c r="H6">
        <v>2.7082221999999998</v>
      </c>
      <c r="I6" s="1">
        <v>45846</v>
      </c>
      <c r="J6">
        <f t="shared" si="0"/>
        <v>63.617251162500004</v>
      </c>
      <c r="K6">
        <v>5.31</v>
      </c>
      <c r="M6">
        <f t="shared" si="2"/>
        <v>0</v>
      </c>
      <c r="N6">
        <f t="shared" si="3"/>
        <v>-5.31</v>
      </c>
      <c r="O6" s="1">
        <v>45868</v>
      </c>
      <c r="P6" t="s">
        <v>32</v>
      </c>
      <c r="Q6">
        <v>3.0804800000000001</v>
      </c>
      <c r="R6">
        <v>3.07653</v>
      </c>
      <c r="T6">
        <f t="shared" si="1"/>
        <v>0.37225780000000031</v>
      </c>
      <c r="U6">
        <f t="shared" si="4"/>
        <v>5</v>
      </c>
      <c r="V6">
        <f t="shared" si="5"/>
        <v>7.4451560000000055E-2</v>
      </c>
      <c r="W6">
        <f t="shared" si="6"/>
        <v>744.51560000000052</v>
      </c>
      <c r="AC6" t="s">
        <v>29</v>
      </c>
    </row>
    <row r="7" spans="1:29" x14ac:dyDescent="0.3">
      <c r="A7" t="s">
        <v>26</v>
      </c>
      <c r="B7" t="s">
        <v>27</v>
      </c>
      <c r="C7">
        <v>1</v>
      </c>
      <c r="D7">
        <v>2</v>
      </c>
      <c r="E7" t="s">
        <v>30</v>
      </c>
      <c r="F7">
        <v>0.42542999999999997</v>
      </c>
      <c r="G7" s="1">
        <v>45841</v>
      </c>
      <c r="H7">
        <v>2.7082221999999998</v>
      </c>
      <c r="I7" s="1">
        <v>45846</v>
      </c>
      <c r="J7">
        <f t="shared" si="0"/>
        <v>63.617251162500004</v>
      </c>
      <c r="K7">
        <v>5.31</v>
      </c>
      <c r="M7">
        <f t="shared" si="2"/>
        <v>0</v>
      </c>
      <c r="N7">
        <f t="shared" si="3"/>
        <v>-5.31</v>
      </c>
      <c r="O7" s="1">
        <v>45868</v>
      </c>
      <c r="Q7">
        <v>3.0535100000000002</v>
      </c>
      <c r="R7">
        <v>3.0512600000000001</v>
      </c>
      <c r="T7">
        <f t="shared" si="1"/>
        <v>0.34528780000000037</v>
      </c>
      <c r="U7">
        <f t="shared" si="4"/>
        <v>5</v>
      </c>
      <c r="V7">
        <f t="shared" si="5"/>
        <v>6.9057560000000073E-2</v>
      </c>
      <c r="W7">
        <f t="shared" si="6"/>
        <v>690.57560000000069</v>
      </c>
      <c r="AC7" t="s">
        <v>29</v>
      </c>
    </row>
    <row r="8" spans="1:29" x14ac:dyDescent="0.3">
      <c r="A8" t="s">
        <v>26</v>
      </c>
      <c r="B8" t="s">
        <v>27</v>
      </c>
      <c r="C8">
        <v>1</v>
      </c>
      <c r="D8">
        <v>2</v>
      </c>
      <c r="E8" t="s">
        <v>31</v>
      </c>
      <c r="F8">
        <v>0.43931999999999999</v>
      </c>
      <c r="G8" s="1">
        <v>45841</v>
      </c>
      <c r="H8">
        <v>2.7082221999999998</v>
      </c>
      <c r="I8" s="1">
        <v>45846</v>
      </c>
      <c r="J8">
        <f t="shared" si="0"/>
        <v>63.617251162500004</v>
      </c>
      <c r="K8">
        <v>5.31</v>
      </c>
      <c r="M8">
        <f t="shared" si="2"/>
        <v>0</v>
      </c>
      <c r="N8">
        <f t="shared" si="3"/>
        <v>-5.31</v>
      </c>
      <c r="O8" s="1">
        <v>45868</v>
      </c>
      <c r="Q8">
        <v>3.0252599999999998</v>
      </c>
      <c r="R8">
        <v>3.0249799999999998</v>
      </c>
      <c r="T8">
        <f t="shared" si="1"/>
        <v>0.31703780000000004</v>
      </c>
      <c r="U8">
        <f t="shared" si="4"/>
        <v>5</v>
      </c>
      <c r="V8">
        <f t="shared" si="5"/>
        <v>6.3407560000000002E-2</v>
      </c>
      <c r="W8">
        <f t="shared" si="6"/>
        <v>634.07560000000001</v>
      </c>
      <c r="AC8" t="s">
        <v>29</v>
      </c>
    </row>
    <row r="9" spans="1:29" x14ac:dyDescent="0.3">
      <c r="A9" t="s">
        <v>26</v>
      </c>
      <c r="B9" t="s">
        <v>27</v>
      </c>
      <c r="C9">
        <v>1</v>
      </c>
      <c r="D9">
        <v>6</v>
      </c>
      <c r="E9" t="s">
        <v>28</v>
      </c>
      <c r="F9">
        <v>0.42488999999999999</v>
      </c>
      <c r="G9" s="1">
        <v>45841</v>
      </c>
      <c r="H9">
        <v>2.7082221999999998</v>
      </c>
      <c r="I9" s="1">
        <v>45846</v>
      </c>
      <c r="J9">
        <f t="shared" si="0"/>
        <v>63.617251162500004</v>
      </c>
      <c r="K9">
        <v>5.31</v>
      </c>
      <c r="M9">
        <f t="shared" si="2"/>
        <v>0</v>
      </c>
      <c r="N9">
        <f t="shared" si="3"/>
        <v>-5.31</v>
      </c>
      <c r="O9" s="1">
        <v>45868</v>
      </c>
      <c r="P9">
        <v>3.3527499999999999</v>
      </c>
      <c r="Q9">
        <v>3.3508</v>
      </c>
      <c r="R9">
        <v>3.3448899999999999</v>
      </c>
      <c r="T9">
        <f t="shared" si="1"/>
        <v>0.6425778000000002</v>
      </c>
      <c r="U9">
        <f t="shared" si="4"/>
        <v>5</v>
      </c>
      <c r="V9">
        <f t="shared" si="5"/>
        <v>0.12851556000000003</v>
      </c>
      <c r="W9">
        <f t="shared" si="6"/>
        <v>1285.1556000000003</v>
      </c>
      <c r="AC9" t="s">
        <v>29</v>
      </c>
    </row>
    <row r="10" spans="1:29" x14ac:dyDescent="0.3">
      <c r="A10" t="s">
        <v>26</v>
      </c>
      <c r="B10" t="s">
        <v>27</v>
      </c>
      <c r="C10">
        <v>1</v>
      </c>
      <c r="D10">
        <v>6</v>
      </c>
      <c r="E10" t="s">
        <v>30</v>
      </c>
      <c r="F10">
        <v>0.43736999999999998</v>
      </c>
      <c r="G10" s="1">
        <v>45841</v>
      </c>
      <c r="H10">
        <v>2.7082221999999998</v>
      </c>
      <c r="I10" s="1">
        <v>45846</v>
      </c>
      <c r="J10">
        <f t="shared" si="0"/>
        <v>63.617251162500004</v>
      </c>
      <c r="K10">
        <v>5.31</v>
      </c>
      <c r="M10">
        <f t="shared" si="2"/>
        <v>0</v>
      </c>
      <c r="N10">
        <f t="shared" si="3"/>
        <v>-5.31</v>
      </c>
      <c r="O10" s="1">
        <v>45868</v>
      </c>
      <c r="Q10">
        <v>3.26031</v>
      </c>
      <c r="R10">
        <v>3.2528100000000002</v>
      </c>
      <c r="T10">
        <f t="shared" si="1"/>
        <v>0.55208780000000024</v>
      </c>
      <c r="U10">
        <f t="shared" si="4"/>
        <v>5</v>
      </c>
      <c r="V10">
        <f t="shared" si="5"/>
        <v>0.11041756000000005</v>
      </c>
      <c r="W10">
        <f t="shared" si="6"/>
        <v>1104.1756000000005</v>
      </c>
      <c r="AC10" t="s">
        <v>29</v>
      </c>
    </row>
    <row r="11" spans="1:29" x14ac:dyDescent="0.3">
      <c r="A11" t="s">
        <v>26</v>
      </c>
      <c r="B11" t="s">
        <v>27</v>
      </c>
      <c r="C11">
        <v>1</v>
      </c>
      <c r="D11">
        <v>6</v>
      </c>
      <c r="E11" t="s">
        <v>31</v>
      </c>
      <c r="F11">
        <v>0.43518000000000001</v>
      </c>
      <c r="G11" s="1">
        <v>45841</v>
      </c>
      <c r="H11">
        <v>2.7082221999999998</v>
      </c>
      <c r="I11" s="1">
        <v>45846</v>
      </c>
      <c r="J11">
        <f t="shared" si="0"/>
        <v>63.617251162500004</v>
      </c>
      <c r="K11">
        <v>5.31</v>
      </c>
      <c r="M11">
        <f t="shared" si="2"/>
        <v>0</v>
      </c>
      <c r="N11">
        <f t="shared" si="3"/>
        <v>-5.31</v>
      </c>
      <c r="O11" s="1">
        <v>45868</v>
      </c>
      <c r="Q11">
        <v>3.3438699999999999</v>
      </c>
      <c r="R11">
        <v>3.3429700000000002</v>
      </c>
      <c r="T11">
        <f t="shared" si="1"/>
        <v>0.6356478000000001</v>
      </c>
      <c r="U11">
        <f t="shared" si="4"/>
        <v>5</v>
      </c>
      <c r="V11">
        <f t="shared" si="5"/>
        <v>0.12712956000000003</v>
      </c>
      <c r="W11">
        <f t="shared" si="6"/>
        <v>1271.2956000000004</v>
      </c>
      <c r="AC11" t="s">
        <v>29</v>
      </c>
    </row>
    <row r="12" spans="1:29" x14ac:dyDescent="0.3">
      <c r="A12" t="s">
        <v>26</v>
      </c>
      <c r="B12" t="s">
        <v>27</v>
      </c>
      <c r="C12">
        <v>1</v>
      </c>
      <c r="D12">
        <v>12</v>
      </c>
      <c r="E12" t="s">
        <v>28</v>
      </c>
      <c r="F12">
        <v>0.43397000000000002</v>
      </c>
      <c r="G12" s="1">
        <v>45841</v>
      </c>
      <c r="H12">
        <v>2.7082221999999998</v>
      </c>
      <c r="I12" s="1">
        <v>45846</v>
      </c>
      <c r="J12">
        <f t="shared" si="0"/>
        <v>63.617251162500004</v>
      </c>
      <c r="K12">
        <v>5.31</v>
      </c>
      <c r="M12">
        <f t="shared" si="2"/>
        <v>0</v>
      </c>
      <c r="N12">
        <f t="shared" si="3"/>
        <v>-5.31</v>
      </c>
      <c r="O12" s="1">
        <v>45868</v>
      </c>
      <c r="P12">
        <v>3.1070000000000002</v>
      </c>
      <c r="Q12">
        <v>3.1069200000000001</v>
      </c>
      <c r="R12">
        <v>3.10161</v>
      </c>
      <c r="T12">
        <f t="shared" si="1"/>
        <v>0.39869780000000032</v>
      </c>
      <c r="U12">
        <f t="shared" si="4"/>
        <v>5</v>
      </c>
      <c r="V12">
        <f t="shared" si="5"/>
        <v>7.973956000000007E-2</v>
      </c>
      <c r="W12">
        <f t="shared" si="6"/>
        <v>797.39560000000074</v>
      </c>
      <c r="AC12" t="s">
        <v>29</v>
      </c>
    </row>
    <row r="13" spans="1:29" x14ac:dyDescent="0.3">
      <c r="A13" t="s">
        <v>26</v>
      </c>
      <c r="B13" t="s">
        <v>27</v>
      </c>
      <c r="C13">
        <v>1</v>
      </c>
      <c r="D13">
        <v>12</v>
      </c>
      <c r="E13" t="s">
        <v>30</v>
      </c>
      <c r="F13">
        <v>0.42293999999999998</v>
      </c>
      <c r="G13" s="1">
        <v>45841</v>
      </c>
      <c r="H13">
        <v>2.7082221999999998</v>
      </c>
      <c r="I13" s="1">
        <v>45846</v>
      </c>
      <c r="J13">
        <f t="shared" si="0"/>
        <v>63.617251162500004</v>
      </c>
      <c r="K13">
        <v>5.31</v>
      </c>
      <c r="M13">
        <f t="shared" si="2"/>
        <v>0</v>
      </c>
      <c r="N13">
        <f t="shared" si="3"/>
        <v>-5.31</v>
      </c>
      <c r="O13" s="1">
        <v>45868</v>
      </c>
      <c r="Q13">
        <v>3.1611799999999999</v>
      </c>
      <c r="R13">
        <v>3.1571899999999999</v>
      </c>
      <c r="T13">
        <f t="shared" si="1"/>
        <v>0.45295780000000008</v>
      </c>
      <c r="U13">
        <f t="shared" si="4"/>
        <v>5</v>
      </c>
      <c r="V13">
        <f t="shared" si="5"/>
        <v>9.0591560000000015E-2</v>
      </c>
      <c r="W13">
        <f t="shared" si="6"/>
        <v>905.91560000000015</v>
      </c>
      <c r="AC13" t="s">
        <v>29</v>
      </c>
    </row>
    <row r="14" spans="1:29" x14ac:dyDescent="0.3">
      <c r="A14" t="s">
        <v>26</v>
      </c>
      <c r="B14" t="s">
        <v>27</v>
      </c>
      <c r="C14">
        <v>1</v>
      </c>
      <c r="D14">
        <v>12</v>
      </c>
      <c r="E14" t="s">
        <v>31</v>
      </c>
      <c r="F14">
        <v>0.42441000000000001</v>
      </c>
      <c r="G14" s="1">
        <v>45841</v>
      </c>
      <c r="H14">
        <v>2.7082221999999998</v>
      </c>
      <c r="I14" s="1">
        <v>45846</v>
      </c>
      <c r="J14">
        <f t="shared" si="0"/>
        <v>63.617251162500004</v>
      </c>
      <c r="K14">
        <v>5.31</v>
      </c>
      <c r="M14">
        <f t="shared" si="2"/>
        <v>0</v>
      </c>
      <c r="N14">
        <f t="shared" si="3"/>
        <v>-5.31</v>
      </c>
      <c r="O14" s="1">
        <v>45868</v>
      </c>
      <c r="Q14">
        <v>3.1264799999999999</v>
      </c>
      <c r="R14">
        <v>3.1221399999999999</v>
      </c>
      <c r="T14">
        <f t="shared" si="1"/>
        <v>0.41825780000000012</v>
      </c>
      <c r="U14">
        <f t="shared" si="4"/>
        <v>5</v>
      </c>
      <c r="V14">
        <f t="shared" si="5"/>
        <v>8.3651560000000028E-2</v>
      </c>
      <c r="W14">
        <f t="shared" si="6"/>
        <v>836.51560000000029</v>
      </c>
      <c r="AC14" t="s">
        <v>29</v>
      </c>
    </row>
    <row r="15" spans="1:29" x14ac:dyDescent="0.3">
      <c r="A15" t="s">
        <v>26</v>
      </c>
      <c r="B15" t="s">
        <v>27</v>
      </c>
      <c r="C15">
        <v>1</v>
      </c>
      <c r="D15">
        <v>24</v>
      </c>
      <c r="E15" t="s">
        <v>28</v>
      </c>
      <c r="F15">
        <v>0.43667</v>
      </c>
      <c r="G15" s="1">
        <v>45841</v>
      </c>
      <c r="H15">
        <v>2.7082221999999998</v>
      </c>
      <c r="I15" s="1">
        <v>45846</v>
      </c>
      <c r="J15">
        <f t="shared" si="0"/>
        <v>63.617251162500004</v>
      </c>
      <c r="K15">
        <v>5.31</v>
      </c>
      <c r="M15">
        <f t="shared" si="2"/>
        <v>0</v>
      </c>
      <c r="N15">
        <f t="shared" si="3"/>
        <v>-5.31</v>
      </c>
      <c r="O15" s="1">
        <v>45868</v>
      </c>
      <c r="P15">
        <v>2.9369399999999999</v>
      </c>
      <c r="Q15">
        <v>2.9338899999999999</v>
      </c>
      <c r="R15">
        <v>2.9311500000000001</v>
      </c>
      <c r="T15">
        <f t="shared" si="1"/>
        <v>0.22566780000000008</v>
      </c>
      <c r="U15">
        <f t="shared" si="4"/>
        <v>5</v>
      </c>
      <c r="V15">
        <f t="shared" si="5"/>
        <v>4.5133560000000017E-2</v>
      </c>
      <c r="W15">
        <f t="shared" si="6"/>
        <v>451.33560000000017</v>
      </c>
      <c r="AC15" t="s">
        <v>29</v>
      </c>
    </row>
    <row r="16" spans="1:29" x14ac:dyDescent="0.3">
      <c r="A16" t="s">
        <v>26</v>
      </c>
      <c r="B16" t="s">
        <v>27</v>
      </c>
      <c r="C16">
        <v>1</v>
      </c>
      <c r="D16">
        <v>24</v>
      </c>
      <c r="E16" t="s">
        <v>30</v>
      </c>
      <c r="F16">
        <v>0.43563000000000002</v>
      </c>
      <c r="G16" s="1">
        <v>45841</v>
      </c>
      <c r="H16">
        <v>2.7082221999999998</v>
      </c>
      <c r="I16" s="1">
        <v>45846</v>
      </c>
      <c r="J16">
        <f t="shared" si="0"/>
        <v>63.617251162500004</v>
      </c>
      <c r="K16">
        <v>5.31</v>
      </c>
      <c r="M16">
        <f t="shared" si="2"/>
        <v>0</v>
      </c>
      <c r="N16">
        <f t="shared" si="3"/>
        <v>-5.31</v>
      </c>
      <c r="O16" s="1">
        <v>45868</v>
      </c>
      <c r="Q16">
        <v>2.96021</v>
      </c>
      <c r="R16">
        <v>2.9569700000000001</v>
      </c>
      <c r="T16">
        <f t="shared" si="1"/>
        <v>0.25198780000000021</v>
      </c>
      <c r="U16">
        <f t="shared" si="4"/>
        <v>5</v>
      </c>
      <c r="V16">
        <f t="shared" si="5"/>
        <v>5.0397560000000043E-2</v>
      </c>
      <c r="W16">
        <f t="shared" si="6"/>
        <v>503.97560000000044</v>
      </c>
      <c r="AC16" t="s">
        <v>29</v>
      </c>
    </row>
    <row r="17" spans="1:29" x14ac:dyDescent="0.3">
      <c r="A17" t="s">
        <v>26</v>
      </c>
      <c r="B17" t="s">
        <v>27</v>
      </c>
      <c r="C17">
        <v>1</v>
      </c>
      <c r="D17">
        <v>24</v>
      </c>
      <c r="E17" t="s">
        <v>31</v>
      </c>
      <c r="F17">
        <v>0.42342000000000002</v>
      </c>
      <c r="G17" s="1">
        <v>45841</v>
      </c>
      <c r="H17">
        <v>2.7082221999999998</v>
      </c>
      <c r="I17" s="1">
        <v>45846</v>
      </c>
      <c r="J17">
        <f t="shared" si="0"/>
        <v>63.617251162500004</v>
      </c>
      <c r="K17">
        <v>5.31</v>
      </c>
      <c r="M17">
        <f t="shared" si="2"/>
        <v>0</v>
      </c>
      <c r="N17">
        <f t="shared" si="3"/>
        <v>-5.31</v>
      </c>
      <c r="O17" s="1">
        <v>45868</v>
      </c>
      <c r="Q17">
        <v>3.00115</v>
      </c>
      <c r="R17">
        <v>3.00162</v>
      </c>
      <c r="T17">
        <f t="shared" si="1"/>
        <v>0.29292780000000018</v>
      </c>
      <c r="U17">
        <f t="shared" si="4"/>
        <v>5</v>
      </c>
      <c r="V17">
        <f t="shared" si="5"/>
        <v>5.8585560000000036E-2</v>
      </c>
      <c r="W17">
        <f t="shared" si="6"/>
        <v>585.85560000000032</v>
      </c>
      <c r="AC17" t="s">
        <v>29</v>
      </c>
    </row>
    <row r="18" spans="1:29" x14ac:dyDescent="0.3">
      <c r="A18" t="s">
        <v>26</v>
      </c>
      <c r="B18" t="s">
        <v>27</v>
      </c>
      <c r="C18">
        <v>1</v>
      </c>
      <c r="D18">
        <v>48</v>
      </c>
      <c r="E18" t="s">
        <v>28</v>
      </c>
      <c r="F18">
        <v>0.43645</v>
      </c>
      <c r="G18" s="1">
        <v>45841</v>
      </c>
      <c r="H18">
        <v>2.7082221999999998</v>
      </c>
      <c r="I18" s="1">
        <v>45846</v>
      </c>
      <c r="J18">
        <f t="shared" si="0"/>
        <v>63.617251162500004</v>
      </c>
      <c r="K18">
        <v>5.31</v>
      </c>
      <c r="M18">
        <f t="shared" si="2"/>
        <v>0</v>
      </c>
      <c r="N18">
        <f t="shared" si="3"/>
        <v>-5.31</v>
      </c>
      <c r="O18" s="1">
        <v>45868</v>
      </c>
      <c r="P18">
        <v>3.0308999999999999</v>
      </c>
      <c r="Q18">
        <v>3.0259</v>
      </c>
      <c r="R18">
        <v>3.0225</v>
      </c>
      <c r="T18">
        <f t="shared" si="1"/>
        <v>0.31767780000000023</v>
      </c>
      <c r="U18">
        <f t="shared" si="4"/>
        <v>5</v>
      </c>
      <c r="V18">
        <f t="shared" si="5"/>
        <v>6.3535560000000046E-2</v>
      </c>
      <c r="W18">
        <f t="shared" si="6"/>
        <v>635.35560000000044</v>
      </c>
      <c r="AC18" t="s">
        <v>29</v>
      </c>
    </row>
    <row r="19" spans="1:29" x14ac:dyDescent="0.3">
      <c r="A19" t="s">
        <v>26</v>
      </c>
      <c r="B19" t="s">
        <v>27</v>
      </c>
      <c r="C19">
        <v>1</v>
      </c>
      <c r="D19">
        <v>48</v>
      </c>
      <c r="E19" t="s">
        <v>30</v>
      </c>
      <c r="F19">
        <v>0.42204999999999998</v>
      </c>
      <c r="G19" s="1">
        <v>45841</v>
      </c>
      <c r="H19">
        <v>2.7082221999999998</v>
      </c>
      <c r="I19" s="1">
        <v>45846</v>
      </c>
      <c r="J19">
        <f t="shared" si="0"/>
        <v>63.617251162500004</v>
      </c>
      <c r="K19">
        <v>5.31</v>
      </c>
      <c r="M19">
        <f t="shared" si="2"/>
        <v>0</v>
      </c>
      <c r="N19">
        <f t="shared" si="3"/>
        <v>-5.31</v>
      </c>
      <c r="O19" s="1">
        <v>45868</v>
      </c>
      <c r="Q19">
        <v>3.0358000000000001</v>
      </c>
      <c r="R19">
        <v>3.0343200000000001</v>
      </c>
      <c r="T19">
        <f t="shared" si="1"/>
        <v>0.32757780000000025</v>
      </c>
      <c r="U19">
        <f t="shared" si="4"/>
        <v>5</v>
      </c>
      <c r="V19">
        <f t="shared" si="5"/>
        <v>6.5515560000000056E-2</v>
      </c>
      <c r="W19">
        <f t="shared" si="6"/>
        <v>655.1556000000005</v>
      </c>
      <c r="AC19" t="s">
        <v>29</v>
      </c>
    </row>
    <row r="20" spans="1:29" x14ac:dyDescent="0.3">
      <c r="A20" t="s">
        <v>26</v>
      </c>
      <c r="B20" t="s">
        <v>27</v>
      </c>
      <c r="C20">
        <v>1</v>
      </c>
      <c r="D20">
        <v>48</v>
      </c>
      <c r="E20" t="s">
        <v>31</v>
      </c>
      <c r="F20">
        <v>0.43395</v>
      </c>
      <c r="G20" s="1">
        <v>45841</v>
      </c>
      <c r="H20">
        <v>2.7082221999999998</v>
      </c>
      <c r="I20" s="1">
        <v>45846</v>
      </c>
      <c r="J20">
        <f t="shared" si="0"/>
        <v>63.617251162500004</v>
      </c>
      <c r="K20">
        <v>5.31</v>
      </c>
      <c r="M20">
        <f t="shared" si="2"/>
        <v>0</v>
      </c>
      <c r="N20">
        <f t="shared" si="3"/>
        <v>-5.31</v>
      </c>
      <c r="O20" s="1">
        <v>45868</v>
      </c>
      <c r="Q20">
        <v>3.0234899999999998</v>
      </c>
      <c r="R20">
        <v>3.0230800000000002</v>
      </c>
      <c r="T20">
        <f t="shared" si="1"/>
        <v>0.31526779999999999</v>
      </c>
      <c r="U20">
        <f t="shared" si="4"/>
        <v>5</v>
      </c>
      <c r="V20">
        <f t="shared" si="5"/>
        <v>6.3053559999999995E-2</v>
      </c>
      <c r="W20">
        <f t="shared" si="6"/>
        <v>630.53559999999993</v>
      </c>
      <c r="AC20" t="s">
        <v>29</v>
      </c>
    </row>
    <row r="21" spans="1:29" x14ac:dyDescent="0.3">
      <c r="A21" t="s">
        <v>26</v>
      </c>
      <c r="B21" t="s">
        <v>27</v>
      </c>
      <c r="C21">
        <v>2</v>
      </c>
      <c r="D21">
        <v>0.5</v>
      </c>
      <c r="E21" t="s">
        <v>28</v>
      </c>
      <c r="F21">
        <v>0.42314000000000002</v>
      </c>
      <c r="G21" t="s">
        <v>33</v>
      </c>
      <c r="H21" t="s">
        <v>34</v>
      </c>
      <c r="I21" t="s">
        <v>34</v>
      </c>
      <c r="J21">
        <f t="shared" si="0"/>
        <v>63.617251162500004</v>
      </c>
      <c r="K21">
        <v>5.31</v>
      </c>
      <c r="M21">
        <f t="shared" si="2"/>
        <v>0</v>
      </c>
      <c r="N21">
        <f t="shared" si="3"/>
        <v>-5.31</v>
      </c>
      <c r="O21" t="s">
        <v>34</v>
      </c>
      <c r="T21" t="e">
        <f t="shared" si="1"/>
        <v>#VALUE!</v>
      </c>
      <c r="U21" t="e">
        <f t="shared" si="4"/>
        <v>#VALUE!</v>
      </c>
      <c r="V21" t="e">
        <f t="shared" si="5"/>
        <v>#VALUE!</v>
      </c>
      <c r="W21" t="e">
        <f t="shared" si="6"/>
        <v>#VALUE!</v>
      </c>
    </row>
    <row r="22" spans="1:29" x14ac:dyDescent="0.3">
      <c r="A22" t="s">
        <v>26</v>
      </c>
      <c r="B22" t="s">
        <v>27</v>
      </c>
      <c r="C22">
        <v>2</v>
      </c>
      <c r="D22">
        <v>0.5</v>
      </c>
      <c r="E22" t="s">
        <v>30</v>
      </c>
      <c r="F22">
        <v>0.43435000000000001</v>
      </c>
      <c r="G22" t="s">
        <v>33</v>
      </c>
      <c r="H22" t="s">
        <v>34</v>
      </c>
      <c r="I22" t="s">
        <v>34</v>
      </c>
      <c r="J22">
        <f t="shared" si="0"/>
        <v>63.617251162500004</v>
      </c>
      <c r="K22">
        <v>5.31</v>
      </c>
      <c r="M22">
        <f t="shared" si="2"/>
        <v>0</v>
      </c>
      <c r="N22">
        <f t="shared" si="3"/>
        <v>-5.31</v>
      </c>
      <c r="O22" t="s">
        <v>34</v>
      </c>
      <c r="T22" t="e">
        <f t="shared" si="1"/>
        <v>#VALUE!</v>
      </c>
      <c r="U22" t="e">
        <f t="shared" si="4"/>
        <v>#VALUE!</v>
      </c>
      <c r="V22" t="e">
        <f t="shared" si="5"/>
        <v>#VALUE!</v>
      </c>
      <c r="W22" t="e">
        <f t="shared" si="6"/>
        <v>#VALUE!</v>
      </c>
    </row>
    <row r="23" spans="1:29" x14ac:dyDescent="0.3">
      <c r="A23" t="s">
        <v>26</v>
      </c>
      <c r="B23" t="s">
        <v>27</v>
      </c>
      <c r="C23">
        <v>2</v>
      </c>
      <c r="D23">
        <v>0.5</v>
      </c>
      <c r="E23" t="s">
        <v>31</v>
      </c>
      <c r="F23">
        <v>0.42416999999999999</v>
      </c>
      <c r="G23" t="s">
        <v>33</v>
      </c>
      <c r="H23" t="s">
        <v>34</v>
      </c>
      <c r="I23" t="s">
        <v>34</v>
      </c>
      <c r="J23">
        <f t="shared" si="0"/>
        <v>63.617251162500004</v>
      </c>
      <c r="K23">
        <v>5.31</v>
      </c>
      <c r="M23">
        <f t="shared" si="2"/>
        <v>0</v>
      </c>
      <c r="N23">
        <f t="shared" si="3"/>
        <v>-5.31</v>
      </c>
      <c r="O23" t="s">
        <v>34</v>
      </c>
      <c r="T23" t="e">
        <f t="shared" si="1"/>
        <v>#VALUE!</v>
      </c>
      <c r="U23" t="e">
        <f t="shared" si="4"/>
        <v>#VALUE!</v>
      </c>
      <c r="V23" t="e">
        <f t="shared" si="5"/>
        <v>#VALUE!</v>
      </c>
      <c r="W23" t="e">
        <f t="shared" si="6"/>
        <v>#VALUE!</v>
      </c>
    </row>
    <row r="24" spans="1:29" x14ac:dyDescent="0.3">
      <c r="A24" t="s">
        <v>26</v>
      </c>
      <c r="B24" t="s">
        <v>27</v>
      </c>
      <c r="C24">
        <v>2</v>
      </c>
      <c r="D24">
        <v>2</v>
      </c>
      <c r="E24" t="s">
        <v>28</v>
      </c>
      <c r="F24">
        <v>0.43547999999999998</v>
      </c>
      <c r="G24" t="s">
        <v>33</v>
      </c>
      <c r="H24" t="s">
        <v>34</v>
      </c>
      <c r="I24" t="s">
        <v>34</v>
      </c>
      <c r="J24">
        <f t="shared" si="0"/>
        <v>63.617251162500004</v>
      </c>
      <c r="K24">
        <v>5.31</v>
      </c>
      <c r="M24">
        <f t="shared" si="2"/>
        <v>0</v>
      </c>
      <c r="N24">
        <f t="shared" si="3"/>
        <v>-5.31</v>
      </c>
      <c r="O24" t="s">
        <v>34</v>
      </c>
      <c r="T24" t="e">
        <f t="shared" si="1"/>
        <v>#VALUE!</v>
      </c>
      <c r="U24" t="e">
        <f t="shared" si="4"/>
        <v>#VALUE!</v>
      </c>
      <c r="V24" t="e">
        <f t="shared" si="5"/>
        <v>#VALUE!</v>
      </c>
      <c r="W24" t="e">
        <f t="shared" si="6"/>
        <v>#VALUE!</v>
      </c>
    </row>
    <row r="25" spans="1:29" x14ac:dyDescent="0.3">
      <c r="A25" t="s">
        <v>26</v>
      </c>
      <c r="B25" t="s">
        <v>27</v>
      </c>
      <c r="C25">
        <v>2</v>
      </c>
      <c r="D25">
        <v>2</v>
      </c>
      <c r="E25" t="s">
        <v>30</v>
      </c>
      <c r="F25">
        <v>0.43514000000000003</v>
      </c>
      <c r="G25" t="s">
        <v>33</v>
      </c>
      <c r="H25" t="s">
        <v>34</v>
      </c>
      <c r="I25" t="s">
        <v>34</v>
      </c>
      <c r="J25">
        <f t="shared" si="0"/>
        <v>63.617251162500004</v>
      </c>
      <c r="K25">
        <v>5.31</v>
      </c>
      <c r="M25">
        <f t="shared" si="2"/>
        <v>0</v>
      </c>
      <c r="N25">
        <f t="shared" si="3"/>
        <v>-5.31</v>
      </c>
      <c r="O25" t="s">
        <v>34</v>
      </c>
      <c r="T25" t="e">
        <f t="shared" si="1"/>
        <v>#VALUE!</v>
      </c>
      <c r="U25" t="e">
        <f t="shared" si="4"/>
        <v>#VALUE!</v>
      </c>
      <c r="V25" t="e">
        <f t="shared" si="5"/>
        <v>#VALUE!</v>
      </c>
      <c r="W25" t="e">
        <f t="shared" si="6"/>
        <v>#VALUE!</v>
      </c>
    </row>
    <row r="26" spans="1:29" x14ac:dyDescent="0.3">
      <c r="A26" t="s">
        <v>26</v>
      </c>
      <c r="B26" t="s">
        <v>27</v>
      </c>
      <c r="C26">
        <v>2</v>
      </c>
      <c r="D26">
        <v>2</v>
      </c>
      <c r="E26" t="s">
        <v>31</v>
      </c>
      <c r="F26">
        <v>0.43568000000000001</v>
      </c>
      <c r="G26" t="s">
        <v>33</v>
      </c>
      <c r="H26" t="s">
        <v>34</v>
      </c>
      <c r="I26" t="s">
        <v>34</v>
      </c>
      <c r="J26">
        <f t="shared" si="0"/>
        <v>63.617251162500004</v>
      </c>
      <c r="K26">
        <v>5.31</v>
      </c>
      <c r="M26">
        <f t="shared" si="2"/>
        <v>0</v>
      </c>
      <c r="N26">
        <f t="shared" si="3"/>
        <v>-5.31</v>
      </c>
      <c r="O26" t="s">
        <v>34</v>
      </c>
      <c r="T26" t="e">
        <f t="shared" si="1"/>
        <v>#VALUE!</v>
      </c>
      <c r="U26" t="e">
        <f t="shared" si="4"/>
        <v>#VALUE!</v>
      </c>
      <c r="V26" t="e">
        <f t="shared" si="5"/>
        <v>#VALUE!</v>
      </c>
      <c r="W26" t="e">
        <f t="shared" si="6"/>
        <v>#VALUE!</v>
      </c>
    </row>
    <row r="27" spans="1:29" x14ac:dyDescent="0.3">
      <c r="A27" t="s">
        <v>26</v>
      </c>
      <c r="B27" t="s">
        <v>27</v>
      </c>
      <c r="C27">
        <v>2</v>
      </c>
      <c r="D27">
        <v>6</v>
      </c>
      <c r="E27" t="s">
        <v>28</v>
      </c>
      <c r="F27">
        <v>0.42259000000000002</v>
      </c>
      <c r="G27" t="s">
        <v>33</v>
      </c>
      <c r="H27" t="s">
        <v>34</v>
      </c>
      <c r="I27" t="s">
        <v>34</v>
      </c>
      <c r="J27">
        <f t="shared" si="0"/>
        <v>63.617251162500004</v>
      </c>
      <c r="K27">
        <v>5.31</v>
      </c>
      <c r="M27">
        <f t="shared" si="2"/>
        <v>0</v>
      </c>
      <c r="N27">
        <f t="shared" si="3"/>
        <v>-5.31</v>
      </c>
      <c r="O27" t="s">
        <v>34</v>
      </c>
      <c r="T27" t="e">
        <f t="shared" si="1"/>
        <v>#VALUE!</v>
      </c>
      <c r="U27" t="e">
        <f t="shared" si="4"/>
        <v>#VALUE!</v>
      </c>
      <c r="V27" t="e">
        <f t="shared" si="5"/>
        <v>#VALUE!</v>
      </c>
      <c r="W27" t="e">
        <f t="shared" si="6"/>
        <v>#VALUE!</v>
      </c>
    </row>
    <row r="28" spans="1:29" x14ac:dyDescent="0.3">
      <c r="A28" t="s">
        <v>26</v>
      </c>
      <c r="B28" t="s">
        <v>27</v>
      </c>
      <c r="C28">
        <v>2</v>
      </c>
      <c r="D28">
        <v>6</v>
      </c>
      <c r="E28" t="s">
        <v>30</v>
      </c>
      <c r="F28">
        <v>0.43375999999999998</v>
      </c>
      <c r="G28" t="s">
        <v>33</v>
      </c>
      <c r="H28" t="s">
        <v>34</v>
      </c>
      <c r="I28" t="s">
        <v>34</v>
      </c>
      <c r="J28">
        <f t="shared" si="0"/>
        <v>63.617251162500004</v>
      </c>
      <c r="K28">
        <v>5.31</v>
      </c>
      <c r="M28">
        <f t="shared" si="2"/>
        <v>0</v>
      </c>
      <c r="N28">
        <f t="shared" si="3"/>
        <v>-5.31</v>
      </c>
      <c r="O28" t="s">
        <v>34</v>
      </c>
      <c r="T28" t="e">
        <f t="shared" si="1"/>
        <v>#VALUE!</v>
      </c>
      <c r="U28" t="e">
        <f t="shared" si="4"/>
        <v>#VALUE!</v>
      </c>
      <c r="V28" t="e">
        <f t="shared" si="5"/>
        <v>#VALUE!</v>
      </c>
      <c r="W28" t="e">
        <f t="shared" si="6"/>
        <v>#VALUE!</v>
      </c>
    </row>
    <row r="29" spans="1:29" x14ac:dyDescent="0.3">
      <c r="A29" t="s">
        <v>26</v>
      </c>
      <c r="B29" t="s">
        <v>27</v>
      </c>
      <c r="C29">
        <v>2</v>
      </c>
      <c r="D29">
        <v>6</v>
      </c>
      <c r="E29" t="s">
        <v>31</v>
      </c>
      <c r="F29">
        <v>0.42444999999999999</v>
      </c>
      <c r="G29" t="s">
        <v>33</v>
      </c>
      <c r="H29" t="s">
        <v>34</v>
      </c>
      <c r="I29" t="s">
        <v>34</v>
      </c>
      <c r="J29">
        <f t="shared" si="0"/>
        <v>63.617251162500004</v>
      </c>
      <c r="K29">
        <v>5.31</v>
      </c>
      <c r="M29">
        <f t="shared" si="2"/>
        <v>0</v>
      </c>
      <c r="N29">
        <f t="shared" si="3"/>
        <v>-5.31</v>
      </c>
      <c r="O29" t="s">
        <v>34</v>
      </c>
      <c r="T29" t="e">
        <f t="shared" si="1"/>
        <v>#VALUE!</v>
      </c>
      <c r="U29" t="e">
        <f t="shared" si="4"/>
        <v>#VALUE!</v>
      </c>
      <c r="V29" t="e">
        <f t="shared" si="5"/>
        <v>#VALUE!</v>
      </c>
      <c r="W29" t="e">
        <f t="shared" si="6"/>
        <v>#VALUE!</v>
      </c>
    </row>
    <row r="30" spans="1:29" x14ac:dyDescent="0.3">
      <c r="A30" t="s">
        <v>26</v>
      </c>
      <c r="B30" t="s">
        <v>27</v>
      </c>
      <c r="C30">
        <v>2</v>
      </c>
      <c r="D30">
        <v>12</v>
      </c>
      <c r="E30" t="s">
        <v>28</v>
      </c>
      <c r="F30">
        <v>0.43320999999999998</v>
      </c>
      <c r="G30" t="s">
        <v>33</v>
      </c>
      <c r="H30" t="s">
        <v>34</v>
      </c>
      <c r="I30" t="s">
        <v>34</v>
      </c>
      <c r="J30">
        <f t="shared" si="0"/>
        <v>63.617251162500004</v>
      </c>
      <c r="K30">
        <v>5.31</v>
      </c>
      <c r="M30">
        <f t="shared" si="2"/>
        <v>0</v>
      </c>
      <c r="N30">
        <f t="shared" si="3"/>
        <v>-5.31</v>
      </c>
      <c r="O30" t="s">
        <v>34</v>
      </c>
      <c r="T30" t="e">
        <f t="shared" si="1"/>
        <v>#VALUE!</v>
      </c>
      <c r="U30" t="e">
        <f t="shared" si="4"/>
        <v>#VALUE!</v>
      </c>
      <c r="V30" t="e">
        <f t="shared" si="5"/>
        <v>#VALUE!</v>
      </c>
      <c r="W30" t="e">
        <f t="shared" si="6"/>
        <v>#VALUE!</v>
      </c>
    </row>
    <row r="31" spans="1:29" x14ac:dyDescent="0.3">
      <c r="A31" t="s">
        <v>26</v>
      </c>
      <c r="B31" t="s">
        <v>27</v>
      </c>
      <c r="C31">
        <v>2</v>
      </c>
      <c r="D31">
        <v>12</v>
      </c>
      <c r="E31" t="s">
        <v>30</v>
      </c>
      <c r="F31">
        <v>0.43595</v>
      </c>
      <c r="G31" t="s">
        <v>33</v>
      </c>
      <c r="H31" t="s">
        <v>34</v>
      </c>
      <c r="I31" t="s">
        <v>34</v>
      </c>
      <c r="J31">
        <f t="shared" si="0"/>
        <v>63.617251162500004</v>
      </c>
      <c r="K31">
        <v>5.31</v>
      </c>
      <c r="M31">
        <f t="shared" si="2"/>
        <v>0</v>
      </c>
      <c r="N31">
        <f t="shared" si="3"/>
        <v>-5.31</v>
      </c>
      <c r="O31" t="s">
        <v>34</v>
      </c>
      <c r="T31" t="e">
        <f t="shared" si="1"/>
        <v>#VALUE!</v>
      </c>
      <c r="U31" t="e">
        <f t="shared" si="4"/>
        <v>#VALUE!</v>
      </c>
      <c r="V31" t="e">
        <f t="shared" si="5"/>
        <v>#VALUE!</v>
      </c>
      <c r="W31" t="e">
        <f t="shared" si="6"/>
        <v>#VALUE!</v>
      </c>
    </row>
    <row r="32" spans="1:29" x14ac:dyDescent="0.3">
      <c r="A32" t="s">
        <v>26</v>
      </c>
      <c r="B32" t="s">
        <v>27</v>
      </c>
      <c r="C32">
        <v>2</v>
      </c>
      <c r="D32">
        <v>12</v>
      </c>
      <c r="E32" t="s">
        <v>31</v>
      </c>
      <c r="F32">
        <v>0.42329</v>
      </c>
      <c r="G32" t="s">
        <v>33</v>
      </c>
      <c r="H32" t="s">
        <v>34</v>
      </c>
      <c r="I32" t="s">
        <v>34</v>
      </c>
      <c r="J32">
        <f t="shared" si="0"/>
        <v>63.617251162500004</v>
      </c>
      <c r="K32">
        <v>5.31</v>
      </c>
      <c r="M32">
        <f t="shared" si="2"/>
        <v>0</v>
      </c>
      <c r="N32">
        <f t="shared" si="3"/>
        <v>-5.31</v>
      </c>
      <c r="O32" t="s">
        <v>34</v>
      </c>
      <c r="T32" t="e">
        <f t="shared" si="1"/>
        <v>#VALUE!</v>
      </c>
      <c r="U32" t="e">
        <f t="shared" si="4"/>
        <v>#VALUE!</v>
      </c>
      <c r="V32" t="e">
        <f t="shared" si="5"/>
        <v>#VALUE!</v>
      </c>
      <c r="W32" t="e">
        <f t="shared" si="6"/>
        <v>#VALUE!</v>
      </c>
    </row>
    <row r="33" spans="1:29" x14ac:dyDescent="0.3">
      <c r="A33" t="s">
        <v>26</v>
      </c>
      <c r="B33" t="s">
        <v>27</v>
      </c>
      <c r="C33">
        <v>2</v>
      </c>
      <c r="D33">
        <v>24</v>
      </c>
      <c r="E33" t="s">
        <v>28</v>
      </c>
      <c r="F33">
        <v>0.43370999999999998</v>
      </c>
      <c r="G33" t="s">
        <v>33</v>
      </c>
      <c r="H33" t="s">
        <v>34</v>
      </c>
      <c r="I33" t="s">
        <v>34</v>
      </c>
      <c r="J33">
        <f t="shared" si="0"/>
        <v>63.617251162500004</v>
      </c>
      <c r="K33">
        <v>5.31</v>
      </c>
      <c r="M33">
        <f t="shared" si="2"/>
        <v>0</v>
      </c>
      <c r="N33">
        <f t="shared" si="3"/>
        <v>-5.31</v>
      </c>
      <c r="O33" t="s">
        <v>34</v>
      </c>
      <c r="T33" t="e">
        <f t="shared" si="1"/>
        <v>#VALUE!</v>
      </c>
      <c r="U33" t="e">
        <f t="shared" si="4"/>
        <v>#VALUE!</v>
      </c>
      <c r="V33" t="e">
        <f t="shared" si="5"/>
        <v>#VALUE!</v>
      </c>
      <c r="W33" t="e">
        <f t="shared" si="6"/>
        <v>#VALUE!</v>
      </c>
    </row>
    <row r="34" spans="1:29" x14ac:dyDescent="0.3">
      <c r="A34" t="s">
        <v>26</v>
      </c>
      <c r="B34" t="s">
        <v>27</v>
      </c>
      <c r="C34">
        <v>2</v>
      </c>
      <c r="D34">
        <v>24</v>
      </c>
      <c r="E34" t="s">
        <v>30</v>
      </c>
      <c r="F34">
        <v>0.42358000000000001</v>
      </c>
      <c r="G34" t="s">
        <v>33</v>
      </c>
      <c r="H34" t="s">
        <v>34</v>
      </c>
      <c r="I34" t="s">
        <v>34</v>
      </c>
      <c r="J34">
        <f t="shared" si="0"/>
        <v>63.617251162500004</v>
      </c>
      <c r="K34">
        <v>5.31</v>
      </c>
      <c r="M34">
        <f t="shared" si="2"/>
        <v>0</v>
      </c>
      <c r="N34">
        <f t="shared" si="3"/>
        <v>-5.31</v>
      </c>
      <c r="O34" t="s">
        <v>34</v>
      </c>
      <c r="T34" t="e">
        <f t="shared" si="1"/>
        <v>#VALUE!</v>
      </c>
      <c r="U34" t="e">
        <f t="shared" si="4"/>
        <v>#VALUE!</v>
      </c>
      <c r="V34" t="e">
        <f t="shared" si="5"/>
        <v>#VALUE!</v>
      </c>
      <c r="W34" t="e">
        <f t="shared" si="6"/>
        <v>#VALUE!</v>
      </c>
    </row>
    <row r="35" spans="1:29" x14ac:dyDescent="0.3">
      <c r="A35" t="s">
        <v>26</v>
      </c>
      <c r="B35" t="s">
        <v>27</v>
      </c>
      <c r="C35">
        <v>2</v>
      </c>
      <c r="D35">
        <v>24</v>
      </c>
      <c r="E35" t="s">
        <v>31</v>
      </c>
      <c r="F35">
        <v>0.43640000000000001</v>
      </c>
      <c r="G35" t="s">
        <v>33</v>
      </c>
      <c r="H35" t="s">
        <v>34</v>
      </c>
      <c r="I35" t="s">
        <v>34</v>
      </c>
      <c r="J35">
        <f t="shared" si="0"/>
        <v>63.617251162500004</v>
      </c>
      <c r="K35">
        <v>5.31</v>
      </c>
      <c r="M35">
        <f t="shared" si="2"/>
        <v>0</v>
      </c>
      <c r="N35">
        <f t="shared" si="3"/>
        <v>-5.31</v>
      </c>
      <c r="O35" t="s">
        <v>34</v>
      </c>
      <c r="T35" t="e">
        <f t="shared" si="1"/>
        <v>#VALUE!</v>
      </c>
      <c r="U35" t="e">
        <f t="shared" si="4"/>
        <v>#VALUE!</v>
      </c>
      <c r="V35" t="e">
        <f t="shared" si="5"/>
        <v>#VALUE!</v>
      </c>
      <c r="W35" t="e">
        <f t="shared" si="6"/>
        <v>#VALUE!</v>
      </c>
    </row>
    <row r="36" spans="1:29" x14ac:dyDescent="0.3">
      <c r="A36" t="s">
        <v>26</v>
      </c>
      <c r="B36" t="s">
        <v>27</v>
      </c>
      <c r="C36">
        <v>2</v>
      </c>
      <c r="D36">
        <v>48</v>
      </c>
      <c r="E36" t="s">
        <v>28</v>
      </c>
      <c r="F36">
        <v>0.43656</v>
      </c>
      <c r="G36" t="s">
        <v>33</v>
      </c>
      <c r="H36" t="s">
        <v>34</v>
      </c>
      <c r="I36" t="s">
        <v>34</v>
      </c>
      <c r="J36">
        <f t="shared" si="0"/>
        <v>63.617251162500004</v>
      </c>
      <c r="K36">
        <v>5.31</v>
      </c>
      <c r="M36">
        <f t="shared" si="2"/>
        <v>0</v>
      </c>
      <c r="N36">
        <f t="shared" si="3"/>
        <v>-5.31</v>
      </c>
      <c r="O36" t="s">
        <v>34</v>
      </c>
      <c r="T36" t="e">
        <f t="shared" si="1"/>
        <v>#VALUE!</v>
      </c>
      <c r="U36" t="e">
        <f t="shared" si="4"/>
        <v>#VALUE!</v>
      </c>
      <c r="V36" t="e">
        <f t="shared" si="5"/>
        <v>#VALUE!</v>
      </c>
      <c r="W36" t="e">
        <f t="shared" si="6"/>
        <v>#VALUE!</v>
      </c>
    </row>
    <row r="37" spans="1:29" x14ac:dyDescent="0.3">
      <c r="A37" t="s">
        <v>26</v>
      </c>
      <c r="B37" t="s">
        <v>27</v>
      </c>
      <c r="C37">
        <v>2</v>
      </c>
      <c r="D37">
        <v>48</v>
      </c>
      <c r="E37" t="s">
        <v>30</v>
      </c>
      <c r="F37">
        <v>0.42331000000000002</v>
      </c>
      <c r="G37" t="s">
        <v>33</v>
      </c>
      <c r="H37" t="s">
        <v>34</v>
      </c>
      <c r="I37" t="s">
        <v>34</v>
      </c>
      <c r="J37">
        <f t="shared" si="0"/>
        <v>63.617251162500004</v>
      </c>
      <c r="K37">
        <v>5.31</v>
      </c>
      <c r="M37">
        <f t="shared" si="2"/>
        <v>0</v>
      </c>
      <c r="N37">
        <f t="shared" si="3"/>
        <v>-5.31</v>
      </c>
      <c r="O37" t="s">
        <v>34</v>
      </c>
      <c r="T37" t="e">
        <f t="shared" si="1"/>
        <v>#VALUE!</v>
      </c>
      <c r="U37" t="e">
        <f t="shared" si="4"/>
        <v>#VALUE!</v>
      </c>
      <c r="V37" t="e">
        <f t="shared" si="5"/>
        <v>#VALUE!</v>
      </c>
      <c r="W37" t="e">
        <f t="shared" si="6"/>
        <v>#VALUE!</v>
      </c>
    </row>
    <row r="38" spans="1:29" x14ac:dyDescent="0.3">
      <c r="A38" t="s">
        <v>26</v>
      </c>
      <c r="B38" t="s">
        <v>27</v>
      </c>
      <c r="C38">
        <v>2</v>
      </c>
      <c r="D38">
        <v>48</v>
      </c>
      <c r="E38" t="s">
        <v>31</v>
      </c>
      <c r="F38">
        <v>0.43359999999999999</v>
      </c>
      <c r="G38" t="s">
        <v>33</v>
      </c>
      <c r="H38" t="s">
        <v>34</v>
      </c>
      <c r="I38" t="s">
        <v>34</v>
      </c>
      <c r="J38">
        <f t="shared" si="0"/>
        <v>63.617251162500004</v>
      </c>
      <c r="K38">
        <v>5.31</v>
      </c>
      <c r="M38">
        <f t="shared" si="2"/>
        <v>0</v>
      </c>
      <c r="N38">
        <f t="shared" si="3"/>
        <v>-5.31</v>
      </c>
      <c r="O38" t="s">
        <v>34</v>
      </c>
      <c r="T38" t="e">
        <f t="shared" si="1"/>
        <v>#VALUE!</v>
      </c>
      <c r="U38" t="e">
        <f t="shared" si="4"/>
        <v>#VALUE!</v>
      </c>
      <c r="V38" t="e">
        <f t="shared" si="5"/>
        <v>#VALUE!</v>
      </c>
      <c r="W38" t="e">
        <f t="shared" si="6"/>
        <v>#VALUE!</v>
      </c>
    </row>
    <row r="39" spans="1:29" x14ac:dyDescent="0.3">
      <c r="A39" t="s">
        <v>26</v>
      </c>
      <c r="B39" t="s">
        <v>27</v>
      </c>
      <c r="C39">
        <v>1</v>
      </c>
      <c r="D39" t="s">
        <v>35</v>
      </c>
      <c r="E39" t="s">
        <v>36</v>
      </c>
      <c r="F39">
        <v>0.42207</v>
      </c>
      <c r="G39" s="1">
        <v>45841</v>
      </c>
      <c r="I39" s="1">
        <v>45846</v>
      </c>
      <c r="J39">
        <f t="shared" si="0"/>
        <v>63.617251162500004</v>
      </c>
      <c r="K39">
        <v>5.31</v>
      </c>
      <c r="M39">
        <f t="shared" si="2"/>
        <v>0</v>
      </c>
      <c r="N39">
        <f t="shared" si="3"/>
        <v>-5.31</v>
      </c>
      <c r="O39" t="s">
        <v>34</v>
      </c>
      <c r="P39">
        <v>2.9563100000000002</v>
      </c>
      <c r="Q39">
        <v>2.9504199999999998</v>
      </c>
      <c r="R39">
        <v>2.9440599999999999</v>
      </c>
      <c r="T39">
        <f t="shared" si="1"/>
        <v>2.9504199999999998</v>
      </c>
      <c r="U39">
        <f t="shared" si="4"/>
        <v>5</v>
      </c>
      <c r="V39">
        <f t="shared" si="5"/>
        <v>0.59008399999999994</v>
      </c>
      <c r="W39">
        <f t="shared" si="6"/>
        <v>5900.8399999999992</v>
      </c>
      <c r="AC39" t="s">
        <v>37</v>
      </c>
    </row>
    <row r="40" spans="1:29" x14ac:dyDescent="0.3">
      <c r="A40" t="s">
        <v>26</v>
      </c>
      <c r="B40" t="s">
        <v>27</v>
      </c>
      <c r="C40">
        <v>1</v>
      </c>
      <c r="D40" t="s">
        <v>38</v>
      </c>
      <c r="E40" t="s">
        <v>39</v>
      </c>
      <c r="F40">
        <v>0.43448999999999999</v>
      </c>
      <c r="G40" s="1">
        <v>45841</v>
      </c>
      <c r="I40" s="1">
        <v>45846</v>
      </c>
      <c r="J40">
        <f t="shared" si="0"/>
        <v>63.617251162500004</v>
      </c>
      <c r="K40">
        <v>5.31</v>
      </c>
      <c r="M40">
        <f t="shared" si="2"/>
        <v>0</v>
      </c>
      <c r="N40">
        <f t="shared" si="3"/>
        <v>-5.31</v>
      </c>
      <c r="O40" t="s">
        <v>34</v>
      </c>
      <c r="Q40">
        <v>2.9814500000000002</v>
      </c>
      <c r="R40">
        <v>2.9669310000000002</v>
      </c>
      <c r="T40">
        <f t="shared" si="1"/>
        <v>2.9814500000000002</v>
      </c>
      <c r="U40">
        <f t="shared" si="4"/>
        <v>5</v>
      </c>
      <c r="V40">
        <f t="shared" si="5"/>
        <v>0.59628999999999999</v>
      </c>
      <c r="W40">
        <f t="shared" si="6"/>
        <v>5962.9</v>
      </c>
      <c r="AC40" t="s">
        <v>37</v>
      </c>
    </row>
    <row r="41" spans="1:29" x14ac:dyDescent="0.3">
      <c r="A41" t="s">
        <v>26</v>
      </c>
      <c r="B41" t="s">
        <v>27</v>
      </c>
      <c r="C41">
        <v>1</v>
      </c>
      <c r="D41" t="s">
        <v>40</v>
      </c>
      <c r="E41" t="s">
        <v>41</v>
      </c>
      <c r="F41">
        <v>0.43475000000000003</v>
      </c>
      <c r="G41" s="1">
        <v>45841</v>
      </c>
      <c r="I41" s="1">
        <v>45846</v>
      </c>
      <c r="J41">
        <f t="shared" si="0"/>
        <v>63.617251162500004</v>
      </c>
      <c r="K41">
        <v>5.31</v>
      </c>
      <c r="M41">
        <f t="shared" si="2"/>
        <v>0</v>
      </c>
      <c r="N41">
        <f t="shared" si="3"/>
        <v>-5.31</v>
      </c>
      <c r="O41" t="s">
        <v>34</v>
      </c>
      <c r="R41">
        <v>2.9232999999999998</v>
      </c>
      <c r="T41">
        <f t="shared" si="1"/>
        <v>0</v>
      </c>
      <c r="U41">
        <f t="shared" si="4"/>
        <v>5</v>
      </c>
      <c r="V41">
        <f t="shared" si="5"/>
        <v>0</v>
      </c>
      <c r="W41">
        <f t="shared" si="6"/>
        <v>0</v>
      </c>
      <c r="AC41" t="s">
        <v>42</v>
      </c>
    </row>
    <row r="42" spans="1:29" x14ac:dyDescent="0.3">
      <c r="A42" t="s">
        <v>26</v>
      </c>
      <c r="B42" t="s">
        <v>27</v>
      </c>
      <c r="E42" t="s">
        <v>43</v>
      </c>
      <c r="F42">
        <v>0.42280000000000001</v>
      </c>
      <c r="G42" t="s">
        <v>44</v>
      </c>
      <c r="H42" t="s">
        <v>34</v>
      </c>
      <c r="J42">
        <f t="shared" si="0"/>
        <v>63.617251162500004</v>
      </c>
      <c r="K42">
        <v>5.31</v>
      </c>
      <c r="M42">
        <f t="shared" si="2"/>
        <v>0</v>
      </c>
      <c r="N42">
        <f t="shared" si="3"/>
        <v>-5.31</v>
      </c>
      <c r="O42" t="s">
        <v>34</v>
      </c>
      <c r="T42" t="e">
        <f t="shared" si="1"/>
        <v>#VALUE!</v>
      </c>
      <c r="U42" t="e">
        <f t="shared" si="4"/>
        <v>#VALUE!</v>
      </c>
      <c r="V42" t="e">
        <f t="shared" si="5"/>
        <v>#VALUE!</v>
      </c>
      <c r="W42" t="e">
        <f t="shared" si="6"/>
        <v>#VALUE!</v>
      </c>
    </row>
    <row r="43" spans="1:29" x14ac:dyDescent="0.3">
      <c r="A43" t="s">
        <v>45</v>
      </c>
      <c r="B43" t="s">
        <v>27</v>
      </c>
      <c r="C43">
        <v>1</v>
      </c>
      <c r="D43">
        <v>0.5</v>
      </c>
      <c r="E43" t="s">
        <v>28</v>
      </c>
      <c r="F43">
        <v>0.44001000000000001</v>
      </c>
      <c r="G43" s="1">
        <v>45846</v>
      </c>
      <c r="H43">
        <v>6.33622</v>
      </c>
      <c r="I43" s="1">
        <v>45874</v>
      </c>
      <c r="J43">
        <f>4.5*4.5*3.14159265</f>
        <v>63.617251162500004</v>
      </c>
      <c r="K43">
        <v>5.31</v>
      </c>
      <c r="L43" s="7">
        <v>1</v>
      </c>
      <c r="M43">
        <f t="shared" si="2"/>
        <v>0.44001000000000001</v>
      </c>
      <c r="N43">
        <f>(L43*J43)-K43</f>
        <v>58.307251162500002</v>
      </c>
      <c r="O43" t="s">
        <v>46</v>
      </c>
      <c r="P43">
        <v>7.0936599999999999</v>
      </c>
      <c r="S43">
        <f>P43-M43-H43</f>
        <v>0.31742999999999988</v>
      </c>
      <c r="T43">
        <f>S43/N43</f>
        <v>5.4440913209119575E-3</v>
      </c>
      <c r="U43">
        <f>I43-G43</f>
        <v>28</v>
      </c>
      <c r="V43">
        <f>T43/U43</f>
        <v>1.9443183288971277E-4</v>
      </c>
      <c r="W43">
        <f>V43*10000</f>
        <v>1.9443183288971277</v>
      </c>
      <c r="AC43" t="s">
        <v>47</v>
      </c>
    </row>
    <row r="44" spans="1:29" x14ac:dyDescent="0.3">
      <c r="A44" t="s">
        <v>45</v>
      </c>
      <c r="B44" t="s">
        <v>27</v>
      </c>
      <c r="C44">
        <v>1</v>
      </c>
      <c r="D44">
        <v>0.5</v>
      </c>
      <c r="E44" t="s">
        <v>30</v>
      </c>
      <c r="F44">
        <v>0.42712</v>
      </c>
      <c r="G44" s="1">
        <v>45846</v>
      </c>
      <c r="H44">
        <v>6.3642500000000002</v>
      </c>
      <c r="I44" s="1">
        <v>45874</v>
      </c>
      <c r="J44">
        <f t="shared" ref="J44:J107" si="7">4.5*4.5*3.14159265</f>
        <v>63.617251162500004</v>
      </c>
      <c r="K44">
        <v>5.31</v>
      </c>
      <c r="L44" s="7">
        <v>1</v>
      </c>
      <c r="M44">
        <f t="shared" si="2"/>
        <v>0.42712</v>
      </c>
      <c r="N44">
        <f t="shared" ref="N44:N107" si="8">L44*J44-K44</f>
        <v>58.307251162500002</v>
      </c>
      <c r="O44" t="s">
        <v>46</v>
      </c>
      <c r="P44">
        <v>6.9312699999999996</v>
      </c>
      <c r="S44">
        <f t="shared" ref="S44:S59" si="9">P44-M44-H44</f>
        <v>0.13989999999999903</v>
      </c>
      <c r="T44">
        <f t="shared" ref="T44:T60" si="10">S44/N44</f>
        <v>2.3993585224949682E-3</v>
      </c>
      <c r="U44">
        <f t="shared" ref="U44:U60" si="11">I44-G44</f>
        <v>28</v>
      </c>
      <c r="V44">
        <f t="shared" ref="V44:V61" si="12">T44/U44</f>
        <v>8.5691375803391718E-5</v>
      </c>
      <c r="W44">
        <f t="shared" ref="W44:W107" si="13">V44*10000</f>
        <v>0.85691375803391723</v>
      </c>
      <c r="AC44" t="s">
        <v>47</v>
      </c>
    </row>
    <row r="45" spans="1:29" x14ac:dyDescent="0.3">
      <c r="A45" t="s">
        <v>45</v>
      </c>
      <c r="B45" t="s">
        <v>27</v>
      </c>
      <c r="C45">
        <v>1</v>
      </c>
      <c r="D45">
        <v>0.5</v>
      </c>
      <c r="E45" t="s">
        <v>31</v>
      </c>
      <c r="F45">
        <v>0.42549999999999999</v>
      </c>
      <c r="G45" s="1">
        <v>45846</v>
      </c>
      <c r="H45">
        <v>6.3477899999999998</v>
      </c>
      <c r="I45" s="1">
        <v>45874</v>
      </c>
      <c r="J45">
        <f t="shared" si="7"/>
        <v>63.617251162500004</v>
      </c>
      <c r="K45">
        <v>5.31</v>
      </c>
      <c r="L45" s="7">
        <v>1</v>
      </c>
      <c r="M45">
        <f t="shared" si="2"/>
        <v>0.42549999999999999</v>
      </c>
      <c r="N45">
        <f t="shared" si="8"/>
        <v>58.307251162500002</v>
      </c>
      <c r="O45" t="s">
        <v>46</v>
      </c>
      <c r="P45">
        <v>6.7907400000000004</v>
      </c>
      <c r="S45">
        <f t="shared" si="9"/>
        <v>1.7450000000000188E-2</v>
      </c>
      <c r="T45">
        <f t="shared" si="10"/>
        <v>2.9927667060427406E-4</v>
      </c>
      <c r="U45">
        <f t="shared" si="11"/>
        <v>28</v>
      </c>
      <c r="V45">
        <f t="shared" si="12"/>
        <v>1.0688452521581216E-5</v>
      </c>
      <c r="W45">
        <f t="shared" si="13"/>
        <v>0.10688452521581217</v>
      </c>
      <c r="AC45" t="s">
        <v>47</v>
      </c>
    </row>
    <row r="46" spans="1:29" x14ac:dyDescent="0.3">
      <c r="A46" t="s">
        <v>45</v>
      </c>
      <c r="B46" t="s">
        <v>27</v>
      </c>
      <c r="C46">
        <v>1</v>
      </c>
      <c r="D46">
        <v>2</v>
      </c>
      <c r="E46" t="s">
        <v>28</v>
      </c>
      <c r="F46">
        <v>0.44051000000000001</v>
      </c>
      <c r="G46" s="1">
        <v>45846</v>
      </c>
      <c r="H46">
        <v>6.30105</v>
      </c>
      <c r="I46" s="1">
        <v>45874</v>
      </c>
      <c r="J46">
        <f t="shared" si="7"/>
        <v>63.617251162500004</v>
      </c>
      <c r="K46">
        <v>5.31</v>
      </c>
      <c r="L46" s="7">
        <v>1</v>
      </c>
      <c r="M46">
        <f t="shared" si="2"/>
        <v>0.44051000000000001</v>
      </c>
      <c r="N46">
        <f t="shared" si="8"/>
        <v>58.307251162500002</v>
      </c>
      <c r="O46" t="s">
        <v>46</v>
      </c>
      <c r="P46">
        <v>7.0908899999999999</v>
      </c>
      <c r="S46">
        <f t="shared" si="9"/>
        <v>0.34933000000000014</v>
      </c>
      <c r="T46">
        <f t="shared" si="10"/>
        <v>5.9911930855123191E-3</v>
      </c>
      <c r="U46">
        <f t="shared" si="11"/>
        <v>28</v>
      </c>
      <c r="V46">
        <f t="shared" si="12"/>
        <v>2.1397118162543998E-4</v>
      </c>
      <c r="W46">
        <f t="shared" si="13"/>
        <v>2.1397118162543998</v>
      </c>
      <c r="AC46" t="s">
        <v>47</v>
      </c>
    </row>
    <row r="47" spans="1:29" x14ac:dyDescent="0.3">
      <c r="A47" t="s">
        <v>45</v>
      </c>
      <c r="B47" t="s">
        <v>27</v>
      </c>
      <c r="C47">
        <v>1</v>
      </c>
      <c r="D47">
        <v>2</v>
      </c>
      <c r="E47" t="s">
        <v>30</v>
      </c>
      <c r="F47">
        <v>0.44240000000000002</v>
      </c>
      <c r="G47" s="1">
        <v>45846</v>
      </c>
      <c r="H47">
        <v>6.4134700000000002</v>
      </c>
      <c r="I47" s="1">
        <v>45874</v>
      </c>
      <c r="J47">
        <f t="shared" si="7"/>
        <v>63.617251162500004</v>
      </c>
      <c r="K47">
        <v>5.31</v>
      </c>
      <c r="L47" s="7">
        <v>1</v>
      </c>
      <c r="M47">
        <f t="shared" si="2"/>
        <v>0.44240000000000002</v>
      </c>
      <c r="N47">
        <f t="shared" si="8"/>
        <v>58.307251162500002</v>
      </c>
      <c r="O47" t="s">
        <v>46</v>
      </c>
      <c r="P47">
        <v>7.1267199999999997</v>
      </c>
      <c r="S47">
        <f t="shared" si="9"/>
        <v>0.27084999999999937</v>
      </c>
      <c r="T47">
        <f t="shared" si="10"/>
        <v>4.6452198414422101E-3</v>
      </c>
      <c r="U47">
        <f t="shared" si="11"/>
        <v>28</v>
      </c>
      <c r="V47">
        <f t="shared" si="12"/>
        <v>1.6590070862293607E-4</v>
      </c>
      <c r="W47">
        <f t="shared" si="13"/>
        <v>1.6590070862293607</v>
      </c>
      <c r="AC47" t="s">
        <v>47</v>
      </c>
    </row>
    <row r="48" spans="1:29" x14ac:dyDescent="0.3">
      <c r="A48" t="s">
        <v>45</v>
      </c>
      <c r="B48" t="s">
        <v>27</v>
      </c>
      <c r="C48">
        <v>1</v>
      </c>
      <c r="D48">
        <v>2</v>
      </c>
      <c r="E48" t="s">
        <v>31</v>
      </c>
      <c r="F48">
        <v>0.42581000000000002</v>
      </c>
      <c r="G48" s="1">
        <v>45846</v>
      </c>
      <c r="H48">
        <v>6.34239</v>
      </c>
      <c r="I48" s="1">
        <v>45874</v>
      </c>
      <c r="J48">
        <f t="shared" si="7"/>
        <v>63.617251162500004</v>
      </c>
      <c r="K48">
        <v>5.31</v>
      </c>
      <c r="L48" s="7">
        <v>1</v>
      </c>
      <c r="M48">
        <f t="shared" si="2"/>
        <v>0.42581000000000002</v>
      </c>
      <c r="N48">
        <f t="shared" si="8"/>
        <v>58.307251162500002</v>
      </c>
      <c r="O48" t="s">
        <v>46</v>
      </c>
      <c r="P48">
        <v>7.2990500000000003</v>
      </c>
      <c r="S48">
        <f t="shared" si="9"/>
        <v>0.53085000000000004</v>
      </c>
      <c r="T48">
        <f t="shared" si="10"/>
        <v>9.1043564808181762E-3</v>
      </c>
      <c r="U48">
        <f t="shared" si="11"/>
        <v>28</v>
      </c>
      <c r="V48">
        <f t="shared" si="12"/>
        <v>3.2515558860064916E-4</v>
      </c>
      <c r="W48">
        <f t="shared" si="13"/>
        <v>3.2515558860064915</v>
      </c>
      <c r="AC48" t="s">
        <v>47</v>
      </c>
    </row>
    <row r="49" spans="1:29" x14ac:dyDescent="0.3">
      <c r="A49" t="s">
        <v>45</v>
      </c>
      <c r="B49" t="s">
        <v>27</v>
      </c>
      <c r="C49">
        <v>1</v>
      </c>
      <c r="D49">
        <v>6</v>
      </c>
      <c r="E49" t="s">
        <v>28</v>
      </c>
      <c r="F49">
        <v>0.44106000000000001</v>
      </c>
      <c r="G49" s="1">
        <v>45846</v>
      </c>
      <c r="H49">
        <v>6.3859700000000004</v>
      </c>
      <c r="I49" s="1">
        <v>45874</v>
      </c>
      <c r="J49">
        <f t="shared" si="7"/>
        <v>63.617251162500004</v>
      </c>
      <c r="K49">
        <v>5.31</v>
      </c>
      <c r="L49" s="7">
        <v>1</v>
      </c>
      <c r="M49">
        <f t="shared" si="2"/>
        <v>0.44106000000000001</v>
      </c>
      <c r="N49">
        <f t="shared" si="8"/>
        <v>58.307251162500002</v>
      </c>
      <c r="O49" t="s">
        <v>46</v>
      </c>
      <c r="P49">
        <v>7.7585800000000003</v>
      </c>
      <c r="S49">
        <f t="shared" si="9"/>
        <v>0.93154999999999966</v>
      </c>
      <c r="T49">
        <f t="shared" si="10"/>
        <v>1.597657206311796E-2</v>
      </c>
      <c r="U49">
        <f t="shared" si="11"/>
        <v>28</v>
      </c>
      <c r="V49">
        <f t="shared" si="12"/>
        <v>5.7059185939706996E-4</v>
      </c>
      <c r="W49">
        <f t="shared" si="13"/>
        <v>5.7059185939706998</v>
      </c>
      <c r="AC49" t="s">
        <v>47</v>
      </c>
    </row>
    <row r="50" spans="1:29" x14ac:dyDescent="0.3">
      <c r="A50" t="s">
        <v>45</v>
      </c>
      <c r="B50" t="s">
        <v>27</v>
      </c>
      <c r="C50">
        <v>1</v>
      </c>
      <c r="D50">
        <v>6</v>
      </c>
      <c r="E50" t="s">
        <v>30</v>
      </c>
      <c r="F50">
        <v>0.43986999999999998</v>
      </c>
      <c r="G50" s="1">
        <v>45846</v>
      </c>
      <c r="H50">
        <v>6.3587800000000003</v>
      </c>
      <c r="I50" s="1">
        <v>45874</v>
      </c>
      <c r="J50">
        <f t="shared" si="7"/>
        <v>63.617251162500004</v>
      </c>
      <c r="K50">
        <v>5.31</v>
      </c>
      <c r="L50" s="7">
        <v>1</v>
      </c>
      <c r="M50">
        <f t="shared" si="2"/>
        <v>0.43986999999999998</v>
      </c>
      <c r="N50">
        <f t="shared" si="8"/>
        <v>58.307251162500002</v>
      </c>
      <c r="O50" t="s">
        <v>46</v>
      </c>
      <c r="P50">
        <v>7.3174599999999996</v>
      </c>
      <c r="S50">
        <f t="shared" si="9"/>
        <v>0.51880999999999933</v>
      </c>
      <c r="T50">
        <f t="shared" si="10"/>
        <v>8.8978641533639848E-3</v>
      </c>
      <c r="U50">
        <f t="shared" si="11"/>
        <v>28</v>
      </c>
      <c r="V50">
        <f t="shared" si="12"/>
        <v>3.1778086262014229E-4</v>
      </c>
      <c r="W50">
        <f t="shared" si="13"/>
        <v>3.1778086262014229</v>
      </c>
      <c r="AC50" t="s">
        <v>47</v>
      </c>
    </row>
    <row r="51" spans="1:29" x14ac:dyDescent="0.3">
      <c r="A51" t="s">
        <v>45</v>
      </c>
      <c r="B51" t="s">
        <v>27</v>
      </c>
      <c r="C51">
        <v>1</v>
      </c>
      <c r="D51">
        <v>6</v>
      </c>
      <c r="E51" t="s">
        <v>31</v>
      </c>
      <c r="F51">
        <v>0.42692999999999998</v>
      </c>
      <c r="G51" s="1">
        <v>45846</v>
      </c>
      <c r="H51">
        <v>6.3494099999999998</v>
      </c>
      <c r="I51" s="1">
        <v>45874</v>
      </c>
      <c r="J51">
        <f t="shared" si="7"/>
        <v>63.617251162500004</v>
      </c>
      <c r="K51">
        <v>5.31</v>
      </c>
      <c r="L51" s="7">
        <v>1</v>
      </c>
      <c r="M51">
        <f t="shared" si="2"/>
        <v>0.42692999999999998</v>
      </c>
      <c r="N51">
        <f t="shared" si="8"/>
        <v>58.307251162500002</v>
      </c>
      <c r="O51" t="s">
        <v>46</v>
      </c>
      <c r="P51">
        <v>7.8080999999999996</v>
      </c>
      <c r="S51">
        <f t="shared" si="9"/>
        <v>1.0317600000000002</v>
      </c>
      <c r="T51">
        <f t="shared" si="10"/>
        <v>1.7695226227086677E-2</v>
      </c>
      <c r="U51">
        <f t="shared" si="11"/>
        <v>28</v>
      </c>
      <c r="V51">
        <f t="shared" si="12"/>
        <v>6.3197236525309563E-4</v>
      </c>
      <c r="W51">
        <f t="shared" si="13"/>
        <v>6.3197236525309561</v>
      </c>
      <c r="AC51" t="s">
        <v>47</v>
      </c>
    </row>
    <row r="52" spans="1:29" x14ac:dyDescent="0.3">
      <c r="A52" t="s">
        <v>45</v>
      </c>
      <c r="B52" t="s">
        <v>27</v>
      </c>
      <c r="C52">
        <v>1</v>
      </c>
      <c r="D52">
        <v>12</v>
      </c>
      <c r="E52" t="s">
        <v>28</v>
      </c>
      <c r="F52">
        <v>0.44022</v>
      </c>
      <c r="G52" s="1">
        <v>45846</v>
      </c>
      <c r="H52">
        <v>6.3393300000000004</v>
      </c>
      <c r="I52" s="1">
        <v>45874</v>
      </c>
      <c r="J52">
        <f t="shared" si="7"/>
        <v>63.617251162500004</v>
      </c>
      <c r="K52">
        <v>5.31</v>
      </c>
      <c r="L52" s="7">
        <v>1</v>
      </c>
      <c r="M52">
        <f t="shared" si="2"/>
        <v>0.44022</v>
      </c>
      <c r="N52">
        <f t="shared" si="8"/>
        <v>58.307251162500002</v>
      </c>
      <c r="O52" t="s">
        <v>46</v>
      </c>
      <c r="P52">
        <v>7.0742599999999998</v>
      </c>
      <c r="S52">
        <f t="shared" si="9"/>
        <v>0.29470999999999936</v>
      </c>
      <c r="T52">
        <f t="shared" si="10"/>
        <v>5.0544313807326336E-3</v>
      </c>
      <c r="U52">
        <f t="shared" si="11"/>
        <v>28</v>
      </c>
      <c r="V52">
        <f t="shared" si="12"/>
        <v>1.8051540645473691E-4</v>
      </c>
      <c r="W52">
        <f t="shared" si="13"/>
        <v>1.8051540645473692</v>
      </c>
      <c r="AC52" t="s">
        <v>47</v>
      </c>
    </row>
    <row r="53" spans="1:29" x14ac:dyDescent="0.3">
      <c r="A53" t="s">
        <v>45</v>
      </c>
      <c r="B53" t="s">
        <v>27</v>
      </c>
      <c r="C53">
        <v>1</v>
      </c>
      <c r="D53">
        <v>12</v>
      </c>
      <c r="E53" t="s">
        <v>30</v>
      </c>
      <c r="F53">
        <v>0.42603999999999997</v>
      </c>
      <c r="G53" s="1">
        <v>45846</v>
      </c>
      <c r="H53">
        <v>6.3743999999999996</v>
      </c>
      <c r="I53" s="1">
        <v>45874</v>
      </c>
      <c r="J53">
        <f t="shared" si="7"/>
        <v>63.617251162500004</v>
      </c>
      <c r="K53">
        <v>5.31</v>
      </c>
      <c r="L53" s="7">
        <v>1</v>
      </c>
      <c r="M53">
        <f t="shared" si="2"/>
        <v>0.42603999999999997</v>
      </c>
      <c r="N53">
        <f t="shared" si="8"/>
        <v>58.307251162500002</v>
      </c>
      <c r="O53" t="s">
        <v>46</v>
      </c>
      <c r="P53">
        <v>7.2392000000000003</v>
      </c>
      <c r="S53">
        <f t="shared" si="9"/>
        <v>0.43876000000000026</v>
      </c>
      <c r="T53">
        <f t="shared" si="10"/>
        <v>7.5249645842022893E-3</v>
      </c>
      <c r="U53">
        <f t="shared" si="11"/>
        <v>28</v>
      </c>
      <c r="V53">
        <f t="shared" si="12"/>
        <v>2.6874873515008178E-4</v>
      </c>
      <c r="W53">
        <f t="shared" si="13"/>
        <v>2.6874873515008177</v>
      </c>
      <c r="AC53" t="s">
        <v>47</v>
      </c>
    </row>
    <row r="54" spans="1:29" x14ac:dyDescent="0.3">
      <c r="A54" t="s">
        <v>45</v>
      </c>
      <c r="B54" t="s">
        <v>27</v>
      </c>
      <c r="C54">
        <v>1</v>
      </c>
      <c r="D54">
        <v>12</v>
      </c>
      <c r="E54" t="s">
        <v>31</v>
      </c>
      <c r="F54">
        <v>0.44340000000000002</v>
      </c>
      <c r="G54" s="1">
        <v>45846</v>
      </c>
      <c r="H54">
        <v>6.3233100000000002</v>
      </c>
      <c r="I54" s="1">
        <v>45874</v>
      </c>
      <c r="J54">
        <f t="shared" si="7"/>
        <v>63.617251162500004</v>
      </c>
      <c r="K54">
        <v>5.31</v>
      </c>
      <c r="L54" s="7">
        <v>1</v>
      </c>
      <c r="M54">
        <f t="shared" si="2"/>
        <v>0.44340000000000002</v>
      </c>
      <c r="N54">
        <f t="shared" si="8"/>
        <v>58.307251162500002</v>
      </c>
      <c r="O54" t="s">
        <v>46</v>
      </c>
      <c r="P54">
        <v>7.1528400000000003</v>
      </c>
      <c r="S54">
        <f t="shared" si="9"/>
        <v>0.38613000000000053</v>
      </c>
      <c r="T54">
        <f t="shared" si="10"/>
        <v>6.6223324252393844E-3</v>
      </c>
      <c r="U54">
        <f t="shared" si="11"/>
        <v>28</v>
      </c>
      <c r="V54">
        <f t="shared" si="12"/>
        <v>2.3651187232997801E-4</v>
      </c>
      <c r="W54">
        <f t="shared" si="13"/>
        <v>2.3651187232997803</v>
      </c>
      <c r="AC54" t="s">
        <v>47</v>
      </c>
    </row>
    <row r="55" spans="1:29" x14ac:dyDescent="0.3">
      <c r="A55" t="s">
        <v>45</v>
      </c>
      <c r="B55" t="s">
        <v>27</v>
      </c>
      <c r="C55">
        <v>1</v>
      </c>
      <c r="D55">
        <v>24</v>
      </c>
      <c r="E55" t="s">
        <v>28</v>
      </c>
      <c r="F55">
        <v>0.42605999999999999</v>
      </c>
      <c r="G55" s="1">
        <v>45846</v>
      </c>
      <c r="H55">
        <v>6.3905700000000003</v>
      </c>
      <c r="I55" s="1">
        <v>45874</v>
      </c>
      <c r="J55">
        <f t="shared" si="7"/>
        <v>63.617251162500004</v>
      </c>
      <c r="K55">
        <v>5.31</v>
      </c>
      <c r="L55" s="7">
        <v>1</v>
      </c>
      <c r="M55">
        <f t="shared" si="2"/>
        <v>0.42605999999999999</v>
      </c>
      <c r="N55">
        <f t="shared" si="8"/>
        <v>58.307251162500002</v>
      </c>
      <c r="O55" t="s">
        <v>46</v>
      </c>
      <c r="P55">
        <v>7.4946299999999999</v>
      </c>
      <c r="S55">
        <f t="shared" si="9"/>
        <v>0.67799999999999994</v>
      </c>
      <c r="T55">
        <f t="shared" si="10"/>
        <v>1.1628056313449604E-2</v>
      </c>
      <c r="U55">
        <f t="shared" si="11"/>
        <v>28</v>
      </c>
      <c r="V55">
        <f t="shared" si="12"/>
        <v>4.1528772548034303E-4</v>
      </c>
      <c r="W55">
        <f t="shared" si="13"/>
        <v>4.1528772548034301</v>
      </c>
      <c r="AC55" t="s">
        <v>47</v>
      </c>
    </row>
    <row r="56" spans="1:29" x14ac:dyDescent="0.3">
      <c r="A56" t="s">
        <v>45</v>
      </c>
      <c r="B56" t="s">
        <v>27</v>
      </c>
      <c r="C56">
        <v>1</v>
      </c>
      <c r="D56">
        <v>24</v>
      </c>
      <c r="E56" t="s">
        <v>30</v>
      </c>
      <c r="F56">
        <v>0.44155</v>
      </c>
      <c r="G56" s="1">
        <v>45846</v>
      </c>
      <c r="H56">
        <v>6.3825000000000003</v>
      </c>
      <c r="I56" s="1">
        <v>45874</v>
      </c>
      <c r="J56">
        <f t="shared" si="7"/>
        <v>63.617251162500004</v>
      </c>
      <c r="K56">
        <v>5.31</v>
      </c>
      <c r="L56" s="7">
        <v>1</v>
      </c>
      <c r="M56">
        <f t="shared" si="2"/>
        <v>0.44155</v>
      </c>
      <c r="N56">
        <f t="shared" si="8"/>
        <v>58.307251162500002</v>
      </c>
      <c r="O56" t="s">
        <v>46</v>
      </c>
      <c r="P56">
        <v>7.4210099999999999</v>
      </c>
      <c r="S56">
        <f t="shared" si="9"/>
        <v>0.59695999999999927</v>
      </c>
      <c r="T56">
        <f t="shared" si="10"/>
        <v>1.023817772400718E-2</v>
      </c>
      <c r="U56">
        <f t="shared" si="11"/>
        <v>28</v>
      </c>
      <c r="V56">
        <f t="shared" si="12"/>
        <v>3.6564920442882788E-4</v>
      </c>
      <c r="W56">
        <f t="shared" si="13"/>
        <v>3.6564920442882789</v>
      </c>
      <c r="AC56" t="s">
        <v>47</v>
      </c>
    </row>
    <row r="57" spans="1:29" x14ac:dyDescent="0.3">
      <c r="A57" t="s">
        <v>45</v>
      </c>
      <c r="B57" t="s">
        <v>27</v>
      </c>
      <c r="C57">
        <v>1</v>
      </c>
      <c r="D57">
        <v>24</v>
      </c>
      <c r="E57" t="s">
        <v>31</v>
      </c>
      <c r="F57">
        <v>0.44040000000000001</v>
      </c>
      <c r="G57" s="1">
        <v>45846</v>
      </c>
      <c r="H57">
        <v>6.3804999999999996</v>
      </c>
      <c r="I57" s="1">
        <v>45874</v>
      </c>
      <c r="J57">
        <f t="shared" si="7"/>
        <v>63.617251162500004</v>
      </c>
      <c r="K57">
        <v>5.31</v>
      </c>
      <c r="L57" s="7">
        <v>1</v>
      </c>
      <c r="M57">
        <f t="shared" si="2"/>
        <v>0.44040000000000001</v>
      </c>
      <c r="N57">
        <f t="shared" si="8"/>
        <v>58.307251162500002</v>
      </c>
      <c r="O57" t="s">
        <v>46</v>
      </c>
      <c r="P57">
        <v>7.3626899999999997</v>
      </c>
      <c r="S57">
        <f t="shared" si="9"/>
        <v>0.54178999999999977</v>
      </c>
      <c r="T57">
        <f t="shared" si="10"/>
        <v>9.2919832301826839E-3</v>
      </c>
      <c r="U57">
        <f t="shared" si="11"/>
        <v>28</v>
      </c>
      <c r="V57">
        <f t="shared" si="12"/>
        <v>3.3185654393509586E-4</v>
      </c>
      <c r="W57">
        <f t="shared" si="13"/>
        <v>3.3185654393509587</v>
      </c>
      <c r="AC57" t="s">
        <v>47</v>
      </c>
    </row>
    <row r="58" spans="1:29" x14ac:dyDescent="0.3">
      <c r="A58" t="s">
        <v>45</v>
      </c>
      <c r="B58" t="s">
        <v>27</v>
      </c>
      <c r="C58">
        <v>1</v>
      </c>
      <c r="D58">
        <v>48</v>
      </c>
      <c r="E58" t="s">
        <v>28</v>
      </c>
      <c r="F58">
        <v>0.42637999999999998</v>
      </c>
      <c r="G58" s="1">
        <v>45846</v>
      </c>
      <c r="H58">
        <v>6.3422700000000001</v>
      </c>
      <c r="I58" s="1">
        <v>45874</v>
      </c>
      <c r="J58">
        <f t="shared" si="7"/>
        <v>63.617251162500004</v>
      </c>
      <c r="K58">
        <v>5.31</v>
      </c>
      <c r="L58" s="7">
        <v>1</v>
      </c>
      <c r="M58">
        <f t="shared" si="2"/>
        <v>0.42637999999999998</v>
      </c>
      <c r="N58">
        <f t="shared" si="8"/>
        <v>58.307251162500002</v>
      </c>
      <c r="O58" t="s">
        <v>46</v>
      </c>
      <c r="P58">
        <v>7.6139900000000003</v>
      </c>
      <c r="S58">
        <f t="shared" si="9"/>
        <v>0.8453400000000002</v>
      </c>
      <c r="T58">
        <f t="shared" si="10"/>
        <v>1.4498025256654118E-2</v>
      </c>
      <c r="U58">
        <f t="shared" si="11"/>
        <v>28</v>
      </c>
      <c r="V58">
        <f t="shared" si="12"/>
        <v>5.1778661630907561E-4</v>
      </c>
      <c r="W58">
        <f t="shared" si="13"/>
        <v>5.1778661630907559</v>
      </c>
      <c r="AC58" t="s">
        <v>47</v>
      </c>
    </row>
    <row r="59" spans="1:29" x14ac:dyDescent="0.3">
      <c r="A59" t="s">
        <v>45</v>
      </c>
      <c r="B59" t="s">
        <v>27</v>
      </c>
      <c r="C59">
        <v>1</v>
      </c>
      <c r="D59">
        <v>48</v>
      </c>
      <c r="E59" t="s">
        <v>30</v>
      </c>
      <c r="F59">
        <v>0.44007000000000002</v>
      </c>
      <c r="G59" s="1">
        <v>45846</v>
      </c>
      <c r="H59">
        <v>6.3035300000000003</v>
      </c>
      <c r="I59" s="1">
        <v>45874</v>
      </c>
      <c r="J59">
        <f t="shared" si="7"/>
        <v>63.617251162500004</v>
      </c>
      <c r="K59">
        <v>5.31</v>
      </c>
      <c r="L59" s="7">
        <v>1</v>
      </c>
      <c r="M59">
        <f t="shared" si="2"/>
        <v>0.44007000000000002</v>
      </c>
      <c r="N59">
        <f t="shared" si="8"/>
        <v>58.307251162500002</v>
      </c>
      <c r="O59" t="s">
        <v>46</v>
      </c>
      <c r="P59">
        <v>7.5907099999999996</v>
      </c>
      <c r="S59">
        <f t="shared" si="9"/>
        <v>0.84710999999999892</v>
      </c>
      <c r="T59">
        <f t="shared" si="10"/>
        <v>1.4528381686852925E-2</v>
      </c>
      <c r="U59">
        <f t="shared" si="11"/>
        <v>28</v>
      </c>
      <c r="V59">
        <f t="shared" si="12"/>
        <v>5.1887077453046163E-4</v>
      </c>
      <c r="W59">
        <f t="shared" si="13"/>
        <v>5.1887077453046162</v>
      </c>
      <c r="AC59" t="s">
        <v>47</v>
      </c>
    </row>
    <row r="60" spans="1:29" x14ac:dyDescent="0.3">
      <c r="A60" t="s">
        <v>45</v>
      </c>
      <c r="B60" t="s">
        <v>27</v>
      </c>
      <c r="C60">
        <v>1</v>
      </c>
      <c r="D60">
        <v>48</v>
      </c>
      <c r="E60" t="s">
        <v>31</v>
      </c>
      <c r="F60">
        <v>0.42473</v>
      </c>
      <c r="G60" s="1">
        <v>45846</v>
      </c>
      <c r="H60">
        <v>6.3178700000000001</v>
      </c>
      <c r="I60" s="1">
        <v>45874</v>
      </c>
      <c r="J60">
        <f t="shared" si="7"/>
        <v>63.617251162500004</v>
      </c>
      <c r="K60">
        <v>5.31</v>
      </c>
      <c r="L60" s="7">
        <v>1</v>
      </c>
      <c r="M60">
        <f t="shared" si="2"/>
        <v>0.42473</v>
      </c>
      <c r="N60">
        <f t="shared" si="8"/>
        <v>58.307251162500002</v>
      </c>
      <c r="O60" t="s">
        <v>46</v>
      </c>
      <c r="P60">
        <v>8.0701300000000007</v>
      </c>
      <c r="S60">
        <f>P60-M60-H60</f>
        <v>1.3275300000000003</v>
      </c>
      <c r="T60">
        <f t="shared" si="10"/>
        <v>2.2767837164887551E-2</v>
      </c>
      <c r="U60">
        <f t="shared" si="11"/>
        <v>28</v>
      </c>
      <c r="V60">
        <f t="shared" si="12"/>
        <v>8.1313704160312678E-4</v>
      </c>
      <c r="W60">
        <f t="shared" si="13"/>
        <v>8.1313704160312685</v>
      </c>
      <c r="AC60" t="s">
        <v>47</v>
      </c>
    </row>
    <row r="61" spans="1:29" x14ac:dyDescent="0.3">
      <c r="A61" t="s">
        <v>45</v>
      </c>
      <c r="B61" t="s">
        <v>27</v>
      </c>
      <c r="C61">
        <v>2</v>
      </c>
      <c r="D61">
        <v>0.5</v>
      </c>
      <c r="E61" t="s">
        <v>28</v>
      </c>
      <c r="F61">
        <v>0.42314000000000002</v>
      </c>
      <c r="G61" s="1">
        <v>45846</v>
      </c>
      <c r="H61">
        <v>6.9617699999999996</v>
      </c>
      <c r="I61" s="1">
        <v>45874</v>
      </c>
      <c r="J61">
        <f t="shared" si="7"/>
        <v>63.617251162500004</v>
      </c>
      <c r="K61">
        <v>5.31</v>
      </c>
      <c r="M61">
        <f t="shared" si="2"/>
        <v>0</v>
      </c>
      <c r="N61">
        <f t="shared" si="8"/>
        <v>-5.31</v>
      </c>
      <c r="O61" t="s">
        <v>48</v>
      </c>
      <c r="P61">
        <v>8.5829500000000003</v>
      </c>
      <c r="S61">
        <f t="shared" ref="S61:S124" si="14">P61-M61-H61</f>
        <v>1.6211800000000007</v>
      </c>
      <c r="T61">
        <f t="shared" ref="T61:T124" si="15">Q61-M61-H61</f>
        <v>-6.9617699999999996</v>
      </c>
      <c r="U61">
        <f>I61-G61</f>
        <v>28</v>
      </c>
      <c r="V61">
        <f t="shared" si="12"/>
        <v>-0.24863464285714285</v>
      </c>
      <c r="W61">
        <f t="shared" si="13"/>
        <v>-2486.3464285714285</v>
      </c>
      <c r="AC61" t="s">
        <v>49</v>
      </c>
    </row>
    <row r="62" spans="1:29" x14ac:dyDescent="0.3">
      <c r="A62" t="s">
        <v>45</v>
      </c>
      <c r="B62" t="s">
        <v>27</v>
      </c>
      <c r="C62">
        <v>2</v>
      </c>
      <c r="E62" t="s">
        <v>30</v>
      </c>
      <c r="F62">
        <v>0.43435000000000001</v>
      </c>
      <c r="G62" s="1">
        <v>45846</v>
      </c>
      <c r="H62">
        <v>6.9276799999999996</v>
      </c>
      <c r="I62" s="1">
        <v>45874</v>
      </c>
      <c r="J62">
        <f t="shared" si="7"/>
        <v>63.617251162500004</v>
      </c>
      <c r="K62">
        <v>5.31</v>
      </c>
      <c r="M62">
        <f t="shared" si="2"/>
        <v>0</v>
      </c>
      <c r="N62">
        <f t="shared" si="8"/>
        <v>-5.31</v>
      </c>
      <c r="O62" t="s">
        <v>48</v>
      </c>
      <c r="P62">
        <v>8.5829500000000003</v>
      </c>
      <c r="S62">
        <f t="shared" si="14"/>
        <v>1.6552700000000007</v>
      </c>
      <c r="T62">
        <f t="shared" si="15"/>
        <v>-6.9276799999999996</v>
      </c>
      <c r="U62">
        <f t="shared" ref="U62:U125" si="16">I62-G62</f>
        <v>28</v>
      </c>
      <c r="V62">
        <f>T62/U62</f>
        <v>-0.24741714285714284</v>
      </c>
      <c r="W62">
        <f>V62*10000</f>
        <v>-2474.1714285714284</v>
      </c>
      <c r="AC62" t="s">
        <v>49</v>
      </c>
    </row>
    <row r="63" spans="1:29" x14ac:dyDescent="0.3">
      <c r="A63" t="s">
        <v>45</v>
      </c>
      <c r="B63" t="s">
        <v>27</v>
      </c>
      <c r="C63">
        <v>2</v>
      </c>
      <c r="E63" t="s">
        <v>31</v>
      </c>
      <c r="F63">
        <v>0.42416999999999999</v>
      </c>
      <c r="G63" s="1">
        <v>45846</v>
      </c>
      <c r="H63">
        <v>6.9869899999999996</v>
      </c>
      <c r="I63" s="1">
        <v>45874</v>
      </c>
      <c r="J63">
        <f t="shared" si="7"/>
        <v>63.617251162500004</v>
      </c>
      <c r="K63">
        <v>5.31</v>
      </c>
      <c r="M63">
        <f t="shared" si="2"/>
        <v>0</v>
      </c>
      <c r="N63">
        <f t="shared" si="8"/>
        <v>-5.31</v>
      </c>
      <c r="O63" t="s">
        <v>48</v>
      </c>
      <c r="P63">
        <v>8.0237800000000004</v>
      </c>
      <c r="S63">
        <f t="shared" si="14"/>
        <v>1.0367900000000008</v>
      </c>
      <c r="T63">
        <f t="shared" si="15"/>
        <v>-6.9869899999999996</v>
      </c>
      <c r="U63">
        <f t="shared" si="16"/>
        <v>28</v>
      </c>
      <c r="V63">
        <f t="shared" ref="V63:V126" si="17">T63/U63</f>
        <v>-0.24953535714285713</v>
      </c>
      <c r="W63">
        <f t="shared" si="13"/>
        <v>-2495.3535714285713</v>
      </c>
      <c r="AC63" t="s">
        <v>49</v>
      </c>
    </row>
    <row r="64" spans="1:29" x14ac:dyDescent="0.3">
      <c r="A64" t="s">
        <v>45</v>
      </c>
      <c r="B64" t="s">
        <v>27</v>
      </c>
      <c r="C64">
        <v>2</v>
      </c>
      <c r="D64">
        <v>2</v>
      </c>
      <c r="E64" t="s">
        <v>28</v>
      </c>
      <c r="F64">
        <v>0.43547999999999998</v>
      </c>
      <c r="G64" s="1">
        <v>45846</v>
      </c>
      <c r="H64">
        <v>7.0131800000000002</v>
      </c>
      <c r="I64" s="1">
        <v>45874</v>
      </c>
      <c r="J64">
        <f t="shared" si="7"/>
        <v>63.617251162500004</v>
      </c>
      <c r="K64">
        <v>5.31</v>
      </c>
      <c r="M64">
        <f t="shared" si="2"/>
        <v>0</v>
      </c>
      <c r="N64">
        <f t="shared" si="8"/>
        <v>-5.31</v>
      </c>
      <c r="O64" t="s">
        <v>48</v>
      </c>
      <c r="P64">
        <v>8.2403099999999991</v>
      </c>
      <c r="S64">
        <f t="shared" si="14"/>
        <v>1.2271299999999989</v>
      </c>
      <c r="T64">
        <f t="shared" si="15"/>
        <v>-7.0131800000000002</v>
      </c>
      <c r="U64">
        <f t="shared" si="16"/>
        <v>28</v>
      </c>
      <c r="V64">
        <f t="shared" si="17"/>
        <v>-0.25047071428571427</v>
      </c>
      <c r="W64">
        <f t="shared" si="13"/>
        <v>-2504.7071428571426</v>
      </c>
      <c r="AC64" t="s">
        <v>49</v>
      </c>
    </row>
    <row r="65" spans="1:29" x14ac:dyDescent="0.3">
      <c r="A65" t="s">
        <v>45</v>
      </c>
      <c r="B65" t="s">
        <v>27</v>
      </c>
      <c r="C65">
        <v>2</v>
      </c>
      <c r="E65" t="s">
        <v>30</v>
      </c>
      <c r="F65">
        <v>0.43514000000000003</v>
      </c>
      <c r="G65" s="1">
        <v>45846</v>
      </c>
      <c r="H65">
        <v>7.0562800000000001</v>
      </c>
      <c r="I65" s="1">
        <v>45874</v>
      </c>
      <c r="J65">
        <f t="shared" si="7"/>
        <v>63.617251162500004</v>
      </c>
      <c r="K65">
        <v>5.31</v>
      </c>
      <c r="M65">
        <f t="shared" si="2"/>
        <v>0</v>
      </c>
      <c r="N65">
        <f t="shared" si="8"/>
        <v>-5.31</v>
      </c>
      <c r="O65" t="s">
        <v>48</v>
      </c>
      <c r="P65">
        <v>9.0636100000000006</v>
      </c>
      <c r="S65">
        <f t="shared" si="14"/>
        <v>2.0073300000000005</v>
      </c>
      <c r="T65">
        <f t="shared" si="15"/>
        <v>-7.0562800000000001</v>
      </c>
      <c r="U65">
        <f t="shared" si="16"/>
        <v>28</v>
      </c>
      <c r="V65">
        <f t="shared" si="17"/>
        <v>-0.25201000000000001</v>
      </c>
      <c r="W65">
        <f t="shared" si="13"/>
        <v>-2520.1</v>
      </c>
      <c r="AC65" t="s">
        <v>49</v>
      </c>
    </row>
    <row r="66" spans="1:29" x14ac:dyDescent="0.3">
      <c r="A66" t="s">
        <v>45</v>
      </c>
      <c r="B66" t="s">
        <v>27</v>
      </c>
      <c r="C66">
        <v>2</v>
      </c>
      <c r="E66" t="s">
        <v>31</v>
      </c>
      <c r="F66">
        <v>0.43568000000000001</v>
      </c>
      <c r="G66" s="1">
        <v>45846</v>
      </c>
      <c r="H66">
        <v>7.01187</v>
      </c>
      <c r="I66" s="1">
        <v>45874</v>
      </c>
      <c r="J66">
        <f t="shared" si="7"/>
        <v>63.617251162500004</v>
      </c>
      <c r="K66">
        <v>5.31</v>
      </c>
      <c r="M66">
        <f t="shared" si="2"/>
        <v>0</v>
      </c>
      <c r="N66">
        <f t="shared" si="8"/>
        <v>-5.31</v>
      </c>
      <c r="O66" t="s">
        <v>48</v>
      </c>
      <c r="P66">
        <v>8.6881500000000003</v>
      </c>
      <c r="S66">
        <f t="shared" si="14"/>
        <v>1.6762800000000002</v>
      </c>
      <c r="T66">
        <f t="shared" si="15"/>
        <v>-7.01187</v>
      </c>
      <c r="U66">
        <f t="shared" si="16"/>
        <v>28</v>
      </c>
      <c r="V66">
        <f t="shared" si="17"/>
        <v>-0.25042392857142859</v>
      </c>
      <c r="W66">
        <f t="shared" si="13"/>
        <v>-2504.2392857142859</v>
      </c>
      <c r="AC66" t="s">
        <v>49</v>
      </c>
    </row>
    <row r="67" spans="1:29" x14ac:dyDescent="0.3">
      <c r="A67" t="s">
        <v>45</v>
      </c>
      <c r="B67" t="s">
        <v>27</v>
      </c>
      <c r="C67">
        <v>2</v>
      </c>
      <c r="D67">
        <v>6</v>
      </c>
      <c r="E67" t="s">
        <v>28</v>
      </c>
      <c r="F67">
        <v>0.42259000000000002</v>
      </c>
      <c r="G67" s="1">
        <v>45846</v>
      </c>
      <c r="H67">
        <v>6.9469599999999998</v>
      </c>
      <c r="I67" s="1">
        <v>45874</v>
      </c>
      <c r="J67">
        <f t="shared" si="7"/>
        <v>63.617251162500004</v>
      </c>
      <c r="K67">
        <v>5.31</v>
      </c>
      <c r="M67">
        <f t="shared" si="2"/>
        <v>0</v>
      </c>
      <c r="N67">
        <f t="shared" si="8"/>
        <v>-5.31</v>
      </c>
      <c r="O67" t="s">
        <v>48</v>
      </c>
      <c r="P67">
        <v>8.8984699999999997</v>
      </c>
      <c r="S67">
        <f t="shared" si="14"/>
        <v>1.9515099999999999</v>
      </c>
      <c r="T67">
        <f t="shared" si="15"/>
        <v>-6.9469599999999998</v>
      </c>
      <c r="U67">
        <f t="shared" si="16"/>
        <v>28</v>
      </c>
      <c r="V67">
        <f t="shared" si="17"/>
        <v>-0.24810571428571429</v>
      </c>
      <c r="W67">
        <f t="shared" si="13"/>
        <v>-2481.0571428571429</v>
      </c>
      <c r="AC67" t="s">
        <v>49</v>
      </c>
    </row>
    <row r="68" spans="1:29" x14ac:dyDescent="0.3">
      <c r="A68" t="s">
        <v>45</v>
      </c>
      <c r="B68" t="s">
        <v>27</v>
      </c>
      <c r="C68">
        <v>2</v>
      </c>
      <c r="E68" t="s">
        <v>30</v>
      </c>
      <c r="F68">
        <v>0.43375999999999998</v>
      </c>
      <c r="G68" s="1">
        <v>45846</v>
      </c>
      <c r="H68">
        <v>7.0697799999999997</v>
      </c>
      <c r="I68" s="1">
        <v>45874</v>
      </c>
      <c r="J68">
        <f t="shared" si="7"/>
        <v>63.617251162500004</v>
      </c>
      <c r="K68">
        <v>5.31</v>
      </c>
      <c r="M68">
        <f t="shared" ref="M68:M131" si="18">L68*F68</f>
        <v>0</v>
      </c>
      <c r="N68">
        <f t="shared" si="8"/>
        <v>-5.31</v>
      </c>
      <c r="O68" t="s">
        <v>48</v>
      </c>
      <c r="P68">
        <v>9.4589300000000005</v>
      </c>
      <c r="S68">
        <f t="shared" si="14"/>
        <v>2.3891500000000008</v>
      </c>
      <c r="T68">
        <f t="shared" si="15"/>
        <v>-7.0697799999999997</v>
      </c>
      <c r="U68">
        <f t="shared" si="16"/>
        <v>28</v>
      </c>
      <c r="V68">
        <f t="shared" si="17"/>
        <v>-0.25249214285714283</v>
      </c>
      <c r="W68">
        <f t="shared" si="13"/>
        <v>-2524.9214285714284</v>
      </c>
      <c r="AC68" t="s">
        <v>49</v>
      </c>
    </row>
    <row r="69" spans="1:29" x14ac:dyDescent="0.3">
      <c r="A69" t="s">
        <v>45</v>
      </c>
      <c r="B69" t="s">
        <v>27</v>
      </c>
      <c r="C69">
        <v>2</v>
      </c>
      <c r="E69" t="s">
        <v>31</v>
      </c>
      <c r="F69">
        <v>0.42444999999999999</v>
      </c>
      <c r="G69" s="1">
        <v>45846</v>
      </c>
      <c r="H69">
        <v>7.0239099999999999</v>
      </c>
      <c r="I69" s="1">
        <v>45874</v>
      </c>
      <c r="J69">
        <f t="shared" si="7"/>
        <v>63.617251162500004</v>
      </c>
      <c r="K69">
        <v>5.31</v>
      </c>
      <c r="M69">
        <f t="shared" si="18"/>
        <v>0</v>
      </c>
      <c r="N69">
        <f t="shared" si="8"/>
        <v>-5.31</v>
      </c>
      <c r="O69" t="s">
        <v>48</v>
      </c>
      <c r="P69">
        <v>9.4281600000000001</v>
      </c>
      <c r="S69">
        <f t="shared" si="14"/>
        <v>2.4042500000000002</v>
      </c>
      <c r="T69">
        <f t="shared" si="15"/>
        <v>-7.0239099999999999</v>
      </c>
      <c r="U69">
        <f t="shared" si="16"/>
        <v>28</v>
      </c>
      <c r="V69">
        <f t="shared" si="17"/>
        <v>-0.25085392857142857</v>
      </c>
      <c r="W69">
        <f t="shared" si="13"/>
        <v>-2508.5392857142856</v>
      </c>
      <c r="AC69" t="s">
        <v>49</v>
      </c>
    </row>
    <row r="70" spans="1:29" x14ac:dyDescent="0.3">
      <c r="A70" t="s">
        <v>45</v>
      </c>
      <c r="B70" t="s">
        <v>27</v>
      </c>
      <c r="C70">
        <v>2</v>
      </c>
      <c r="D70">
        <v>12</v>
      </c>
      <c r="E70" t="s">
        <v>28</v>
      </c>
      <c r="F70">
        <v>0.43320999999999998</v>
      </c>
      <c r="G70" s="1">
        <v>45846</v>
      </c>
      <c r="H70">
        <v>6.94625</v>
      </c>
      <c r="I70" s="1">
        <v>45874</v>
      </c>
      <c r="J70">
        <f t="shared" si="7"/>
        <v>63.617251162500004</v>
      </c>
      <c r="K70">
        <v>5.31</v>
      </c>
      <c r="M70">
        <f t="shared" si="18"/>
        <v>0</v>
      </c>
      <c r="N70">
        <f t="shared" si="8"/>
        <v>-5.31</v>
      </c>
      <c r="O70" t="s">
        <v>48</v>
      </c>
      <c r="P70">
        <v>8.6718100000000007</v>
      </c>
      <c r="S70">
        <f t="shared" si="14"/>
        <v>1.7255600000000006</v>
      </c>
      <c r="T70">
        <f t="shared" si="15"/>
        <v>-6.94625</v>
      </c>
      <c r="U70">
        <f t="shared" si="16"/>
        <v>28</v>
      </c>
      <c r="V70">
        <f t="shared" si="17"/>
        <v>-0.24808035714285714</v>
      </c>
      <c r="W70">
        <f t="shared" si="13"/>
        <v>-2480.8035714285716</v>
      </c>
      <c r="AC70" t="s">
        <v>49</v>
      </c>
    </row>
    <row r="71" spans="1:29" x14ac:dyDescent="0.3">
      <c r="A71" t="s">
        <v>45</v>
      </c>
      <c r="B71" t="s">
        <v>27</v>
      </c>
      <c r="C71">
        <v>2</v>
      </c>
      <c r="E71" t="s">
        <v>30</v>
      </c>
      <c r="F71">
        <v>0.43595</v>
      </c>
      <c r="G71" s="1">
        <v>45846</v>
      </c>
      <c r="H71">
        <v>6.9924799999999996</v>
      </c>
      <c r="I71" s="1">
        <v>45874</v>
      </c>
      <c r="J71">
        <f t="shared" si="7"/>
        <v>63.617251162500004</v>
      </c>
      <c r="K71">
        <v>5.31</v>
      </c>
      <c r="M71">
        <f t="shared" si="18"/>
        <v>0</v>
      </c>
      <c r="N71">
        <f t="shared" si="8"/>
        <v>-5.31</v>
      </c>
      <c r="O71" t="s">
        <v>48</v>
      </c>
      <c r="P71">
        <v>9.6101899999999993</v>
      </c>
      <c r="S71">
        <f t="shared" si="14"/>
        <v>2.6177099999999998</v>
      </c>
      <c r="T71">
        <f t="shared" si="15"/>
        <v>-6.9924799999999996</v>
      </c>
      <c r="U71">
        <f t="shared" si="16"/>
        <v>28</v>
      </c>
      <c r="V71">
        <f t="shared" si="17"/>
        <v>-0.24973142857142855</v>
      </c>
      <c r="W71">
        <f t="shared" si="13"/>
        <v>-2497.3142857142857</v>
      </c>
      <c r="AC71" t="s">
        <v>49</v>
      </c>
    </row>
    <row r="72" spans="1:29" x14ac:dyDescent="0.3">
      <c r="A72" t="s">
        <v>45</v>
      </c>
      <c r="B72" t="s">
        <v>27</v>
      </c>
      <c r="C72">
        <v>2</v>
      </c>
      <c r="E72" t="s">
        <v>31</v>
      </c>
      <c r="F72">
        <v>0.42329</v>
      </c>
      <c r="G72" s="1">
        <v>45846</v>
      </c>
      <c r="H72">
        <v>7.0681799999999999</v>
      </c>
      <c r="I72" s="1">
        <v>45874</v>
      </c>
      <c r="J72">
        <f t="shared" si="7"/>
        <v>63.617251162500004</v>
      </c>
      <c r="K72">
        <v>5.31</v>
      </c>
      <c r="M72">
        <f t="shared" si="18"/>
        <v>0</v>
      </c>
      <c r="N72">
        <f t="shared" si="8"/>
        <v>-5.31</v>
      </c>
      <c r="O72" t="s">
        <v>48</v>
      </c>
      <c r="P72">
        <v>8.5764099999999992</v>
      </c>
      <c r="S72">
        <f t="shared" si="14"/>
        <v>1.5082299999999993</v>
      </c>
      <c r="T72">
        <f t="shared" si="15"/>
        <v>-7.0681799999999999</v>
      </c>
      <c r="U72">
        <f t="shared" si="16"/>
        <v>28</v>
      </c>
      <c r="V72">
        <f t="shared" si="17"/>
        <v>-0.25243500000000002</v>
      </c>
      <c r="W72">
        <f t="shared" si="13"/>
        <v>-2524.3500000000004</v>
      </c>
      <c r="AC72" t="s">
        <v>49</v>
      </c>
    </row>
    <row r="73" spans="1:29" x14ac:dyDescent="0.3">
      <c r="A73" t="s">
        <v>45</v>
      </c>
      <c r="B73" t="s">
        <v>27</v>
      </c>
      <c r="C73">
        <v>2</v>
      </c>
      <c r="D73">
        <v>24</v>
      </c>
      <c r="E73" t="s">
        <v>28</v>
      </c>
      <c r="F73">
        <v>0.43370999999999998</v>
      </c>
      <c r="G73" s="1">
        <v>45846</v>
      </c>
      <c r="H73">
        <v>6.9375499999999999</v>
      </c>
      <c r="I73" s="1">
        <v>45874</v>
      </c>
      <c r="J73">
        <f t="shared" si="7"/>
        <v>63.617251162500004</v>
      </c>
      <c r="K73">
        <v>5.31</v>
      </c>
      <c r="M73">
        <f t="shared" si="18"/>
        <v>0</v>
      </c>
      <c r="N73">
        <f t="shared" si="8"/>
        <v>-5.31</v>
      </c>
      <c r="O73" t="s">
        <v>48</v>
      </c>
      <c r="P73">
        <v>8.2952899999999996</v>
      </c>
      <c r="S73">
        <f t="shared" si="14"/>
        <v>1.3577399999999997</v>
      </c>
      <c r="T73">
        <f t="shared" si="15"/>
        <v>-6.9375499999999999</v>
      </c>
      <c r="U73">
        <f t="shared" si="16"/>
        <v>28</v>
      </c>
      <c r="V73">
        <f t="shared" si="17"/>
        <v>-0.24776964285714284</v>
      </c>
      <c r="W73">
        <f t="shared" si="13"/>
        <v>-2477.6964285714284</v>
      </c>
      <c r="AC73" t="s">
        <v>49</v>
      </c>
    </row>
    <row r="74" spans="1:29" x14ac:dyDescent="0.3">
      <c r="A74" t="s">
        <v>45</v>
      </c>
      <c r="B74" t="s">
        <v>27</v>
      </c>
      <c r="C74">
        <v>2</v>
      </c>
      <c r="E74" t="s">
        <v>30</v>
      </c>
      <c r="F74">
        <v>0.42358000000000001</v>
      </c>
      <c r="G74" s="1">
        <v>45846</v>
      </c>
      <c r="H74">
        <v>7.0182900000000004</v>
      </c>
      <c r="I74" s="1">
        <v>45874</v>
      </c>
      <c r="J74">
        <f t="shared" si="7"/>
        <v>63.617251162500004</v>
      </c>
      <c r="K74">
        <v>5.31</v>
      </c>
      <c r="M74">
        <f t="shared" si="18"/>
        <v>0</v>
      </c>
      <c r="N74">
        <f t="shared" si="8"/>
        <v>-5.31</v>
      </c>
      <c r="O74" t="s">
        <v>48</v>
      </c>
      <c r="P74">
        <v>8.4044600000000003</v>
      </c>
      <c r="S74">
        <f t="shared" si="14"/>
        <v>1.3861699999999999</v>
      </c>
      <c r="T74">
        <f t="shared" si="15"/>
        <v>-7.0182900000000004</v>
      </c>
      <c r="U74">
        <f t="shared" si="16"/>
        <v>28</v>
      </c>
      <c r="V74">
        <f t="shared" si="17"/>
        <v>-0.2506532142857143</v>
      </c>
      <c r="W74">
        <f t="shared" si="13"/>
        <v>-2506.5321428571428</v>
      </c>
      <c r="AC74" t="s">
        <v>49</v>
      </c>
    </row>
    <row r="75" spans="1:29" x14ac:dyDescent="0.3">
      <c r="A75" t="s">
        <v>45</v>
      </c>
      <c r="B75" t="s">
        <v>27</v>
      </c>
      <c r="C75">
        <v>2</v>
      </c>
      <c r="E75" t="s">
        <v>31</v>
      </c>
      <c r="F75">
        <v>0.43640000000000001</v>
      </c>
      <c r="G75" s="1">
        <v>45846</v>
      </c>
      <c r="H75">
        <v>6.9790999999999999</v>
      </c>
      <c r="I75" s="1">
        <v>45874</v>
      </c>
      <c r="J75">
        <f t="shared" si="7"/>
        <v>63.617251162500004</v>
      </c>
      <c r="K75">
        <v>5.31</v>
      </c>
      <c r="M75">
        <f t="shared" si="18"/>
        <v>0</v>
      </c>
      <c r="N75">
        <f t="shared" si="8"/>
        <v>-5.31</v>
      </c>
      <c r="O75" t="s">
        <v>48</v>
      </c>
      <c r="P75">
        <v>8.3449399999999994</v>
      </c>
      <c r="S75">
        <f t="shared" si="14"/>
        <v>1.3658399999999995</v>
      </c>
      <c r="T75">
        <f t="shared" si="15"/>
        <v>-6.9790999999999999</v>
      </c>
      <c r="U75">
        <f t="shared" si="16"/>
        <v>28</v>
      </c>
      <c r="V75">
        <f t="shared" si="17"/>
        <v>-0.24925357142857144</v>
      </c>
      <c r="W75">
        <f t="shared" si="13"/>
        <v>-2492.5357142857142</v>
      </c>
      <c r="AC75" t="s">
        <v>49</v>
      </c>
    </row>
    <row r="76" spans="1:29" x14ac:dyDescent="0.3">
      <c r="A76" t="s">
        <v>45</v>
      </c>
      <c r="B76" t="s">
        <v>27</v>
      </c>
      <c r="C76">
        <v>2</v>
      </c>
      <c r="D76">
        <v>48</v>
      </c>
      <c r="E76" t="s">
        <v>28</v>
      </c>
      <c r="F76">
        <v>0.43656</v>
      </c>
      <c r="G76" s="1">
        <v>45846</v>
      </c>
      <c r="H76">
        <v>6.96286</v>
      </c>
      <c r="I76" s="1">
        <v>45874</v>
      </c>
      <c r="J76">
        <f t="shared" si="7"/>
        <v>63.617251162500004</v>
      </c>
      <c r="K76">
        <v>5.31</v>
      </c>
      <c r="M76">
        <f t="shared" si="18"/>
        <v>0</v>
      </c>
      <c r="N76">
        <f t="shared" si="8"/>
        <v>-5.31</v>
      </c>
      <c r="O76" t="s">
        <v>48</v>
      </c>
      <c r="P76">
        <v>9.3135700000000003</v>
      </c>
      <c r="S76">
        <f t="shared" si="14"/>
        <v>2.3507100000000003</v>
      </c>
      <c r="T76">
        <f t="shared" si="15"/>
        <v>-6.96286</v>
      </c>
      <c r="U76">
        <f t="shared" si="16"/>
        <v>28</v>
      </c>
      <c r="V76">
        <f t="shared" si="17"/>
        <v>-0.24867357142857144</v>
      </c>
      <c r="W76">
        <f t="shared" si="13"/>
        <v>-2486.7357142857145</v>
      </c>
      <c r="AC76" t="s">
        <v>49</v>
      </c>
    </row>
    <row r="77" spans="1:29" x14ac:dyDescent="0.3">
      <c r="A77" t="s">
        <v>45</v>
      </c>
      <c r="B77" t="s">
        <v>27</v>
      </c>
      <c r="C77">
        <v>2</v>
      </c>
      <c r="E77" t="s">
        <v>30</v>
      </c>
      <c r="F77">
        <v>0.42331000000000002</v>
      </c>
      <c r="G77" s="1">
        <v>45846</v>
      </c>
      <c r="H77">
        <v>7.0095400000000003</v>
      </c>
      <c r="I77" s="1">
        <v>45874</v>
      </c>
      <c r="J77">
        <f t="shared" si="7"/>
        <v>63.617251162500004</v>
      </c>
      <c r="K77">
        <v>5.31</v>
      </c>
      <c r="M77">
        <f t="shared" si="18"/>
        <v>0</v>
      </c>
      <c r="N77">
        <f t="shared" si="8"/>
        <v>-5.31</v>
      </c>
      <c r="O77" t="s">
        <v>48</v>
      </c>
      <c r="P77">
        <v>8.6771799999999999</v>
      </c>
      <c r="S77">
        <f t="shared" si="14"/>
        <v>1.6676399999999996</v>
      </c>
      <c r="T77">
        <f t="shared" si="15"/>
        <v>-7.0095400000000003</v>
      </c>
      <c r="U77">
        <f t="shared" si="16"/>
        <v>28</v>
      </c>
      <c r="V77">
        <f t="shared" si="17"/>
        <v>-0.25034071428571431</v>
      </c>
      <c r="W77">
        <f t="shared" si="13"/>
        <v>-2503.4071428571428</v>
      </c>
      <c r="AC77" t="s">
        <v>49</v>
      </c>
    </row>
    <row r="78" spans="1:29" x14ac:dyDescent="0.3">
      <c r="A78" t="s">
        <v>45</v>
      </c>
      <c r="B78" t="s">
        <v>27</v>
      </c>
      <c r="C78">
        <v>2</v>
      </c>
      <c r="E78" t="s">
        <v>31</v>
      </c>
      <c r="F78">
        <v>0.43359999999999999</v>
      </c>
      <c r="G78" s="1">
        <v>45846</v>
      </c>
      <c r="H78">
        <v>6.9751899999999996</v>
      </c>
      <c r="I78" s="1">
        <v>45874</v>
      </c>
      <c r="J78">
        <f t="shared" si="7"/>
        <v>63.617251162500004</v>
      </c>
      <c r="K78">
        <v>5.31</v>
      </c>
      <c r="M78">
        <f t="shared" si="18"/>
        <v>0</v>
      </c>
      <c r="N78">
        <f t="shared" si="8"/>
        <v>-5.31</v>
      </c>
      <c r="O78" t="s">
        <v>48</v>
      </c>
      <c r="P78">
        <v>8.9184300000000007</v>
      </c>
      <c r="S78">
        <f t="shared" si="14"/>
        <v>1.9432400000000012</v>
      </c>
      <c r="T78">
        <f t="shared" si="15"/>
        <v>-6.9751899999999996</v>
      </c>
      <c r="U78">
        <f t="shared" si="16"/>
        <v>28</v>
      </c>
      <c r="V78">
        <f t="shared" si="17"/>
        <v>-0.24911392857142856</v>
      </c>
      <c r="W78">
        <f t="shared" si="13"/>
        <v>-2491.1392857142855</v>
      </c>
      <c r="AC78" t="s">
        <v>49</v>
      </c>
    </row>
    <row r="79" spans="1:29" x14ac:dyDescent="0.3">
      <c r="A79" t="s">
        <v>45</v>
      </c>
      <c r="B79" t="s">
        <v>27</v>
      </c>
      <c r="E79" t="s">
        <v>240</v>
      </c>
      <c r="F79">
        <v>0.42207</v>
      </c>
      <c r="G79" s="1">
        <v>45846</v>
      </c>
      <c r="H79">
        <v>6.3138699999999996</v>
      </c>
      <c r="I79" s="1">
        <v>45874</v>
      </c>
      <c r="J79">
        <f t="shared" si="7"/>
        <v>63.617251162500004</v>
      </c>
      <c r="K79">
        <v>5.31</v>
      </c>
      <c r="M79">
        <f t="shared" si="18"/>
        <v>0</v>
      </c>
      <c r="N79">
        <f t="shared" si="8"/>
        <v>-5.31</v>
      </c>
      <c r="P79">
        <v>7.2129799999999999</v>
      </c>
      <c r="S79">
        <f t="shared" si="14"/>
        <v>0.8991100000000003</v>
      </c>
      <c r="T79">
        <f t="shared" si="15"/>
        <v>-6.3138699999999996</v>
      </c>
      <c r="U79">
        <f t="shared" si="16"/>
        <v>28</v>
      </c>
      <c r="V79">
        <f t="shared" si="17"/>
        <v>-0.22549535714285712</v>
      </c>
      <c r="W79">
        <f t="shared" si="13"/>
        <v>-2254.9535714285712</v>
      </c>
      <c r="AC79" t="s">
        <v>50</v>
      </c>
    </row>
    <row r="80" spans="1:29" x14ac:dyDescent="0.3">
      <c r="A80" t="s">
        <v>45</v>
      </c>
      <c r="B80" t="s">
        <v>27</v>
      </c>
      <c r="E80" t="s">
        <v>241</v>
      </c>
      <c r="F80">
        <v>0.43448999999999999</v>
      </c>
      <c r="G80" s="1">
        <v>45846</v>
      </c>
      <c r="H80">
        <v>6.5303000000000004</v>
      </c>
      <c r="I80" s="1">
        <v>45874</v>
      </c>
      <c r="J80">
        <f t="shared" si="7"/>
        <v>63.617251162500004</v>
      </c>
      <c r="K80">
        <v>5.31</v>
      </c>
      <c r="M80">
        <f t="shared" si="18"/>
        <v>0</v>
      </c>
      <c r="N80">
        <f t="shared" si="8"/>
        <v>-5.31</v>
      </c>
      <c r="P80">
        <v>7.4493799999999997</v>
      </c>
      <c r="S80">
        <f t="shared" si="14"/>
        <v>0.91907999999999923</v>
      </c>
      <c r="T80">
        <f t="shared" si="15"/>
        <v>-6.5303000000000004</v>
      </c>
      <c r="U80">
        <f t="shared" si="16"/>
        <v>28</v>
      </c>
      <c r="V80">
        <f t="shared" si="17"/>
        <v>-0.23322500000000002</v>
      </c>
      <c r="W80">
        <f t="shared" si="13"/>
        <v>-2332.25</v>
      </c>
      <c r="AC80" t="s">
        <v>47</v>
      </c>
    </row>
    <row r="81" spans="1:29" x14ac:dyDescent="0.3">
      <c r="A81" t="s">
        <v>45</v>
      </c>
      <c r="B81" t="s">
        <v>27</v>
      </c>
      <c r="E81" t="s">
        <v>242</v>
      </c>
      <c r="F81">
        <v>0.43475000000000003</v>
      </c>
      <c r="G81" s="1">
        <v>45846</v>
      </c>
      <c r="H81">
        <v>6.3283699999999996</v>
      </c>
      <c r="I81" s="1">
        <v>45874</v>
      </c>
      <c r="J81">
        <f t="shared" si="7"/>
        <v>63.617251162500004</v>
      </c>
      <c r="K81">
        <v>5.31</v>
      </c>
      <c r="M81">
        <f t="shared" si="18"/>
        <v>0</v>
      </c>
      <c r="N81">
        <f t="shared" si="8"/>
        <v>-5.31</v>
      </c>
      <c r="P81">
        <v>7.2837300000000003</v>
      </c>
      <c r="S81">
        <f t="shared" si="14"/>
        <v>0.95536000000000065</v>
      </c>
      <c r="T81">
        <f t="shared" si="15"/>
        <v>-6.3283699999999996</v>
      </c>
      <c r="U81">
        <f t="shared" si="16"/>
        <v>28</v>
      </c>
      <c r="V81">
        <f t="shared" si="17"/>
        <v>-0.22601321428571428</v>
      </c>
      <c r="W81">
        <f t="shared" si="13"/>
        <v>-2260.1321428571428</v>
      </c>
      <c r="AC81" t="s">
        <v>47</v>
      </c>
    </row>
    <row r="82" spans="1:29" x14ac:dyDescent="0.3">
      <c r="A82" t="s">
        <v>45</v>
      </c>
      <c r="B82" t="s">
        <v>27</v>
      </c>
      <c r="E82" t="s">
        <v>43</v>
      </c>
      <c r="F82">
        <v>0.42280000000000001</v>
      </c>
      <c r="G82" t="s">
        <v>56</v>
      </c>
      <c r="H82" t="s">
        <v>56</v>
      </c>
      <c r="I82" t="s">
        <v>56</v>
      </c>
      <c r="J82">
        <f t="shared" si="7"/>
        <v>63.617251162500004</v>
      </c>
      <c r="K82">
        <v>5.31</v>
      </c>
      <c r="M82">
        <f t="shared" si="18"/>
        <v>0</v>
      </c>
      <c r="N82">
        <f t="shared" si="8"/>
        <v>-5.31</v>
      </c>
      <c r="S82" t="e">
        <f t="shared" si="14"/>
        <v>#VALUE!</v>
      </c>
      <c r="T82" t="e">
        <f t="shared" si="15"/>
        <v>#VALUE!</v>
      </c>
      <c r="U82" t="e">
        <f t="shared" si="16"/>
        <v>#VALUE!</v>
      </c>
      <c r="V82" t="e">
        <f t="shared" si="17"/>
        <v>#VALUE!</v>
      </c>
      <c r="W82" t="e">
        <f t="shared" si="13"/>
        <v>#VALUE!</v>
      </c>
    </row>
    <row r="83" spans="1:29" x14ac:dyDescent="0.3">
      <c r="A83" t="s">
        <v>45</v>
      </c>
      <c r="B83" t="s">
        <v>51</v>
      </c>
      <c r="C83">
        <v>1</v>
      </c>
      <c r="D83">
        <v>0.5</v>
      </c>
      <c r="E83" t="s">
        <v>28</v>
      </c>
      <c r="F83">
        <v>0.42669000000000001</v>
      </c>
      <c r="G83" s="1">
        <v>45847</v>
      </c>
      <c r="H83">
        <v>6.5805300000000004</v>
      </c>
      <c r="I83" s="1">
        <v>45875</v>
      </c>
      <c r="J83">
        <f t="shared" si="7"/>
        <v>63.617251162500004</v>
      </c>
      <c r="K83">
        <v>5.31</v>
      </c>
      <c r="M83">
        <f t="shared" si="18"/>
        <v>0</v>
      </c>
      <c r="N83">
        <f t="shared" si="8"/>
        <v>-5.31</v>
      </c>
      <c r="P83">
        <v>6.6297499999999996</v>
      </c>
      <c r="S83">
        <f t="shared" si="14"/>
        <v>4.9219999999999153E-2</v>
      </c>
      <c r="T83">
        <f t="shared" si="15"/>
        <v>-6.5805300000000004</v>
      </c>
      <c r="U83">
        <f t="shared" si="16"/>
        <v>28</v>
      </c>
      <c r="V83">
        <f t="shared" si="17"/>
        <v>-0.23501892857142859</v>
      </c>
      <c r="W83">
        <f t="shared" si="13"/>
        <v>-2350.1892857142857</v>
      </c>
    </row>
    <row r="84" spans="1:29" x14ac:dyDescent="0.3">
      <c r="A84" t="s">
        <v>45</v>
      </c>
      <c r="B84" t="s">
        <v>51</v>
      </c>
      <c r="C84">
        <v>1</v>
      </c>
      <c r="D84">
        <v>0.5</v>
      </c>
      <c r="E84" t="s">
        <v>30</v>
      </c>
      <c r="F84">
        <v>0.43941000000000002</v>
      </c>
      <c r="G84" s="1">
        <v>45847</v>
      </c>
      <c r="H84">
        <v>6.6060699999999999</v>
      </c>
      <c r="I84" s="1">
        <v>45875</v>
      </c>
      <c r="J84">
        <f t="shared" si="7"/>
        <v>63.617251162500004</v>
      </c>
      <c r="K84">
        <v>5.31</v>
      </c>
      <c r="M84">
        <f t="shared" si="18"/>
        <v>0</v>
      </c>
      <c r="N84">
        <f t="shared" si="8"/>
        <v>-5.31</v>
      </c>
      <c r="P84">
        <v>10.90851</v>
      </c>
      <c r="S84">
        <f t="shared" si="14"/>
        <v>4.3024399999999998</v>
      </c>
      <c r="T84">
        <f t="shared" si="15"/>
        <v>-6.6060699999999999</v>
      </c>
      <c r="U84">
        <f t="shared" si="16"/>
        <v>28</v>
      </c>
      <c r="V84">
        <f t="shared" si="17"/>
        <v>-0.23593107142857142</v>
      </c>
      <c r="W84">
        <f t="shared" si="13"/>
        <v>-2359.3107142857143</v>
      </c>
    </row>
    <row r="85" spans="1:29" x14ac:dyDescent="0.3">
      <c r="A85" t="s">
        <v>45</v>
      </c>
      <c r="B85" t="s">
        <v>51</v>
      </c>
      <c r="C85">
        <v>1</v>
      </c>
      <c r="D85">
        <v>0.5</v>
      </c>
      <c r="E85" t="s">
        <v>31</v>
      </c>
      <c r="F85">
        <v>0.43635000000000002</v>
      </c>
      <c r="G85" s="1">
        <v>45847</v>
      </c>
      <c r="H85">
        <v>6.5826599999999997</v>
      </c>
      <c r="I85" s="1">
        <v>45875</v>
      </c>
      <c r="J85">
        <f t="shared" si="7"/>
        <v>63.617251162500004</v>
      </c>
      <c r="K85">
        <v>5.31</v>
      </c>
      <c r="M85">
        <f t="shared" si="18"/>
        <v>0</v>
      </c>
      <c r="N85">
        <f t="shared" si="8"/>
        <v>-5.31</v>
      </c>
      <c r="P85">
        <v>15.80663</v>
      </c>
      <c r="S85">
        <f t="shared" si="14"/>
        <v>9.2239700000000013</v>
      </c>
      <c r="T85">
        <f t="shared" si="15"/>
        <v>-6.5826599999999997</v>
      </c>
      <c r="U85">
        <f t="shared" si="16"/>
        <v>28</v>
      </c>
      <c r="V85">
        <f t="shared" si="17"/>
        <v>-0.235095</v>
      </c>
      <c r="W85">
        <f t="shared" si="13"/>
        <v>-2350.9499999999998</v>
      </c>
    </row>
    <row r="86" spans="1:29" x14ac:dyDescent="0.3">
      <c r="A86" t="s">
        <v>45</v>
      </c>
      <c r="B86" t="s">
        <v>51</v>
      </c>
      <c r="C86">
        <v>1</v>
      </c>
      <c r="D86">
        <v>2</v>
      </c>
      <c r="E86" t="s">
        <v>28</v>
      </c>
      <c r="F86">
        <v>0.42355999999999999</v>
      </c>
      <c r="G86" s="1">
        <v>45847</v>
      </c>
      <c r="H86">
        <v>6.5946199999999999</v>
      </c>
      <c r="I86" s="1">
        <v>45875</v>
      </c>
      <c r="J86">
        <f t="shared" si="7"/>
        <v>63.617251162500004</v>
      </c>
      <c r="K86">
        <v>5.31</v>
      </c>
      <c r="M86">
        <f t="shared" si="18"/>
        <v>0</v>
      </c>
      <c r="N86">
        <f t="shared" si="8"/>
        <v>-5.31</v>
      </c>
      <c r="P86">
        <v>7.5062199999999999</v>
      </c>
      <c r="S86">
        <f t="shared" si="14"/>
        <v>0.91159999999999997</v>
      </c>
      <c r="T86">
        <f t="shared" si="15"/>
        <v>-6.5946199999999999</v>
      </c>
      <c r="U86">
        <f t="shared" si="16"/>
        <v>28</v>
      </c>
      <c r="V86">
        <f t="shared" si="17"/>
        <v>-0.23552214285714285</v>
      </c>
      <c r="W86">
        <f t="shared" si="13"/>
        <v>-2355.2214285714285</v>
      </c>
    </row>
    <row r="87" spans="1:29" x14ac:dyDescent="0.3">
      <c r="A87" t="s">
        <v>45</v>
      </c>
      <c r="B87" t="s">
        <v>51</v>
      </c>
      <c r="C87">
        <v>1</v>
      </c>
      <c r="D87">
        <v>2</v>
      </c>
      <c r="E87" t="s">
        <v>30</v>
      </c>
      <c r="F87">
        <v>0.43584000000000001</v>
      </c>
      <c r="G87" s="1">
        <v>45847</v>
      </c>
      <c r="H87">
        <v>6.6515399999999998</v>
      </c>
      <c r="I87" s="1">
        <v>45875</v>
      </c>
      <c r="J87">
        <f t="shared" si="7"/>
        <v>63.617251162500004</v>
      </c>
      <c r="K87">
        <v>5.31</v>
      </c>
      <c r="M87">
        <f t="shared" si="18"/>
        <v>0</v>
      </c>
      <c r="N87">
        <f t="shared" si="8"/>
        <v>-5.31</v>
      </c>
      <c r="P87">
        <v>8.4301600000000008</v>
      </c>
      <c r="S87">
        <f t="shared" si="14"/>
        <v>1.778620000000001</v>
      </c>
      <c r="T87">
        <f t="shared" si="15"/>
        <v>-6.6515399999999998</v>
      </c>
      <c r="U87">
        <f t="shared" si="16"/>
        <v>28</v>
      </c>
      <c r="V87">
        <f t="shared" si="17"/>
        <v>-0.23755499999999999</v>
      </c>
      <c r="W87">
        <f t="shared" si="13"/>
        <v>-2375.5499999999997</v>
      </c>
    </row>
    <row r="88" spans="1:29" x14ac:dyDescent="0.3">
      <c r="A88" t="s">
        <v>45</v>
      </c>
      <c r="B88" t="s">
        <v>51</v>
      </c>
      <c r="C88">
        <v>1</v>
      </c>
      <c r="D88">
        <v>2</v>
      </c>
      <c r="E88" t="s">
        <v>31</v>
      </c>
      <c r="F88">
        <v>0.42371999999999999</v>
      </c>
      <c r="G88" s="1">
        <v>45847</v>
      </c>
      <c r="H88">
        <v>6.6098100000000004</v>
      </c>
      <c r="I88" s="1">
        <v>45875</v>
      </c>
      <c r="J88">
        <f t="shared" si="7"/>
        <v>63.617251162500004</v>
      </c>
      <c r="K88">
        <v>5.31</v>
      </c>
      <c r="M88">
        <f t="shared" si="18"/>
        <v>0</v>
      </c>
      <c r="N88">
        <f t="shared" si="8"/>
        <v>-5.31</v>
      </c>
      <c r="P88">
        <v>10.19847</v>
      </c>
      <c r="S88">
        <f t="shared" si="14"/>
        <v>3.58866</v>
      </c>
      <c r="T88">
        <f t="shared" si="15"/>
        <v>-6.6098100000000004</v>
      </c>
      <c r="U88">
        <f t="shared" si="16"/>
        <v>28</v>
      </c>
      <c r="V88">
        <f t="shared" si="17"/>
        <v>-0.23606464285714288</v>
      </c>
      <c r="W88">
        <f t="shared" si="13"/>
        <v>-2360.6464285714287</v>
      </c>
    </row>
    <row r="89" spans="1:29" x14ac:dyDescent="0.3">
      <c r="A89" t="s">
        <v>45</v>
      </c>
      <c r="B89" t="s">
        <v>51</v>
      </c>
      <c r="C89">
        <v>1</v>
      </c>
      <c r="D89">
        <v>6</v>
      </c>
      <c r="E89" t="s">
        <v>28</v>
      </c>
      <c r="F89">
        <v>0.43828</v>
      </c>
      <c r="G89" s="1">
        <v>45847</v>
      </c>
      <c r="H89">
        <v>6.6723299999999997</v>
      </c>
      <c r="I89" s="1">
        <v>45875</v>
      </c>
      <c r="J89">
        <f t="shared" si="7"/>
        <v>63.617251162500004</v>
      </c>
      <c r="K89">
        <v>5.31</v>
      </c>
      <c r="M89">
        <f t="shared" si="18"/>
        <v>0</v>
      </c>
      <c r="N89">
        <f t="shared" si="8"/>
        <v>-5.31</v>
      </c>
      <c r="P89">
        <v>10.011039999999999</v>
      </c>
      <c r="S89">
        <f t="shared" si="14"/>
        <v>3.3387099999999998</v>
      </c>
      <c r="T89">
        <f t="shared" si="15"/>
        <v>-6.6723299999999997</v>
      </c>
      <c r="U89">
        <f t="shared" si="16"/>
        <v>28</v>
      </c>
      <c r="V89">
        <f t="shared" si="17"/>
        <v>-0.2382975</v>
      </c>
      <c r="W89">
        <f t="shared" si="13"/>
        <v>-2382.9749999999999</v>
      </c>
    </row>
    <row r="90" spans="1:29" x14ac:dyDescent="0.3">
      <c r="A90" t="s">
        <v>45</v>
      </c>
      <c r="B90" t="s">
        <v>51</v>
      </c>
      <c r="C90">
        <v>1</v>
      </c>
      <c r="D90">
        <v>6</v>
      </c>
      <c r="E90" t="s">
        <v>30</v>
      </c>
      <c r="F90">
        <v>0.42448999999999998</v>
      </c>
      <c r="G90" s="1">
        <v>45847</v>
      </c>
      <c r="H90">
        <v>6.64696</v>
      </c>
      <c r="I90" s="1">
        <v>45875</v>
      </c>
      <c r="J90">
        <f t="shared" si="7"/>
        <v>63.617251162500004</v>
      </c>
      <c r="K90">
        <v>5.31</v>
      </c>
      <c r="M90">
        <f t="shared" si="18"/>
        <v>0</v>
      </c>
      <c r="N90">
        <f t="shared" si="8"/>
        <v>-5.31</v>
      </c>
      <c r="P90">
        <v>8.9650999999999996</v>
      </c>
      <c r="S90">
        <f t="shared" si="14"/>
        <v>2.3181399999999996</v>
      </c>
      <c r="T90">
        <f t="shared" si="15"/>
        <v>-6.64696</v>
      </c>
      <c r="U90">
        <f t="shared" si="16"/>
        <v>28</v>
      </c>
      <c r="V90">
        <f t="shared" si="17"/>
        <v>-0.23739142857142856</v>
      </c>
      <c r="W90">
        <f t="shared" si="13"/>
        <v>-2373.9142857142856</v>
      </c>
    </row>
    <row r="91" spans="1:29" x14ac:dyDescent="0.3">
      <c r="A91" t="s">
        <v>45</v>
      </c>
      <c r="B91" t="s">
        <v>51</v>
      </c>
      <c r="C91">
        <v>1</v>
      </c>
      <c r="D91">
        <v>6</v>
      </c>
      <c r="E91" t="s">
        <v>31</v>
      </c>
      <c r="F91">
        <v>0.43802999999999997</v>
      </c>
      <c r="G91" s="1">
        <v>45847</v>
      </c>
      <c r="H91">
        <v>6.6450300000000002</v>
      </c>
      <c r="I91" s="1">
        <v>45875</v>
      </c>
      <c r="J91">
        <f t="shared" si="7"/>
        <v>63.617251162500004</v>
      </c>
      <c r="K91">
        <v>5.31</v>
      </c>
      <c r="M91">
        <f t="shared" si="18"/>
        <v>0</v>
      </c>
      <c r="N91">
        <f t="shared" si="8"/>
        <v>-5.31</v>
      </c>
      <c r="P91">
        <v>9.2694200000000002</v>
      </c>
      <c r="S91">
        <f t="shared" si="14"/>
        <v>2.62439</v>
      </c>
      <c r="T91">
        <f t="shared" si="15"/>
        <v>-6.6450300000000002</v>
      </c>
      <c r="U91">
        <f t="shared" si="16"/>
        <v>28</v>
      </c>
      <c r="V91">
        <f t="shared" si="17"/>
        <v>-0.23732250000000002</v>
      </c>
      <c r="W91">
        <f t="shared" si="13"/>
        <v>-2373.2250000000004</v>
      </c>
    </row>
    <row r="92" spans="1:29" x14ac:dyDescent="0.3">
      <c r="A92" t="s">
        <v>45</v>
      </c>
      <c r="B92" t="s">
        <v>51</v>
      </c>
      <c r="C92">
        <v>1</v>
      </c>
      <c r="D92">
        <v>12</v>
      </c>
      <c r="E92" t="s">
        <v>28</v>
      </c>
      <c r="F92">
        <v>0.42454999999999998</v>
      </c>
      <c r="G92" s="1">
        <v>45847</v>
      </c>
      <c r="H92">
        <v>6.6996900000000004</v>
      </c>
      <c r="I92" s="1">
        <v>45875</v>
      </c>
      <c r="J92">
        <f t="shared" si="7"/>
        <v>63.617251162500004</v>
      </c>
      <c r="K92">
        <v>5.31</v>
      </c>
      <c r="M92">
        <f t="shared" si="18"/>
        <v>0</v>
      </c>
      <c r="N92">
        <f t="shared" si="8"/>
        <v>-5.31</v>
      </c>
      <c r="P92">
        <v>8.6840700000000002</v>
      </c>
      <c r="S92">
        <f t="shared" si="14"/>
        <v>1.9843799999999998</v>
      </c>
      <c r="T92">
        <f t="shared" si="15"/>
        <v>-6.6996900000000004</v>
      </c>
      <c r="U92">
        <f t="shared" si="16"/>
        <v>28</v>
      </c>
      <c r="V92">
        <f t="shared" si="17"/>
        <v>-0.23927464285714287</v>
      </c>
      <c r="W92">
        <f t="shared" si="13"/>
        <v>-2392.7464285714286</v>
      </c>
    </row>
    <row r="93" spans="1:29" x14ac:dyDescent="0.3">
      <c r="A93" t="s">
        <v>45</v>
      </c>
      <c r="B93" t="s">
        <v>51</v>
      </c>
      <c r="C93">
        <v>1</v>
      </c>
      <c r="D93">
        <v>12</v>
      </c>
      <c r="E93" t="s">
        <v>30</v>
      </c>
      <c r="F93">
        <v>0.43630000000000002</v>
      </c>
      <c r="G93" s="1">
        <v>45847</v>
      </c>
      <c r="H93">
        <v>6.6218199999999996</v>
      </c>
      <c r="I93" s="1">
        <v>45875</v>
      </c>
      <c r="J93">
        <f t="shared" si="7"/>
        <v>63.617251162500004</v>
      </c>
      <c r="K93">
        <v>5.31</v>
      </c>
      <c r="M93">
        <f t="shared" si="18"/>
        <v>0</v>
      </c>
      <c r="N93">
        <f t="shared" si="8"/>
        <v>-5.31</v>
      </c>
      <c r="P93">
        <v>8.5885599999999993</v>
      </c>
      <c r="S93">
        <f t="shared" si="14"/>
        <v>1.9667399999999997</v>
      </c>
      <c r="T93">
        <f t="shared" si="15"/>
        <v>-6.6218199999999996</v>
      </c>
      <c r="U93">
        <f t="shared" si="16"/>
        <v>28</v>
      </c>
      <c r="V93">
        <f t="shared" si="17"/>
        <v>-0.23649357142857141</v>
      </c>
      <c r="W93">
        <f t="shared" si="13"/>
        <v>-2364.9357142857143</v>
      </c>
    </row>
    <row r="94" spans="1:29" x14ac:dyDescent="0.3">
      <c r="A94" t="s">
        <v>45</v>
      </c>
      <c r="B94" t="s">
        <v>51</v>
      </c>
      <c r="C94">
        <v>1</v>
      </c>
      <c r="D94">
        <v>12</v>
      </c>
      <c r="E94" t="s">
        <v>31</v>
      </c>
      <c r="F94">
        <v>0.42479</v>
      </c>
      <c r="G94" s="1">
        <v>45847</v>
      </c>
      <c r="H94">
        <v>6.6832700000000003</v>
      </c>
      <c r="I94" s="1">
        <v>45875</v>
      </c>
      <c r="J94">
        <f t="shared" si="7"/>
        <v>63.617251162500004</v>
      </c>
      <c r="K94">
        <v>5.31</v>
      </c>
      <c r="M94">
        <f t="shared" si="18"/>
        <v>0</v>
      </c>
      <c r="N94">
        <f t="shared" si="8"/>
        <v>-5.31</v>
      </c>
      <c r="P94">
        <v>8.7545000000000002</v>
      </c>
      <c r="S94">
        <f t="shared" si="14"/>
        <v>2.0712299999999999</v>
      </c>
      <c r="T94">
        <f t="shared" si="15"/>
        <v>-6.6832700000000003</v>
      </c>
      <c r="U94">
        <f t="shared" si="16"/>
        <v>28</v>
      </c>
      <c r="V94">
        <f t="shared" si="17"/>
        <v>-0.2386882142857143</v>
      </c>
      <c r="W94">
        <f t="shared" si="13"/>
        <v>-2386.8821428571428</v>
      </c>
    </row>
    <row r="95" spans="1:29" x14ac:dyDescent="0.3">
      <c r="A95" t="s">
        <v>45</v>
      </c>
      <c r="B95" t="s">
        <v>51</v>
      </c>
      <c r="C95">
        <v>1</v>
      </c>
      <c r="D95">
        <v>24</v>
      </c>
      <c r="E95" t="s">
        <v>28</v>
      </c>
      <c r="F95">
        <v>0.438</v>
      </c>
      <c r="G95" s="1">
        <v>45847</v>
      </c>
      <c r="H95">
        <v>6.6820399999999998</v>
      </c>
      <c r="I95" s="1">
        <v>45875</v>
      </c>
      <c r="J95">
        <f t="shared" si="7"/>
        <v>63.617251162500004</v>
      </c>
      <c r="K95">
        <v>5.31</v>
      </c>
      <c r="M95">
        <f t="shared" si="18"/>
        <v>0</v>
      </c>
      <c r="N95">
        <f t="shared" si="8"/>
        <v>-5.31</v>
      </c>
      <c r="P95">
        <v>8.2736599999999996</v>
      </c>
      <c r="S95">
        <f t="shared" si="14"/>
        <v>1.5916199999999998</v>
      </c>
      <c r="T95">
        <f t="shared" si="15"/>
        <v>-6.6820399999999998</v>
      </c>
      <c r="U95">
        <f t="shared" si="16"/>
        <v>28</v>
      </c>
      <c r="V95">
        <f t="shared" si="17"/>
        <v>-0.2386442857142857</v>
      </c>
      <c r="W95">
        <f t="shared" si="13"/>
        <v>-2386.4428571428571</v>
      </c>
    </row>
    <row r="96" spans="1:29" x14ac:dyDescent="0.3">
      <c r="A96" t="s">
        <v>45</v>
      </c>
      <c r="B96" t="s">
        <v>51</v>
      </c>
      <c r="C96">
        <v>1</v>
      </c>
      <c r="D96">
        <v>24</v>
      </c>
      <c r="E96" t="s">
        <v>30</v>
      </c>
      <c r="F96">
        <v>0.43867</v>
      </c>
      <c r="G96" s="1">
        <v>45847</v>
      </c>
      <c r="H96">
        <v>6.6606899999999998</v>
      </c>
      <c r="I96" s="1">
        <v>45875</v>
      </c>
      <c r="J96">
        <f t="shared" si="7"/>
        <v>63.617251162500004</v>
      </c>
      <c r="K96">
        <v>5.31</v>
      </c>
      <c r="M96">
        <f t="shared" si="18"/>
        <v>0</v>
      </c>
      <c r="N96">
        <f t="shared" si="8"/>
        <v>-5.31</v>
      </c>
      <c r="P96">
        <v>8.0606299999999997</v>
      </c>
      <c r="S96">
        <f t="shared" si="14"/>
        <v>1.39994</v>
      </c>
      <c r="T96">
        <f t="shared" si="15"/>
        <v>-6.6606899999999998</v>
      </c>
      <c r="U96">
        <f t="shared" si="16"/>
        <v>28</v>
      </c>
      <c r="V96">
        <f t="shared" si="17"/>
        <v>-0.2378817857142857</v>
      </c>
      <c r="W96">
        <f t="shared" si="13"/>
        <v>-2378.8178571428571</v>
      </c>
    </row>
    <row r="97" spans="1:29" x14ac:dyDescent="0.3">
      <c r="A97" t="s">
        <v>45</v>
      </c>
      <c r="B97" t="s">
        <v>51</v>
      </c>
      <c r="C97">
        <v>1</v>
      </c>
      <c r="D97">
        <v>24</v>
      </c>
      <c r="E97" t="s">
        <v>31</v>
      </c>
      <c r="F97">
        <v>0.42518</v>
      </c>
      <c r="G97" s="1">
        <v>45847</v>
      </c>
      <c r="H97">
        <v>6.58249</v>
      </c>
      <c r="I97" s="1">
        <v>45875</v>
      </c>
      <c r="J97">
        <f t="shared" si="7"/>
        <v>63.617251162500004</v>
      </c>
      <c r="K97">
        <v>5.31</v>
      </c>
      <c r="M97">
        <f t="shared" si="18"/>
        <v>0</v>
      </c>
      <c r="N97">
        <f t="shared" si="8"/>
        <v>-5.31</v>
      </c>
      <c r="P97">
        <v>8.3255199999999991</v>
      </c>
      <c r="S97">
        <f t="shared" si="14"/>
        <v>1.7430299999999992</v>
      </c>
      <c r="T97">
        <f t="shared" si="15"/>
        <v>-6.58249</v>
      </c>
      <c r="U97" t="e">
        <f>AC97-G97</f>
        <v>#VALUE!</v>
      </c>
      <c r="V97" t="e">
        <f t="shared" si="17"/>
        <v>#VALUE!</v>
      </c>
      <c r="W97" t="e">
        <f t="shared" si="13"/>
        <v>#VALUE!</v>
      </c>
      <c r="AC97" t="s">
        <v>52</v>
      </c>
    </row>
    <row r="98" spans="1:29" x14ac:dyDescent="0.3">
      <c r="A98" t="s">
        <v>45</v>
      </c>
      <c r="B98" t="s">
        <v>51</v>
      </c>
      <c r="C98">
        <v>1</v>
      </c>
      <c r="D98">
        <v>48</v>
      </c>
      <c r="E98" t="s">
        <v>28</v>
      </c>
      <c r="F98">
        <v>0.43807000000000001</v>
      </c>
      <c r="G98" s="1">
        <v>45847</v>
      </c>
      <c r="H98">
        <v>6.6267300000000002</v>
      </c>
      <c r="I98" s="1">
        <v>45875</v>
      </c>
      <c r="J98">
        <f t="shared" si="7"/>
        <v>63.617251162500004</v>
      </c>
      <c r="K98">
        <v>5.31</v>
      </c>
      <c r="M98">
        <f t="shared" si="18"/>
        <v>0</v>
      </c>
      <c r="N98">
        <f t="shared" si="8"/>
        <v>-5.31</v>
      </c>
      <c r="P98">
        <v>7.4111900000000004</v>
      </c>
      <c r="S98">
        <f t="shared" si="14"/>
        <v>0.78446000000000016</v>
      </c>
      <c r="T98">
        <f t="shared" si="15"/>
        <v>-6.6267300000000002</v>
      </c>
      <c r="U98">
        <f t="shared" si="16"/>
        <v>28</v>
      </c>
      <c r="V98">
        <f t="shared" si="17"/>
        <v>-0.23666892857142857</v>
      </c>
      <c r="W98">
        <f t="shared" si="13"/>
        <v>-2366.6892857142857</v>
      </c>
    </row>
    <row r="99" spans="1:29" x14ac:dyDescent="0.3">
      <c r="A99" t="s">
        <v>45</v>
      </c>
      <c r="B99" t="s">
        <v>51</v>
      </c>
      <c r="C99">
        <v>1</v>
      </c>
      <c r="D99">
        <v>48</v>
      </c>
      <c r="E99" t="s">
        <v>30</v>
      </c>
      <c r="F99">
        <v>0.42597000000000002</v>
      </c>
      <c r="G99" s="1">
        <v>45847</v>
      </c>
      <c r="H99">
        <v>6.6290300000000002</v>
      </c>
      <c r="I99" s="1">
        <v>45875</v>
      </c>
      <c r="J99">
        <f t="shared" si="7"/>
        <v>63.617251162500004</v>
      </c>
      <c r="K99">
        <v>5.31</v>
      </c>
      <c r="M99">
        <f t="shared" si="18"/>
        <v>0</v>
      </c>
      <c r="N99">
        <f t="shared" si="8"/>
        <v>-5.31</v>
      </c>
      <c r="P99">
        <v>7.4518300000000002</v>
      </c>
      <c r="S99">
        <f t="shared" si="14"/>
        <v>0.82279999999999998</v>
      </c>
      <c r="T99">
        <f t="shared" si="15"/>
        <v>-6.6290300000000002</v>
      </c>
      <c r="U99">
        <f t="shared" si="16"/>
        <v>28</v>
      </c>
      <c r="V99">
        <f t="shared" si="17"/>
        <v>-0.23675107142857144</v>
      </c>
      <c r="W99">
        <f t="shared" si="13"/>
        <v>-2367.5107142857141</v>
      </c>
    </row>
    <row r="100" spans="1:29" x14ac:dyDescent="0.3">
      <c r="A100" t="s">
        <v>45</v>
      </c>
      <c r="B100" t="s">
        <v>51</v>
      </c>
      <c r="C100">
        <v>1</v>
      </c>
      <c r="D100">
        <v>48</v>
      </c>
      <c r="E100" t="s">
        <v>31</v>
      </c>
      <c r="F100">
        <v>0.43694</v>
      </c>
      <c r="G100" s="1">
        <v>45847</v>
      </c>
      <c r="H100">
        <v>6.6616400000000002</v>
      </c>
      <c r="I100" s="1">
        <v>45875</v>
      </c>
      <c r="J100">
        <f t="shared" si="7"/>
        <v>63.617251162500004</v>
      </c>
      <c r="K100">
        <v>5.31</v>
      </c>
      <c r="M100">
        <f t="shared" si="18"/>
        <v>0</v>
      </c>
      <c r="N100">
        <f t="shared" si="8"/>
        <v>-5.31</v>
      </c>
      <c r="P100">
        <v>7.48447</v>
      </c>
      <c r="S100">
        <f t="shared" si="14"/>
        <v>0.82282999999999973</v>
      </c>
      <c r="T100">
        <f t="shared" si="15"/>
        <v>-6.6616400000000002</v>
      </c>
      <c r="U100">
        <f t="shared" si="16"/>
        <v>28</v>
      </c>
      <c r="V100">
        <f t="shared" si="17"/>
        <v>-0.23791571428571429</v>
      </c>
      <c r="W100">
        <f t="shared" si="13"/>
        <v>-2379.1571428571428</v>
      </c>
    </row>
    <row r="101" spans="1:29" x14ac:dyDescent="0.3">
      <c r="A101" t="s">
        <v>45</v>
      </c>
      <c r="B101" t="s">
        <v>51</v>
      </c>
      <c r="C101">
        <v>2</v>
      </c>
      <c r="D101">
        <v>0.5</v>
      </c>
      <c r="E101" t="s">
        <v>28</v>
      </c>
      <c r="F101">
        <v>0.42443999999999998</v>
      </c>
      <c r="G101" s="1">
        <v>45847</v>
      </c>
      <c r="H101">
        <v>6.6141199999999998</v>
      </c>
      <c r="I101" s="1">
        <v>45875</v>
      </c>
      <c r="J101">
        <f t="shared" si="7"/>
        <v>63.617251162500004</v>
      </c>
      <c r="K101">
        <v>5.31</v>
      </c>
      <c r="M101">
        <f t="shared" si="18"/>
        <v>0</v>
      </c>
      <c r="N101">
        <f t="shared" si="8"/>
        <v>-5.31</v>
      </c>
      <c r="P101">
        <v>6.6099600000000001</v>
      </c>
      <c r="S101">
        <f t="shared" si="14"/>
        <v>-4.1599999999997195E-3</v>
      </c>
      <c r="T101">
        <f t="shared" si="15"/>
        <v>-6.6141199999999998</v>
      </c>
      <c r="U101">
        <f t="shared" si="16"/>
        <v>28</v>
      </c>
      <c r="V101">
        <f t="shared" si="17"/>
        <v>-0.23621857142857142</v>
      </c>
      <c r="W101">
        <f t="shared" si="13"/>
        <v>-2362.1857142857143</v>
      </c>
    </row>
    <row r="102" spans="1:29" x14ac:dyDescent="0.3">
      <c r="A102" t="s">
        <v>45</v>
      </c>
      <c r="B102" t="s">
        <v>51</v>
      </c>
      <c r="C102">
        <v>2</v>
      </c>
      <c r="D102">
        <v>0.5</v>
      </c>
      <c r="E102" t="s">
        <v>30</v>
      </c>
      <c r="F102">
        <v>0.43742999999999999</v>
      </c>
      <c r="G102" s="1">
        <v>45847</v>
      </c>
      <c r="H102">
        <v>6.5961800000000004</v>
      </c>
      <c r="I102" s="1">
        <v>45875</v>
      </c>
      <c r="J102">
        <f t="shared" si="7"/>
        <v>63.617251162500004</v>
      </c>
      <c r="K102">
        <v>5.31</v>
      </c>
      <c r="M102">
        <f t="shared" si="18"/>
        <v>0</v>
      </c>
      <c r="N102">
        <f t="shared" si="8"/>
        <v>-5.31</v>
      </c>
      <c r="P102">
        <v>6.6044700000000001</v>
      </c>
      <c r="S102">
        <f t="shared" si="14"/>
        <v>8.2899999999996865E-3</v>
      </c>
      <c r="T102">
        <f t="shared" si="15"/>
        <v>-6.5961800000000004</v>
      </c>
      <c r="U102">
        <f t="shared" si="16"/>
        <v>28</v>
      </c>
      <c r="V102">
        <f t="shared" si="17"/>
        <v>-0.23557785714285714</v>
      </c>
      <c r="W102">
        <f t="shared" si="13"/>
        <v>-2355.7785714285715</v>
      </c>
    </row>
    <row r="103" spans="1:29" x14ac:dyDescent="0.3">
      <c r="A103" t="s">
        <v>45</v>
      </c>
      <c r="B103" t="s">
        <v>51</v>
      </c>
      <c r="C103">
        <v>2</v>
      </c>
      <c r="D103">
        <v>0.5</v>
      </c>
      <c r="E103" t="s">
        <v>31</v>
      </c>
      <c r="F103">
        <v>0.43774000000000002</v>
      </c>
      <c r="G103" s="1">
        <v>45847</v>
      </c>
      <c r="H103">
        <v>6.5816400000000002</v>
      </c>
      <c r="I103" s="1">
        <v>45875</v>
      </c>
      <c r="J103">
        <f t="shared" si="7"/>
        <v>63.617251162500004</v>
      </c>
      <c r="K103">
        <v>5.31</v>
      </c>
      <c r="M103">
        <f t="shared" si="18"/>
        <v>0</v>
      </c>
      <c r="N103">
        <f t="shared" si="8"/>
        <v>-5.31</v>
      </c>
      <c r="P103">
        <v>6.58134</v>
      </c>
      <c r="S103">
        <f t="shared" si="14"/>
        <v>-3.00000000000189E-4</v>
      </c>
      <c r="T103">
        <f t="shared" si="15"/>
        <v>-6.5816400000000002</v>
      </c>
      <c r="U103">
        <f t="shared" si="16"/>
        <v>28</v>
      </c>
      <c r="V103">
        <f t="shared" si="17"/>
        <v>-0.23505857142857142</v>
      </c>
      <c r="W103">
        <f t="shared" si="13"/>
        <v>-2350.5857142857144</v>
      </c>
    </row>
    <row r="104" spans="1:29" x14ac:dyDescent="0.3">
      <c r="A104" t="s">
        <v>45</v>
      </c>
      <c r="B104" t="s">
        <v>51</v>
      </c>
      <c r="C104">
        <v>2</v>
      </c>
      <c r="D104">
        <v>2</v>
      </c>
      <c r="E104" t="s">
        <v>28</v>
      </c>
      <c r="F104">
        <v>0.42282999999999998</v>
      </c>
      <c r="G104" s="1">
        <v>45847</v>
      </c>
      <c r="H104">
        <v>6.6538000000000004</v>
      </c>
      <c r="I104" s="1">
        <v>45875</v>
      </c>
      <c r="J104">
        <f t="shared" si="7"/>
        <v>63.617251162500004</v>
      </c>
      <c r="K104">
        <v>5.31</v>
      </c>
      <c r="M104">
        <f t="shared" si="18"/>
        <v>0</v>
      </c>
      <c r="N104">
        <f t="shared" si="8"/>
        <v>-5.31</v>
      </c>
      <c r="P104">
        <v>20.636990000000001</v>
      </c>
      <c r="S104">
        <f t="shared" si="14"/>
        <v>13.98319</v>
      </c>
      <c r="T104">
        <f t="shared" si="15"/>
        <v>-6.6538000000000004</v>
      </c>
      <c r="U104">
        <f t="shared" si="16"/>
        <v>28</v>
      </c>
      <c r="V104">
        <f t="shared" si="17"/>
        <v>-0.23763571428571431</v>
      </c>
      <c r="W104">
        <f t="shared" si="13"/>
        <v>-2376.3571428571431</v>
      </c>
    </row>
    <row r="105" spans="1:29" x14ac:dyDescent="0.3">
      <c r="A105" t="s">
        <v>45</v>
      </c>
      <c r="B105" t="s">
        <v>51</v>
      </c>
      <c r="C105">
        <v>2</v>
      </c>
      <c r="D105">
        <v>2</v>
      </c>
      <c r="E105" t="s">
        <v>30</v>
      </c>
      <c r="F105">
        <v>0.43595</v>
      </c>
      <c r="G105" s="1">
        <v>45847</v>
      </c>
      <c r="H105">
        <v>6.5819200000000002</v>
      </c>
      <c r="I105" s="1">
        <v>45875</v>
      </c>
      <c r="J105">
        <f t="shared" si="7"/>
        <v>63.617251162500004</v>
      </c>
      <c r="K105">
        <v>5.31</v>
      </c>
      <c r="M105">
        <f t="shared" si="18"/>
        <v>0</v>
      </c>
      <c r="N105">
        <f t="shared" si="8"/>
        <v>-5.31</v>
      </c>
      <c r="P105">
        <v>64.786500000000004</v>
      </c>
      <c r="S105">
        <f t="shared" si="14"/>
        <v>58.204580000000007</v>
      </c>
      <c r="T105">
        <f t="shared" si="15"/>
        <v>-6.5819200000000002</v>
      </c>
      <c r="U105">
        <f t="shared" si="16"/>
        <v>28</v>
      </c>
      <c r="V105">
        <f t="shared" si="17"/>
        <v>-0.23506857142857143</v>
      </c>
      <c r="W105">
        <f t="shared" si="13"/>
        <v>-2350.6857142857143</v>
      </c>
    </row>
    <row r="106" spans="1:29" x14ac:dyDescent="0.3">
      <c r="A106" t="s">
        <v>45</v>
      </c>
      <c r="B106" t="s">
        <v>51</v>
      </c>
      <c r="C106">
        <v>2</v>
      </c>
      <c r="D106">
        <v>2</v>
      </c>
      <c r="E106" t="s">
        <v>31</v>
      </c>
      <c r="F106">
        <v>0.42492000000000002</v>
      </c>
      <c r="G106" s="1">
        <v>45847</v>
      </c>
      <c r="H106">
        <v>6.649</v>
      </c>
      <c r="I106" s="1">
        <v>45875</v>
      </c>
      <c r="J106">
        <f t="shared" si="7"/>
        <v>63.617251162500004</v>
      </c>
      <c r="K106">
        <v>5.31</v>
      </c>
      <c r="M106">
        <f t="shared" si="18"/>
        <v>0</v>
      </c>
      <c r="N106">
        <f t="shared" si="8"/>
        <v>-5.31</v>
      </c>
      <c r="P106">
        <v>11.851290000000001</v>
      </c>
      <c r="S106">
        <f t="shared" si="14"/>
        <v>5.2022900000000005</v>
      </c>
      <c r="T106">
        <f t="shared" si="15"/>
        <v>-6.649</v>
      </c>
      <c r="U106">
        <f t="shared" si="16"/>
        <v>28</v>
      </c>
      <c r="V106">
        <f t="shared" si="17"/>
        <v>-0.23746428571428571</v>
      </c>
      <c r="W106">
        <f t="shared" si="13"/>
        <v>-2374.6428571428573</v>
      </c>
    </row>
    <row r="107" spans="1:29" x14ac:dyDescent="0.3">
      <c r="A107" t="s">
        <v>45</v>
      </c>
      <c r="B107" t="s">
        <v>51</v>
      </c>
      <c r="C107">
        <v>2</v>
      </c>
      <c r="D107">
        <v>6</v>
      </c>
      <c r="E107" t="s">
        <v>28</v>
      </c>
      <c r="F107">
        <v>0.42946000000000001</v>
      </c>
      <c r="G107" s="1">
        <v>45847</v>
      </c>
      <c r="H107">
        <v>6.5941400000000003</v>
      </c>
      <c r="I107" s="1">
        <v>45875</v>
      </c>
      <c r="J107">
        <f t="shared" si="7"/>
        <v>63.617251162500004</v>
      </c>
      <c r="K107">
        <v>5.31</v>
      </c>
      <c r="M107">
        <f t="shared" si="18"/>
        <v>0</v>
      </c>
      <c r="N107">
        <f t="shared" si="8"/>
        <v>-5.31</v>
      </c>
      <c r="P107">
        <v>8.6137899999999998</v>
      </c>
      <c r="S107">
        <f t="shared" si="14"/>
        <v>2.0196499999999995</v>
      </c>
      <c r="T107">
        <f t="shared" si="15"/>
        <v>-6.5941400000000003</v>
      </c>
      <c r="U107">
        <f t="shared" si="16"/>
        <v>28</v>
      </c>
      <c r="V107">
        <f t="shared" si="17"/>
        <v>-0.23550500000000002</v>
      </c>
      <c r="W107">
        <f t="shared" si="13"/>
        <v>-2355.0500000000002</v>
      </c>
    </row>
    <row r="108" spans="1:29" x14ac:dyDescent="0.3">
      <c r="A108" t="s">
        <v>45</v>
      </c>
      <c r="B108" t="s">
        <v>51</v>
      </c>
      <c r="C108">
        <v>2</v>
      </c>
      <c r="D108">
        <v>6</v>
      </c>
      <c r="E108" t="s">
        <v>30</v>
      </c>
      <c r="F108">
        <v>0.43231000000000003</v>
      </c>
      <c r="G108" s="1">
        <v>45847</v>
      </c>
      <c r="H108">
        <v>6.6372299999999997</v>
      </c>
      <c r="I108" s="1">
        <v>45875</v>
      </c>
      <c r="J108">
        <f t="shared" ref="J108:J171" si="19">4.5*4.5*3.14159265</f>
        <v>63.617251162500004</v>
      </c>
      <c r="K108">
        <v>5.31</v>
      </c>
      <c r="M108">
        <f t="shared" si="18"/>
        <v>0</v>
      </c>
      <c r="N108">
        <f t="shared" ref="N108:N171" si="20">L108*J108-K108</f>
        <v>-5.31</v>
      </c>
      <c r="P108">
        <v>8.6666100000000004</v>
      </c>
      <c r="S108">
        <f t="shared" si="14"/>
        <v>2.0293800000000006</v>
      </c>
      <c r="T108">
        <f t="shared" si="15"/>
        <v>-6.6372299999999997</v>
      </c>
      <c r="U108">
        <f t="shared" si="16"/>
        <v>28</v>
      </c>
      <c r="V108">
        <f t="shared" si="17"/>
        <v>-0.23704392857142856</v>
      </c>
      <c r="W108">
        <f t="shared" ref="W108:W171" si="21">V108*10000</f>
        <v>-2370.4392857142857</v>
      </c>
    </row>
    <row r="109" spans="1:29" x14ac:dyDescent="0.3">
      <c r="A109" t="s">
        <v>45</v>
      </c>
      <c r="B109" t="s">
        <v>51</v>
      </c>
      <c r="C109">
        <v>2</v>
      </c>
      <c r="D109">
        <v>6</v>
      </c>
      <c r="E109" t="s">
        <v>31</v>
      </c>
      <c r="F109">
        <v>0.43280000000000002</v>
      </c>
      <c r="G109" s="1">
        <v>45847</v>
      </c>
      <c r="H109">
        <v>6.6915699999999996</v>
      </c>
      <c r="I109" s="1">
        <v>45875</v>
      </c>
      <c r="J109">
        <f t="shared" si="19"/>
        <v>63.617251162500004</v>
      </c>
      <c r="K109">
        <v>5.31</v>
      </c>
      <c r="M109">
        <f t="shared" si="18"/>
        <v>0</v>
      </c>
      <c r="N109">
        <f t="shared" si="20"/>
        <v>-5.31</v>
      </c>
      <c r="P109">
        <v>8.7146899999999992</v>
      </c>
      <c r="S109">
        <f t="shared" si="14"/>
        <v>2.0231199999999996</v>
      </c>
      <c r="T109">
        <f t="shared" si="15"/>
        <v>-6.6915699999999996</v>
      </c>
      <c r="U109">
        <f t="shared" si="16"/>
        <v>28</v>
      </c>
      <c r="V109">
        <f t="shared" si="17"/>
        <v>-0.23898464285714285</v>
      </c>
      <c r="W109">
        <f t="shared" si="21"/>
        <v>-2389.8464285714285</v>
      </c>
    </row>
    <row r="110" spans="1:29" x14ac:dyDescent="0.3">
      <c r="A110" t="s">
        <v>45</v>
      </c>
      <c r="B110" t="s">
        <v>51</v>
      </c>
      <c r="C110">
        <v>2</v>
      </c>
      <c r="D110">
        <v>12</v>
      </c>
      <c r="E110" t="s">
        <v>28</v>
      </c>
      <c r="F110">
        <v>0.43375000000000002</v>
      </c>
      <c r="G110" s="1">
        <v>45847</v>
      </c>
      <c r="H110">
        <v>6.5573899999999998</v>
      </c>
      <c r="I110" s="1">
        <v>45875</v>
      </c>
      <c r="J110">
        <f t="shared" si="19"/>
        <v>63.617251162500004</v>
      </c>
      <c r="K110">
        <v>5.31</v>
      </c>
      <c r="M110">
        <f t="shared" si="18"/>
        <v>0</v>
      </c>
      <c r="N110">
        <f t="shared" si="20"/>
        <v>-5.31</v>
      </c>
      <c r="P110">
        <v>8.2454099999999997</v>
      </c>
      <c r="S110">
        <f t="shared" si="14"/>
        <v>1.6880199999999999</v>
      </c>
      <c r="T110">
        <f t="shared" si="15"/>
        <v>-6.5573899999999998</v>
      </c>
      <c r="U110">
        <f t="shared" si="16"/>
        <v>28</v>
      </c>
      <c r="V110">
        <f t="shared" si="17"/>
        <v>-0.2341925</v>
      </c>
      <c r="W110">
        <f t="shared" si="21"/>
        <v>-2341.9250000000002</v>
      </c>
    </row>
    <row r="111" spans="1:29" x14ac:dyDescent="0.3">
      <c r="A111" t="s">
        <v>45</v>
      </c>
      <c r="B111" t="s">
        <v>51</v>
      </c>
      <c r="C111">
        <v>2</v>
      </c>
      <c r="D111">
        <v>12</v>
      </c>
      <c r="E111" t="s">
        <v>30</v>
      </c>
      <c r="F111">
        <v>0.43256</v>
      </c>
      <c r="G111" s="1">
        <v>45847</v>
      </c>
      <c r="H111">
        <v>6.6494099999999996</v>
      </c>
      <c r="I111" s="1">
        <v>45875</v>
      </c>
      <c r="J111">
        <f t="shared" si="19"/>
        <v>63.617251162500004</v>
      </c>
      <c r="K111">
        <v>5.31</v>
      </c>
      <c r="M111">
        <f t="shared" si="18"/>
        <v>0</v>
      </c>
      <c r="N111">
        <f t="shared" si="20"/>
        <v>-5.31</v>
      </c>
      <c r="P111">
        <v>8.2781400000000005</v>
      </c>
      <c r="S111">
        <f t="shared" si="14"/>
        <v>1.6287300000000009</v>
      </c>
      <c r="T111">
        <f t="shared" si="15"/>
        <v>-6.6494099999999996</v>
      </c>
      <c r="U111">
        <f t="shared" si="16"/>
        <v>28</v>
      </c>
      <c r="V111">
        <f t="shared" si="17"/>
        <v>-0.23747892857142855</v>
      </c>
      <c r="W111">
        <f t="shared" si="21"/>
        <v>-2374.7892857142856</v>
      </c>
    </row>
    <row r="112" spans="1:29" x14ac:dyDescent="0.3">
      <c r="A112" t="s">
        <v>45</v>
      </c>
      <c r="B112" t="s">
        <v>51</v>
      </c>
      <c r="C112">
        <v>2</v>
      </c>
      <c r="D112">
        <v>12</v>
      </c>
      <c r="E112" t="s">
        <v>31</v>
      </c>
      <c r="F112">
        <v>0.43267</v>
      </c>
      <c r="G112" s="1">
        <v>45847</v>
      </c>
      <c r="H112">
        <v>6.6373600000000001</v>
      </c>
      <c r="I112" s="1">
        <v>45875</v>
      </c>
      <c r="J112">
        <f t="shared" si="19"/>
        <v>63.617251162500004</v>
      </c>
      <c r="K112">
        <v>5.31</v>
      </c>
      <c r="M112">
        <f t="shared" si="18"/>
        <v>0</v>
      </c>
      <c r="N112">
        <f t="shared" si="20"/>
        <v>-5.31</v>
      </c>
      <c r="P112">
        <v>8.37073</v>
      </c>
      <c r="S112">
        <f t="shared" si="14"/>
        <v>1.7333699999999999</v>
      </c>
      <c r="T112">
        <f t="shared" si="15"/>
        <v>-6.6373600000000001</v>
      </c>
      <c r="U112">
        <f t="shared" si="16"/>
        <v>28</v>
      </c>
      <c r="V112">
        <f t="shared" si="17"/>
        <v>-0.23704857142857144</v>
      </c>
      <c r="W112">
        <f t="shared" si="21"/>
        <v>-2370.4857142857145</v>
      </c>
    </row>
    <row r="113" spans="1:29" x14ac:dyDescent="0.3">
      <c r="A113" t="s">
        <v>45</v>
      </c>
      <c r="B113" t="s">
        <v>51</v>
      </c>
      <c r="C113">
        <v>2</v>
      </c>
      <c r="D113">
        <v>24</v>
      </c>
      <c r="E113" t="s">
        <v>28</v>
      </c>
      <c r="F113">
        <v>0.42796000000000001</v>
      </c>
      <c r="G113" s="1">
        <v>45847</v>
      </c>
      <c r="H113">
        <v>6.5876799999999998</v>
      </c>
      <c r="I113" s="1">
        <v>45875</v>
      </c>
      <c r="J113">
        <f t="shared" si="19"/>
        <v>63.617251162500004</v>
      </c>
      <c r="K113">
        <v>5.31</v>
      </c>
      <c r="M113">
        <f t="shared" si="18"/>
        <v>0</v>
      </c>
      <c r="N113">
        <f t="shared" si="20"/>
        <v>-5.31</v>
      </c>
      <c r="P113">
        <v>7.5479500000000002</v>
      </c>
      <c r="S113">
        <f t="shared" si="14"/>
        <v>0.9602700000000004</v>
      </c>
      <c r="T113">
        <f t="shared" si="15"/>
        <v>-6.5876799999999998</v>
      </c>
      <c r="U113">
        <f t="shared" si="16"/>
        <v>28</v>
      </c>
      <c r="V113">
        <f t="shared" si="17"/>
        <v>-0.23527428571428571</v>
      </c>
      <c r="W113">
        <f t="shared" si="21"/>
        <v>-2352.7428571428572</v>
      </c>
    </row>
    <row r="114" spans="1:29" x14ac:dyDescent="0.3">
      <c r="A114" t="s">
        <v>45</v>
      </c>
      <c r="B114" t="s">
        <v>51</v>
      </c>
      <c r="C114">
        <v>2</v>
      </c>
      <c r="D114">
        <v>24</v>
      </c>
      <c r="E114" t="s">
        <v>30</v>
      </c>
      <c r="F114">
        <v>0.42897999999999997</v>
      </c>
      <c r="G114" s="1">
        <v>45847</v>
      </c>
      <c r="H114">
        <v>6.5383800000000001</v>
      </c>
      <c r="I114" s="1">
        <v>45875</v>
      </c>
      <c r="J114">
        <f t="shared" si="19"/>
        <v>63.617251162500004</v>
      </c>
      <c r="K114">
        <v>5.31</v>
      </c>
      <c r="M114">
        <f t="shared" si="18"/>
        <v>0</v>
      </c>
      <c r="N114">
        <f t="shared" si="20"/>
        <v>-5.31</v>
      </c>
      <c r="P114">
        <v>7.5095200000000002</v>
      </c>
      <c r="S114">
        <f t="shared" si="14"/>
        <v>0.97114000000000011</v>
      </c>
      <c r="T114">
        <f t="shared" si="15"/>
        <v>-6.5383800000000001</v>
      </c>
      <c r="U114">
        <f t="shared" si="16"/>
        <v>28</v>
      </c>
      <c r="V114">
        <f t="shared" si="17"/>
        <v>-0.23351357142857143</v>
      </c>
      <c r="W114">
        <f t="shared" si="21"/>
        <v>-2335.1357142857141</v>
      </c>
    </row>
    <row r="115" spans="1:29" x14ac:dyDescent="0.3">
      <c r="A115" t="s">
        <v>45</v>
      </c>
      <c r="B115" t="s">
        <v>51</v>
      </c>
      <c r="C115">
        <v>2</v>
      </c>
      <c r="D115">
        <v>24</v>
      </c>
      <c r="E115" t="s">
        <v>31</v>
      </c>
      <c r="F115">
        <v>0.43245</v>
      </c>
      <c r="G115" s="1">
        <v>45847</v>
      </c>
      <c r="H115">
        <v>6.61165</v>
      </c>
      <c r="I115" s="1">
        <v>45875</v>
      </c>
      <c r="J115">
        <f t="shared" si="19"/>
        <v>63.617251162500004</v>
      </c>
      <c r="K115">
        <v>5.31</v>
      </c>
      <c r="M115">
        <f t="shared" si="18"/>
        <v>0</v>
      </c>
      <c r="N115">
        <f t="shared" si="20"/>
        <v>-5.31</v>
      </c>
      <c r="P115">
        <v>7.6116400000000004</v>
      </c>
      <c r="S115">
        <f t="shared" si="14"/>
        <v>0.99999000000000038</v>
      </c>
      <c r="T115">
        <f t="shared" si="15"/>
        <v>-6.61165</v>
      </c>
      <c r="U115">
        <f t="shared" si="16"/>
        <v>28</v>
      </c>
      <c r="V115">
        <f t="shared" si="17"/>
        <v>-0.23613035714285716</v>
      </c>
      <c r="W115">
        <f t="shared" si="21"/>
        <v>-2361.3035714285716</v>
      </c>
    </row>
    <row r="116" spans="1:29" x14ac:dyDescent="0.3">
      <c r="A116" t="s">
        <v>45</v>
      </c>
      <c r="B116" t="s">
        <v>51</v>
      </c>
      <c r="C116">
        <v>2</v>
      </c>
      <c r="D116">
        <v>48</v>
      </c>
      <c r="E116" t="s">
        <v>28</v>
      </c>
      <c r="F116">
        <v>0.42976999999999999</v>
      </c>
      <c r="G116" s="1">
        <v>45847</v>
      </c>
      <c r="H116">
        <v>6.6246200000000002</v>
      </c>
      <c r="I116" s="1">
        <v>45875</v>
      </c>
      <c r="J116">
        <f t="shared" si="19"/>
        <v>63.617251162500004</v>
      </c>
      <c r="K116">
        <v>5.31</v>
      </c>
      <c r="M116">
        <f t="shared" si="18"/>
        <v>0</v>
      </c>
      <c r="N116">
        <f t="shared" si="20"/>
        <v>-5.31</v>
      </c>
      <c r="P116">
        <v>7.6172700000000004</v>
      </c>
      <c r="S116">
        <f t="shared" si="14"/>
        <v>0.99265000000000025</v>
      </c>
      <c r="T116">
        <f t="shared" si="15"/>
        <v>-6.6246200000000002</v>
      </c>
      <c r="U116">
        <f t="shared" si="16"/>
        <v>28</v>
      </c>
      <c r="V116">
        <f t="shared" si="17"/>
        <v>-0.23659357142857143</v>
      </c>
      <c r="W116">
        <f t="shared" si="21"/>
        <v>-2365.9357142857143</v>
      </c>
    </row>
    <row r="117" spans="1:29" x14ac:dyDescent="0.3">
      <c r="A117" t="s">
        <v>45</v>
      </c>
      <c r="B117" t="s">
        <v>51</v>
      </c>
      <c r="C117">
        <v>2</v>
      </c>
      <c r="D117">
        <v>48</v>
      </c>
      <c r="E117" t="s">
        <v>30</v>
      </c>
      <c r="F117">
        <v>0.43139</v>
      </c>
      <c r="G117" s="1">
        <v>45847</v>
      </c>
      <c r="H117">
        <v>6.6426800000000004</v>
      </c>
      <c r="I117" s="1">
        <v>45875</v>
      </c>
      <c r="J117">
        <f t="shared" si="19"/>
        <v>63.617251162500004</v>
      </c>
      <c r="K117">
        <v>5.31</v>
      </c>
      <c r="M117">
        <f t="shared" si="18"/>
        <v>0</v>
      </c>
      <c r="N117">
        <f t="shared" si="20"/>
        <v>-5.31</v>
      </c>
      <c r="P117">
        <v>7.69618</v>
      </c>
      <c r="S117">
        <f t="shared" si="14"/>
        <v>1.0534999999999997</v>
      </c>
      <c r="T117">
        <f t="shared" si="15"/>
        <v>-6.6426800000000004</v>
      </c>
      <c r="U117" t="e">
        <f>AC117-G117</f>
        <v>#VALUE!</v>
      </c>
      <c r="V117" t="e">
        <f t="shared" si="17"/>
        <v>#VALUE!</v>
      </c>
      <c r="W117" t="e">
        <f t="shared" si="21"/>
        <v>#VALUE!</v>
      </c>
      <c r="AC117" t="s">
        <v>53</v>
      </c>
    </row>
    <row r="118" spans="1:29" x14ac:dyDescent="0.3">
      <c r="A118" t="s">
        <v>45</v>
      </c>
      <c r="B118" t="s">
        <v>51</v>
      </c>
      <c r="C118">
        <v>2</v>
      </c>
      <c r="D118">
        <v>48</v>
      </c>
      <c r="E118" t="s">
        <v>31</v>
      </c>
      <c r="F118">
        <v>0.42964000000000002</v>
      </c>
      <c r="G118" s="1">
        <v>45847</v>
      </c>
      <c r="H118">
        <v>6.5836699999999997</v>
      </c>
      <c r="I118" s="1">
        <v>45875</v>
      </c>
      <c r="J118">
        <f t="shared" si="19"/>
        <v>63.617251162500004</v>
      </c>
      <c r="K118">
        <v>5.31</v>
      </c>
      <c r="M118">
        <f t="shared" si="18"/>
        <v>0</v>
      </c>
      <c r="N118">
        <f t="shared" si="20"/>
        <v>-5.31</v>
      </c>
      <c r="P118">
        <v>7.4322900000000001</v>
      </c>
      <c r="S118">
        <f t="shared" si="14"/>
        <v>0.84862000000000037</v>
      </c>
      <c r="T118">
        <f t="shared" si="15"/>
        <v>-6.5836699999999997</v>
      </c>
      <c r="U118">
        <f t="shared" si="16"/>
        <v>28</v>
      </c>
      <c r="V118">
        <f t="shared" si="17"/>
        <v>-0.23513107142857143</v>
      </c>
      <c r="W118">
        <f t="shared" si="21"/>
        <v>-2351.3107142857143</v>
      </c>
    </row>
    <row r="119" spans="1:29" x14ac:dyDescent="0.3">
      <c r="A119" t="s">
        <v>45</v>
      </c>
      <c r="B119" t="s">
        <v>51</v>
      </c>
      <c r="E119" t="s">
        <v>36</v>
      </c>
      <c r="F119">
        <v>0.43209999999999998</v>
      </c>
      <c r="G119" t="s">
        <v>56</v>
      </c>
      <c r="H119">
        <v>6.4448999999999996</v>
      </c>
      <c r="I119" t="s">
        <v>56</v>
      </c>
      <c r="J119">
        <f t="shared" si="19"/>
        <v>63.617251162500004</v>
      </c>
      <c r="K119">
        <v>5.31</v>
      </c>
      <c r="M119">
        <f t="shared" si="18"/>
        <v>0</v>
      </c>
      <c r="N119">
        <f t="shared" si="20"/>
        <v>-5.31</v>
      </c>
      <c r="S119">
        <f t="shared" si="14"/>
        <v>-6.4448999999999996</v>
      </c>
      <c r="T119">
        <f t="shared" si="15"/>
        <v>-6.4448999999999996</v>
      </c>
      <c r="U119" t="e">
        <f t="shared" si="16"/>
        <v>#VALUE!</v>
      </c>
      <c r="V119" t="e">
        <f t="shared" si="17"/>
        <v>#VALUE!</v>
      </c>
      <c r="W119" t="e">
        <f t="shared" si="21"/>
        <v>#VALUE!</v>
      </c>
    </row>
    <row r="120" spans="1:29" x14ac:dyDescent="0.3">
      <c r="A120" t="s">
        <v>45</v>
      </c>
      <c r="B120" t="s">
        <v>51</v>
      </c>
      <c r="E120" t="s">
        <v>39</v>
      </c>
      <c r="F120">
        <v>0.43558000000000002</v>
      </c>
      <c r="G120" t="s">
        <v>56</v>
      </c>
      <c r="H120">
        <v>6.6893700000000003</v>
      </c>
      <c r="I120" t="s">
        <v>56</v>
      </c>
      <c r="J120">
        <f t="shared" si="19"/>
        <v>63.617251162500004</v>
      </c>
      <c r="K120">
        <v>5.31</v>
      </c>
      <c r="M120">
        <f t="shared" si="18"/>
        <v>0</v>
      </c>
      <c r="N120">
        <f t="shared" si="20"/>
        <v>-5.31</v>
      </c>
      <c r="S120">
        <f t="shared" si="14"/>
        <v>-6.6893700000000003</v>
      </c>
      <c r="T120">
        <f t="shared" si="15"/>
        <v>-6.6893700000000003</v>
      </c>
      <c r="U120" t="e">
        <f t="shared" si="16"/>
        <v>#VALUE!</v>
      </c>
      <c r="V120" t="e">
        <f t="shared" si="17"/>
        <v>#VALUE!</v>
      </c>
      <c r="W120" t="e">
        <f t="shared" si="21"/>
        <v>#VALUE!</v>
      </c>
    </row>
    <row r="121" spans="1:29" x14ac:dyDescent="0.3">
      <c r="A121" t="s">
        <v>45</v>
      </c>
      <c r="B121" t="s">
        <v>51</v>
      </c>
      <c r="E121" t="s">
        <v>41</v>
      </c>
      <c r="F121">
        <v>0.42676999999999998</v>
      </c>
      <c r="G121" t="s">
        <v>56</v>
      </c>
      <c r="H121">
        <v>6.6115399999999998</v>
      </c>
      <c r="I121" t="s">
        <v>56</v>
      </c>
      <c r="J121">
        <f t="shared" si="19"/>
        <v>63.617251162500004</v>
      </c>
      <c r="K121">
        <v>5.31</v>
      </c>
      <c r="M121">
        <f t="shared" si="18"/>
        <v>0</v>
      </c>
      <c r="N121">
        <f t="shared" si="20"/>
        <v>-5.31</v>
      </c>
      <c r="S121">
        <f t="shared" si="14"/>
        <v>-6.6115399999999998</v>
      </c>
      <c r="T121">
        <f t="shared" si="15"/>
        <v>-6.6115399999999998</v>
      </c>
      <c r="U121" t="e">
        <f t="shared" si="16"/>
        <v>#VALUE!</v>
      </c>
      <c r="V121" t="e">
        <f t="shared" si="17"/>
        <v>#VALUE!</v>
      </c>
      <c r="W121" t="e">
        <f t="shared" si="21"/>
        <v>#VALUE!</v>
      </c>
    </row>
    <row r="122" spans="1:29" x14ac:dyDescent="0.3">
      <c r="A122" t="s">
        <v>45</v>
      </c>
      <c r="B122" t="s">
        <v>51</v>
      </c>
      <c r="E122" t="s">
        <v>43</v>
      </c>
      <c r="F122">
        <v>0.43303000000000003</v>
      </c>
      <c r="G122" t="s">
        <v>56</v>
      </c>
      <c r="H122">
        <v>6.6825000000000001</v>
      </c>
      <c r="I122" t="s">
        <v>56</v>
      </c>
      <c r="J122">
        <f t="shared" si="19"/>
        <v>63.617251162500004</v>
      </c>
      <c r="K122">
        <v>5.31</v>
      </c>
      <c r="M122">
        <f t="shared" si="18"/>
        <v>0</v>
      </c>
      <c r="N122">
        <f t="shared" si="20"/>
        <v>-5.31</v>
      </c>
      <c r="S122">
        <f t="shared" si="14"/>
        <v>-6.6825000000000001</v>
      </c>
      <c r="T122">
        <f t="shared" si="15"/>
        <v>-6.6825000000000001</v>
      </c>
      <c r="U122" t="e">
        <f t="shared" si="16"/>
        <v>#VALUE!</v>
      </c>
      <c r="V122" t="e">
        <f t="shared" si="17"/>
        <v>#VALUE!</v>
      </c>
      <c r="W122" t="e">
        <f t="shared" si="21"/>
        <v>#VALUE!</v>
      </c>
    </row>
    <row r="123" spans="1:29" x14ac:dyDescent="0.3">
      <c r="A123" t="s">
        <v>45</v>
      </c>
      <c r="B123" t="s">
        <v>54</v>
      </c>
      <c r="C123">
        <v>1</v>
      </c>
      <c r="D123">
        <v>0.5</v>
      </c>
      <c r="E123" t="s">
        <v>28</v>
      </c>
      <c r="F123">
        <v>0.42775999999999997</v>
      </c>
      <c r="G123" s="1" t="s">
        <v>56</v>
      </c>
      <c r="H123" t="s">
        <v>55</v>
      </c>
      <c r="I123" s="1" t="s">
        <v>56</v>
      </c>
      <c r="J123">
        <f t="shared" si="19"/>
        <v>63.617251162500004</v>
      </c>
      <c r="K123">
        <v>5.31</v>
      </c>
      <c r="M123">
        <f t="shared" si="18"/>
        <v>0</v>
      </c>
      <c r="N123">
        <f t="shared" si="20"/>
        <v>-5.31</v>
      </c>
      <c r="P123" t="s">
        <v>56</v>
      </c>
      <c r="S123" t="e">
        <f t="shared" si="14"/>
        <v>#VALUE!</v>
      </c>
      <c r="T123" t="e">
        <f t="shared" si="15"/>
        <v>#VALUE!</v>
      </c>
      <c r="U123" t="e">
        <f t="shared" si="16"/>
        <v>#VALUE!</v>
      </c>
      <c r="V123" t="e">
        <f t="shared" si="17"/>
        <v>#VALUE!</v>
      </c>
      <c r="W123" t="e">
        <f t="shared" si="21"/>
        <v>#VALUE!</v>
      </c>
    </row>
    <row r="124" spans="1:29" x14ac:dyDescent="0.3">
      <c r="A124" t="s">
        <v>45</v>
      </c>
      <c r="B124" t="s">
        <v>54</v>
      </c>
      <c r="C124">
        <v>1</v>
      </c>
      <c r="D124">
        <v>0.5</v>
      </c>
      <c r="E124" t="s">
        <v>30</v>
      </c>
      <c r="F124">
        <v>0.43178</v>
      </c>
      <c r="G124" s="1" t="s">
        <v>56</v>
      </c>
      <c r="H124" t="s">
        <v>55</v>
      </c>
      <c r="I124" s="1" t="s">
        <v>56</v>
      </c>
      <c r="J124">
        <f t="shared" si="19"/>
        <v>63.617251162500004</v>
      </c>
      <c r="K124">
        <v>5.31</v>
      </c>
      <c r="M124">
        <f t="shared" si="18"/>
        <v>0</v>
      </c>
      <c r="N124">
        <f t="shared" si="20"/>
        <v>-5.31</v>
      </c>
      <c r="P124" t="s">
        <v>56</v>
      </c>
      <c r="S124" t="e">
        <f t="shared" si="14"/>
        <v>#VALUE!</v>
      </c>
      <c r="T124" t="e">
        <f t="shared" si="15"/>
        <v>#VALUE!</v>
      </c>
      <c r="U124" t="e">
        <f t="shared" si="16"/>
        <v>#VALUE!</v>
      </c>
      <c r="V124" t="e">
        <f t="shared" si="17"/>
        <v>#VALUE!</v>
      </c>
      <c r="W124" t="e">
        <f t="shared" si="21"/>
        <v>#VALUE!</v>
      </c>
    </row>
    <row r="125" spans="1:29" x14ac:dyDescent="0.3">
      <c r="A125" t="s">
        <v>45</v>
      </c>
      <c r="B125" t="s">
        <v>54</v>
      </c>
      <c r="C125">
        <v>1</v>
      </c>
      <c r="D125">
        <v>0.5</v>
      </c>
      <c r="E125" t="s">
        <v>31</v>
      </c>
      <c r="F125">
        <v>0.42708000000000002</v>
      </c>
      <c r="G125" s="1" t="s">
        <v>56</v>
      </c>
      <c r="H125" t="s">
        <v>55</v>
      </c>
      <c r="I125" s="1" t="s">
        <v>56</v>
      </c>
      <c r="J125">
        <f t="shared" si="19"/>
        <v>63.617251162500004</v>
      </c>
      <c r="K125">
        <v>5.31</v>
      </c>
      <c r="M125">
        <f t="shared" si="18"/>
        <v>0</v>
      </c>
      <c r="N125">
        <f t="shared" si="20"/>
        <v>-5.31</v>
      </c>
      <c r="P125" t="s">
        <v>56</v>
      </c>
      <c r="S125" t="e">
        <f t="shared" ref="S125:S188" si="22">P125-M125-H125</f>
        <v>#VALUE!</v>
      </c>
      <c r="T125" t="e">
        <f t="shared" ref="T125:T188" si="23">Q125-M125-H125</f>
        <v>#VALUE!</v>
      </c>
      <c r="U125" t="e">
        <f t="shared" si="16"/>
        <v>#VALUE!</v>
      </c>
      <c r="V125" t="e">
        <f t="shared" si="17"/>
        <v>#VALUE!</v>
      </c>
      <c r="W125" t="e">
        <f t="shared" si="21"/>
        <v>#VALUE!</v>
      </c>
    </row>
    <row r="126" spans="1:29" x14ac:dyDescent="0.3">
      <c r="A126" t="s">
        <v>45</v>
      </c>
      <c r="B126" t="s">
        <v>54</v>
      </c>
      <c r="C126">
        <v>1</v>
      </c>
      <c r="D126">
        <v>2</v>
      </c>
      <c r="E126" t="s">
        <v>28</v>
      </c>
      <c r="F126">
        <v>0.434</v>
      </c>
      <c r="G126" s="1" t="s">
        <v>56</v>
      </c>
      <c r="H126" t="s">
        <v>55</v>
      </c>
      <c r="I126" s="1" t="s">
        <v>56</v>
      </c>
      <c r="J126">
        <f t="shared" si="19"/>
        <v>63.617251162500004</v>
      </c>
      <c r="K126">
        <v>5.31</v>
      </c>
      <c r="M126">
        <f t="shared" si="18"/>
        <v>0</v>
      </c>
      <c r="N126">
        <f t="shared" si="20"/>
        <v>-5.31</v>
      </c>
      <c r="P126" t="s">
        <v>56</v>
      </c>
      <c r="S126" t="e">
        <f t="shared" si="22"/>
        <v>#VALUE!</v>
      </c>
      <c r="T126" t="e">
        <f t="shared" si="23"/>
        <v>#VALUE!</v>
      </c>
      <c r="U126" t="e">
        <f t="shared" ref="U126:U189" si="24">I126-G126</f>
        <v>#VALUE!</v>
      </c>
      <c r="V126" t="e">
        <f t="shared" si="17"/>
        <v>#VALUE!</v>
      </c>
      <c r="W126" t="e">
        <f t="shared" si="21"/>
        <v>#VALUE!</v>
      </c>
    </row>
    <row r="127" spans="1:29" x14ac:dyDescent="0.3">
      <c r="A127" t="s">
        <v>45</v>
      </c>
      <c r="B127" t="s">
        <v>54</v>
      </c>
      <c r="C127">
        <v>1</v>
      </c>
      <c r="D127">
        <v>2</v>
      </c>
      <c r="E127" t="s">
        <v>30</v>
      </c>
      <c r="F127">
        <v>0.43364999999999998</v>
      </c>
      <c r="G127" s="1" t="s">
        <v>56</v>
      </c>
      <c r="H127" t="s">
        <v>55</v>
      </c>
      <c r="I127" s="1" t="s">
        <v>56</v>
      </c>
      <c r="J127">
        <f t="shared" si="19"/>
        <v>63.617251162500004</v>
      </c>
      <c r="K127">
        <v>5.31</v>
      </c>
      <c r="M127">
        <f t="shared" si="18"/>
        <v>0</v>
      </c>
      <c r="N127">
        <f t="shared" si="20"/>
        <v>-5.31</v>
      </c>
      <c r="P127" t="s">
        <v>56</v>
      </c>
      <c r="S127" t="e">
        <f t="shared" si="22"/>
        <v>#VALUE!</v>
      </c>
      <c r="T127" t="e">
        <f t="shared" si="23"/>
        <v>#VALUE!</v>
      </c>
      <c r="U127" t="e">
        <f t="shared" si="24"/>
        <v>#VALUE!</v>
      </c>
      <c r="V127" t="e">
        <f t="shared" ref="V127:V190" si="25">T127/U127</f>
        <v>#VALUE!</v>
      </c>
      <c r="W127" t="e">
        <f t="shared" si="21"/>
        <v>#VALUE!</v>
      </c>
    </row>
    <row r="128" spans="1:29" x14ac:dyDescent="0.3">
      <c r="A128" t="s">
        <v>45</v>
      </c>
      <c r="B128" t="s">
        <v>54</v>
      </c>
      <c r="C128">
        <v>1</v>
      </c>
      <c r="D128">
        <v>2</v>
      </c>
      <c r="E128" t="s">
        <v>31</v>
      </c>
      <c r="F128">
        <v>0.42503000000000002</v>
      </c>
      <c r="G128" s="1" t="s">
        <v>56</v>
      </c>
      <c r="H128" t="s">
        <v>55</v>
      </c>
      <c r="I128" s="1" t="s">
        <v>56</v>
      </c>
      <c r="J128">
        <f t="shared" si="19"/>
        <v>63.617251162500004</v>
      </c>
      <c r="K128">
        <v>5.31</v>
      </c>
      <c r="M128">
        <f t="shared" si="18"/>
        <v>0</v>
      </c>
      <c r="N128">
        <f t="shared" si="20"/>
        <v>-5.31</v>
      </c>
      <c r="P128" t="s">
        <v>56</v>
      </c>
      <c r="S128" t="e">
        <f t="shared" si="22"/>
        <v>#VALUE!</v>
      </c>
      <c r="T128" t="e">
        <f t="shared" si="23"/>
        <v>#VALUE!</v>
      </c>
      <c r="U128" t="e">
        <f t="shared" si="24"/>
        <v>#VALUE!</v>
      </c>
      <c r="V128" t="e">
        <f t="shared" si="25"/>
        <v>#VALUE!</v>
      </c>
      <c r="W128" t="e">
        <f t="shared" si="21"/>
        <v>#VALUE!</v>
      </c>
    </row>
    <row r="129" spans="1:23" x14ac:dyDescent="0.3">
      <c r="A129" t="s">
        <v>45</v>
      </c>
      <c r="B129" t="s">
        <v>54</v>
      </c>
      <c r="C129">
        <v>1</v>
      </c>
      <c r="D129">
        <v>6</v>
      </c>
      <c r="E129" t="s">
        <v>28</v>
      </c>
      <c r="F129">
        <v>0.431782</v>
      </c>
      <c r="G129" s="1" t="s">
        <v>56</v>
      </c>
      <c r="H129" t="s">
        <v>55</v>
      </c>
      <c r="I129" s="1" t="s">
        <v>56</v>
      </c>
      <c r="J129">
        <f t="shared" si="19"/>
        <v>63.617251162500004</v>
      </c>
      <c r="K129">
        <v>5.31</v>
      </c>
      <c r="M129">
        <f t="shared" si="18"/>
        <v>0</v>
      </c>
      <c r="N129">
        <f t="shared" si="20"/>
        <v>-5.31</v>
      </c>
      <c r="P129" t="s">
        <v>56</v>
      </c>
      <c r="S129" t="e">
        <f t="shared" si="22"/>
        <v>#VALUE!</v>
      </c>
      <c r="T129" t="e">
        <f t="shared" si="23"/>
        <v>#VALUE!</v>
      </c>
      <c r="U129" t="e">
        <f t="shared" si="24"/>
        <v>#VALUE!</v>
      </c>
      <c r="V129" t="e">
        <f t="shared" si="25"/>
        <v>#VALUE!</v>
      </c>
      <c r="W129" t="e">
        <f t="shared" si="21"/>
        <v>#VALUE!</v>
      </c>
    </row>
    <row r="130" spans="1:23" x14ac:dyDescent="0.3">
      <c r="A130" t="s">
        <v>45</v>
      </c>
      <c r="B130" t="s">
        <v>54</v>
      </c>
      <c r="C130">
        <v>1</v>
      </c>
      <c r="D130">
        <v>6</v>
      </c>
      <c r="E130" t="s">
        <v>30</v>
      </c>
      <c r="F130">
        <v>0.42465999999999998</v>
      </c>
      <c r="G130" s="1" t="s">
        <v>56</v>
      </c>
      <c r="H130" t="s">
        <v>55</v>
      </c>
      <c r="I130" s="1" t="s">
        <v>56</v>
      </c>
      <c r="J130">
        <f t="shared" si="19"/>
        <v>63.617251162500004</v>
      </c>
      <c r="K130">
        <v>5.31</v>
      </c>
      <c r="M130">
        <f t="shared" si="18"/>
        <v>0</v>
      </c>
      <c r="N130">
        <f t="shared" si="20"/>
        <v>-5.31</v>
      </c>
      <c r="P130" t="s">
        <v>56</v>
      </c>
      <c r="S130" t="e">
        <f t="shared" si="22"/>
        <v>#VALUE!</v>
      </c>
      <c r="T130" t="e">
        <f t="shared" si="23"/>
        <v>#VALUE!</v>
      </c>
      <c r="U130" t="e">
        <f t="shared" si="24"/>
        <v>#VALUE!</v>
      </c>
      <c r="V130" t="e">
        <f t="shared" si="25"/>
        <v>#VALUE!</v>
      </c>
      <c r="W130" t="e">
        <f t="shared" si="21"/>
        <v>#VALUE!</v>
      </c>
    </row>
    <row r="131" spans="1:23" x14ac:dyDescent="0.3">
      <c r="A131" t="s">
        <v>45</v>
      </c>
      <c r="B131" t="s">
        <v>54</v>
      </c>
      <c r="C131">
        <v>1</v>
      </c>
      <c r="D131">
        <v>6</v>
      </c>
      <c r="E131" t="s">
        <v>31</v>
      </c>
      <c r="F131">
        <v>0.43221999999999999</v>
      </c>
      <c r="G131" s="1" t="s">
        <v>56</v>
      </c>
      <c r="H131" t="s">
        <v>55</v>
      </c>
      <c r="I131" s="1" t="s">
        <v>56</v>
      </c>
      <c r="J131">
        <f t="shared" si="19"/>
        <v>63.617251162500004</v>
      </c>
      <c r="K131">
        <v>5.31</v>
      </c>
      <c r="M131">
        <f t="shared" si="18"/>
        <v>0</v>
      </c>
      <c r="N131">
        <f t="shared" si="20"/>
        <v>-5.31</v>
      </c>
      <c r="P131" t="s">
        <v>56</v>
      </c>
      <c r="S131" t="e">
        <f t="shared" si="22"/>
        <v>#VALUE!</v>
      </c>
      <c r="T131" t="e">
        <f t="shared" si="23"/>
        <v>#VALUE!</v>
      </c>
      <c r="U131" t="e">
        <f t="shared" si="24"/>
        <v>#VALUE!</v>
      </c>
      <c r="V131" t="e">
        <f t="shared" si="25"/>
        <v>#VALUE!</v>
      </c>
      <c r="W131" t="e">
        <f t="shared" si="21"/>
        <v>#VALUE!</v>
      </c>
    </row>
    <row r="132" spans="1:23" x14ac:dyDescent="0.3">
      <c r="A132" t="s">
        <v>45</v>
      </c>
      <c r="B132" t="s">
        <v>54</v>
      </c>
      <c r="C132">
        <v>1</v>
      </c>
      <c r="D132">
        <v>12</v>
      </c>
      <c r="E132" t="s">
        <v>28</v>
      </c>
      <c r="F132">
        <v>0.42714000000000002</v>
      </c>
      <c r="G132" s="1" t="s">
        <v>56</v>
      </c>
      <c r="H132" t="s">
        <v>55</v>
      </c>
      <c r="I132" s="1" t="s">
        <v>56</v>
      </c>
      <c r="J132">
        <f t="shared" si="19"/>
        <v>63.617251162500004</v>
      </c>
      <c r="K132">
        <v>5.31</v>
      </c>
      <c r="M132">
        <f t="shared" ref="M132:M195" si="26">L132*F132</f>
        <v>0</v>
      </c>
      <c r="N132">
        <f t="shared" si="20"/>
        <v>-5.31</v>
      </c>
      <c r="P132" t="s">
        <v>56</v>
      </c>
      <c r="S132" t="e">
        <f t="shared" si="22"/>
        <v>#VALUE!</v>
      </c>
      <c r="T132" t="e">
        <f t="shared" si="23"/>
        <v>#VALUE!</v>
      </c>
      <c r="U132" t="e">
        <f t="shared" si="24"/>
        <v>#VALUE!</v>
      </c>
      <c r="V132" t="e">
        <f t="shared" si="25"/>
        <v>#VALUE!</v>
      </c>
      <c r="W132" t="e">
        <f t="shared" si="21"/>
        <v>#VALUE!</v>
      </c>
    </row>
    <row r="133" spans="1:23" x14ac:dyDescent="0.3">
      <c r="A133" t="s">
        <v>45</v>
      </c>
      <c r="B133" t="s">
        <v>54</v>
      </c>
      <c r="C133">
        <v>1</v>
      </c>
      <c r="D133">
        <v>12</v>
      </c>
      <c r="E133" t="s">
        <v>30</v>
      </c>
      <c r="F133">
        <v>0.43036999999999997</v>
      </c>
      <c r="G133" s="1" t="s">
        <v>56</v>
      </c>
      <c r="H133" t="s">
        <v>55</v>
      </c>
      <c r="I133" s="1" t="s">
        <v>56</v>
      </c>
      <c r="J133">
        <f t="shared" si="19"/>
        <v>63.617251162500004</v>
      </c>
      <c r="K133">
        <v>5.31</v>
      </c>
      <c r="M133">
        <f t="shared" si="26"/>
        <v>0</v>
      </c>
      <c r="N133">
        <f t="shared" si="20"/>
        <v>-5.31</v>
      </c>
      <c r="P133" t="s">
        <v>56</v>
      </c>
      <c r="S133" t="e">
        <f t="shared" si="22"/>
        <v>#VALUE!</v>
      </c>
      <c r="T133" t="e">
        <f t="shared" si="23"/>
        <v>#VALUE!</v>
      </c>
      <c r="U133" t="e">
        <f t="shared" si="24"/>
        <v>#VALUE!</v>
      </c>
      <c r="V133" t="e">
        <f t="shared" si="25"/>
        <v>#VALUE!</v>
      </c>
      <c r="W133" t="e">
        <f t="shared" si="21"/>
        <v>#VALUE!</v>
      </c>
    </row>
    <row r="134" spans="1:23" x14ac:dyDescent="0.3">
      <c r="A134" t="s">
        <v>45</v>
      </c>
      <c r="B134" t="s">
        <v>54</v>
      </c>
      <c r="C134">
        <v>1</v>
      </c>
      <c r="D134">
        <v>12</v>
      </c>
      <c r="E134" t="s">
        <v>31</v>
      </c>
      <c r="F134">
        <v>0.42926999999999998</v>
      </c>
      <c r="G134" s="1" t="s">
        <v>56</v>
      </c>
      <c r="H134" t="s">
        <v>55</v>
      </c>
      <c r="I134" s="1" t="s">
        <v>56</v>
      </c>
      <c r="J134">
        <f t="shared" si="19"/>
        <v>63.617251162500004</v>
      </c>
      <c r="K134">
        <v>5.31</v>
      </c>
      <c r="M134">
        <f t="shared" si="26"/>
        <v>0</v>
      </c>
      <c r="N134">
        <f t="shared" si="20"/>
        <v>-5.31</v>
      </c>
      <c r="P134" t="s">
        <v>56</v>
      </c>
      <c r="S134" t="e">
        <f t="shared" si="22"/>
        <v>#VALUE!</v>
      </c>
      <c r="T134" t="e">
        <f t="shared" si="23"/>
        <v>#VALUE!</v>
      </c>
      <c r="U134" t="e">
        <f t="shared" si="24"/>
        <v>#VALUE!</v>
      </c>
      <c r="V134" t="e">
        <f t="shared" si="25"/>
        <v>#VALUE!</v>
      </c>
      <c r="W134" t="e">
        <f t="shared" si="21"/>
        <v>#VALUE!</v>
      </c>
    </row>
    <row r="135" spans="1:23" x14ac:dyDescent="0.3">
      <c r="A135" t="s">
        <v>45</v>
      </c>
      <c r="B135" t="s">
        <v>54</v>
      </c>
      <c r="C135">
        <v>1</v>
      </c>
      <c r="D135">
        <v>24</v>
      </c>
      <c r="E135" t="s">
        <v>28</v>
      </c>
      <c r="F135">
        <v>0.42730000000000001</v>
      </c>
      <c r="G135" s="1" t="s">
        <v>56</v>
      </c>
      <c r="H135" t="s">
        <v>55</v>
      </c>
      <c r="I135" s="1" t="s">
        <v>56</v>
      </c>
      <c r="J135">
        <f t="shared" si="19"/>
        <v>63.617251162500004</v>
      </c>
      <c r="K135">
        <v>5.31</v>
      </c>
      <c r="M135">
        <f t="shared" si="26"/>
        <v>0</v>
      </c>
      <c r="N135">
        <f t="shared" si="20"/>
        <v>-5.31</v>
      </c>
      <c r="P135" t="s">
        <v>56</v>
      </c>
      <c r="S135" t="e">
        <f t="shared" si="22"/>
        <v>#VALUE!</v>
      </c>
      <c r="T135" t="e">
        <f t="shared" si="23"/>
        <v>#VALUE!</v>
      </c>
      <c r="U135" t="e">
        <f t="shared" si="24"/>
        <v>#VALUE!</v>
      </c>
      <c r="V135" t="e">
        <f t="shared" si="25"/>
        <v>#VALUE!</v>
      </c>
      <c r="W135" t="e">
        <f t="shared" si="21"/>
        <v>#VALUE!</v>
      </c>
    </row>
    <row r="136" spans="1:23" x14ac:dyDescent="0.3">
      <c r="A136" t="s">
        <v>45</v>
      </c>
      <c r="B136" t="s">
        <v>54</v>
      </c>
      <c r="C136">
        <v>1</v>
      </c>
      <c r="D136">
        <v>24</v>
      </c>
      <c r="E136" t="s">
        <v>30</v>
      </c>
      <c r="F136">
        <v>0.43081999999999998</v>
      </c>
      <c r="G136" s="1" t="s">
        <v>56</v>
      </c>
      <c r="H136" t="s">
        <v>55</v>
      </c>
      <c r="I136" s="1" t="s">
        <v>56</v>
      </c>
      <c r="J136">
        <f t="shared" si="19"/>
        <v>63.617251162500004</v>
      </c>
      <c r="K136">
        <v>5.31</v>
      </c>
      <c r="M136">
        <f t="shared" si="26"/>
        <v>0</v>
      </c>
      <c r="N136">
        <f t="shared" si="20"/>
        <v>-5.31</v>
      </c>
      <c r="P136" t="s">
        <v>56</v>
      </c>
      <c r="S136" t="e">
        <f t="shared" si="22"/>
        <v>#VALUE!</v>
      </c>
      <c r="T136" t="e">
        <f t="shared" si="23"/>
        <v>#VALUE!</v>
      </c>
      <c r="U136" t="e">
        <f t="shared" si="24"/>
        <v>#VALUE!</v>
      </c>
      <c r="V136" t="e">
        <f t="shared" si="25"/>
        <v>#VALUE!</v>
      </c>
      <c r="W136" t="e">
        <f t="shared" si="21"/>
        <v>#VALUE!</v>
      </c>
    </row>
    <row r="137" spans="1:23" x14ac:dyDescent="0.3">
      <c r="A137" t="s">
        <v>45</v>
      </c>
      <c r="B137" t="s">
        <v>54</v>
      </c>
      <c r="C137">
        <v>1</v>
      </c>
      <c r="D137">
        <v>24</v>
      </c>
      <c r="E137" t="s">
        <v>31</v>
      </c>
      <c r="F137">
        <v>0.42634</v>
      </c>
      <c r="G137" s="1" t="s">
        <v>56</v>
      </c>
      <c r="H137" t="s">
        <v>55</v>
      </c>
      <c r="I137" s="1" t="s">
        <v>56</v>
      </c>
      <c r="J137">
        <f t="shared" si="19"/>
        <v>63.617251162500004</v>
      </c>
      <c r="K137">
        <v>5.31</v>
      </c>
      <c r="M137">
        <f t="shared" si="26"/>
        <v>0</v>
      </c>
      <c r="N137">
        <f t="shared" si="20"/>
        <v>-5.31</v>
      </c>
      <c r="P137" t="s">
        <v>56</v>
      </c>
      <c r="S137" t="e">
        <f t="shared" si="22"/>
        <v>#VALUE!</v>
      </c>
      <c r="T137" t="e">
        <f t="shared" si="23"/>
        <v>#VALUE!</v>
      </c>
      <c r="U137" t="e">
        <f t="shared" si="24"/>
        <v>#VALUE!</v>
      </c>
      <c r="V137" t="e">
        <f t="shared" si="25"/>
        <v>#VALUE!</v>
      </c>
      <c r="W137" t="e">
        <f t="shared" si="21"/>
        <v>#VALUE!</v>
      </c>
    </row>
    <row r="138" spans="1:23" x14ac:dyDescent="0.3">
      <c r="A138" t="s">
        <v>45</v>
      </c>
      <c r="B138" t="s">
        <v>54</v>
      </c>
      <c r="C138">
        <v>1</v>
      </c>
      <c r="D138">
        <v>48</v>
      </c>
      <c r="E138" t="s">
        <v>28</v>
      </c>
      <c r="F138">
        <v>0.43247000000000002</v>
      </c>
      <c r="G138" s="1" t="s">
        <v>56</v>
      </c>
      <c r="H138" t="s">
        <v>55</v>
      </c>
      <c r="I138" s="1" t="s">
        <v>56</v>
      </c>
      <c r="J138">
        <f t="shared" si="19"/>
        <v>63.617251162500004</v>
      </c>
      <c r="K138">
        <v>5.31</v>
      </c>
      <c r="M138">
        <f t="shared" si="26"/>
        <v>0</v>
      </c>
      <c r="N138">
        <f t="shared" si="20"/>
        <v>-5.31</v>
      </c>
      <c r="P138" t="s">
        <v>56</v>
      </c>
      <c r="S138" t="e">
        <f t="shared" si="22"/>
        <v>#VALUE!</v>
      </c>
      <c r="T138" t="e">
        <f t="shared" si="23"/>
        <v>#VALUE!</v>
      </c>
      <c r="U138" t="e">
        <f t="shared" si="24"/>
        <v>#VALUE!</v>
      </c>
      <c r="V138" t="e">
        <f t="shared" si="25"/>
        <v>#VALUE!</v>
      </c>
      <c r="W138" t="e">
        <f t="shared" si="21"/>
        <v>#VALUE!</v>
      </c>
    </row>
    <row r="139" spans="1:23" x14ac:dyDescent="0.3">
      <c r="A139" t="s">
        <v>45</v>
      </c>
      <c r="B139" t="s">
        <v>54</v>
      </c>
      <c r="C139">
        <v>1</v>
      </c>
      <c r="D139">
        <v>48</v>
      </c>
      <c r="E139" t="s">
        <v>30</v>
      </c>
      <c r="F139">
        <v>0.42890499999999998</v>
      </c>
      <c r="G139" s="1" t="s">
        <v>56</v>
      </c>
      <c r="H139" t="s">
        <v>55</v>
      </c>
      <c r="I139" s="1" t="s">
        <v>56</v>
      </c>
      <c r="J139">
        <f t="shared" si="19"/>
        <v>63.617251162500004</v>
      </c>
      <c r="K139">
        <v>5.31</v>
      </c>
      <c r="M139">
        <f t="shared" si="26"/>
        <v>0</v>
      </c>
      <c r="N139">
        <f t="shared" si="20"/>
        <v>-5.31</v>
      </c>
      <c r="P139" t="s">
        <v>56</v>
      </c>
      <c r="S139" t="e">
        <f t="shared" si="22"/>
        <v>#VALUE!</v>
      </c>
      <c r="T139" t="e">
        <f t="shared" si="23"/>
        <v>#VALUE!</v>
      </c>
      <c r="U139" t="e">
        <f t="shared" si="24"/>
        <v>#VALUE!</v>
      </c>
      <c r="V139" t="e">
        <f t="shared" si="25"/>
        <v>#VALUE!</v>
      </c>
      <c r="W139" t="e">
        <f t="shared" si="21"/>
        <v>#VALUE!</v>
      </c>
    </row>
    <row r="140" spans="1:23" x14ac:dyDescent="0.3">
      <c r="A140" t="s">
        <v>45</v>
      </c>
      <c r="B140" t="s">
        <v>54</v>
      </c>
      <c r="C140">
        <v>1</v>
      </c>
      <c r="D140">
        <v>48</v>
      </c>
      <c r="E140" t="s">
        <v>31</v>
      </c>
      <c r="F140">
        <v>0.43125999999999998</v>
      </c>
      <c r="G140" s="1" t="s">
        <v>56</v>
      </c>
      <c r="H140" t="s">
        <v>55</v>
      </c>
      <c r="I140" s="1" t="s">
        <v>56</v>
      </c>
      <c r="J140">
        <f t="shared" si="19"/>
        <v>63.617251162500004</v>
      </c>
      <c r="K140">
        <v>5.31</v>
      </c>
      <c r="M140">
        <f t="shared" si="26"/>
        <v>0</v>
      </c>
      <c r="N140">
        <f t="shared" si="20"/>
        <v>-5.31</v>
      </c>
      <c r="P140" t="s">
        <v>56</v>
      </c>
      <c r="S140" t="e">
        <f t="shared" si="22"/>
        <v>#VALUE!</v>
      </c>
      <c r="T140" t="e">
        <f t="shared" si="23"/>
        <v>#VALUE!</v>
      </c>
      <c r="U140" t="e">
        <f t="shared" si="24"/>
        <v>#VALUE!</v>
      </c>
      <c r="V140" t="e">
        <f t="shared" si="25"/>
        <v>#VALUE!</v>
      </c>
      <c r="W140" t="e">
        <f t="shared" si="21"/>
        <v>#VALUE!</v>
      </c>
    </row>
    <row r="141" spans="1:23" x14ac:dyDescent="0.3">
      <c r="A141" t="s">
        <v>45</v>
      </c>
      <c r="B141" t="s">
        <v>54</v>
      </c>
      <c r="C141">
        <v>2</v>
      </c>
      <c r="D141">
        <v>0.5</v>
      </c>
      <c r="E141" t="s">
        <v>28</v>
      </c>
      <c r="F141">
        <v>0.42487999999999998</v>
      </c>
      <c r="G141" s="1">
        <v>45848</v>
      </c>
      <c r="H141">
        <v>6.65062</v>
      </c>
      <c r="I141" s="1">
        <v>45876</v>
      </c>
      <c r="J141">
        <f t="shared" si="19"/>
        <v>63.617251162500004</v>
      </c>
      <c r="K141">
        <v>5.31</v>
      </c>
      <c r="M141">
        <f t="shared" si="26"/>
        <v>0</v>
      </c>
      <c r="N141">
        <f t="shared" si="20"/>
        <v>-5.31</v>
      </c>
      <c r="P141">
        <v>6.6661900000000003</v>
      </c>
      <c r="S141">
        <f t="shared" si="22"/>
        <v>1.5570000000000306E-2</v>
      </c>
      <c r="T141">
        <f t="shared" si="23"/>
        <v>-6.65062</v>
      </c>
      <c r="U141">
        <f t="shared" si="24"/>
        <v>28</v>
      </c>
      <c r="V141">
        <f t="shared" si="25"/>
        <v>-0.23752214285714285</v>
      </c>
      <c r="W141">
        <f t="shared" si="21"/>
        <v>-2375.2214285714285</v>
      </c>
    </row>
    <row r="142" spans="1:23" x14ac:dyDescent="0.3">
      <c r="A142" t="s">
        <v>45</v>
      </c>
      <c r="B142" t="s">
        <v>54</v>
      </c>
      <c r="C142">
        <v>2</v>
      </c>
      <c r="D142">
        <v>0.5</v>
      </c>
      <c r="E142" t="s">
        <v>30</v>
      </c>
      <c r="F142">
        <v>0.42649999999999999</v>
      </c>
      <c r="G142" s="1">
        <v>45848</v>
      </c>
      <c r="H142">
        <v>6.6760099999999998</v>
      </c>
      <c r="I142" s="1">
        <v>45876</v>
      </c>
      <c r="J142">
        <f t="shared" si="19"/>
        <v>63.617251162500004</v>
      </c>
      <c r="K142">
        <v>5.31</v>
      </c>
      <c r="M142">
        <f t="shared" si="26"/>
        <v>0</v>
      </c>
      <c r="N142">
        <f t="shared" si="20"/>
        <v>-5.31</v>
      </c>
      <c r="P142">
        <v>6.9000500000000002</v>
      </c>
      <c r="S142">
        <f t="shared" si="22"/>
        <v>0.22404000000000046</v>
      </c>
      <c r="T142">
        <f t="shared" si="23"/>
        <v>-6.6760099999999998</v>
      </c>
      <c r="U142">
        <f t="shared" si="24"/>
        <v>28</v>
      </c>
      <c r="V142">
        <f t="shared" si="25"/>
        <v>-0.23842892857142856</v>
      </c>
      <c r="W142">
        <f t="shared" si="21"/>
        <v>-2384.2892857142856</v>
      </c>
    </row>
    <row r="143" spans="1:23" x14ac:dyDescent="0.3">
      <c r="A143" t="s">
        <v>45</v>
      </c>
      <c r="B143" t="s">
        <v>54</v>
      </c>
      <c r="C143">
        <v>2</v>
      </c>
      <c r="D143">
        <v>0.5</v>
      </c>
      <c r="E143" t="s">
        <v>31</v>
      </c>
      <c r="F143">
        <v>0.43226999999999999</v>
      </c>
      <c r="G143" s="1">
        <v>45848</v>
      </c>
      <c r="H143">
        <v>6.6262600000000003</v>
      </c>
      <c r="I143" s="1">
        <v>45876</v>
      </c>
      <c r="J143">
        <f t="shared" si="19"/>
        <v>63.617251162500004</v>
      </c>
      <c r="K143">
        <v>5.31</v>
      </c>
      <c r="M143">
        <f t="shared" si="26"/>
        <v>0</v>
      </c>
      <c r="N143">
        <f t="shared" si="20"/>
        <v>-5.31</v>
      </c>
      <c r="P143">
        <v>6.8255600000000003</v>
      </c>
      <c r="S143">
        <f t="shared" si="22"/>
        <v>0.19930000000000003</v>
      </c>
      <c r="T143">
        <f t="shared" si="23"/>
        <v>-6.6262600000000003</v>
      </c>
      <c r="U143">
        <f t="shared" si="24"/>
        <v>28</v>
      </c>
      <c r="V143">
        <f t="shared" si="25"/>
        <v>-0.23665214285714287</v>
      </c>
      <c r="W143">
        <f t="shared" si="21"/>
        <v>-2366.5214285714287</v>
      </c>
    </row>
    <row r="144" spans="1:23" x14ac:dyDescent="0.3">
      <c r="A144" t="s">
        <v>45</v>
      </c>
      <c r="B144" t="s">
        <v>54</v>
      </c>
      <c r="C144">
        <v>2</v>
      </c>
      <c r="D144">
        <v>2</v>
      </c>
      <c r="E144" t="s">
        <v>28</v>
      </c>
      <c r="F144">
        <v>0.42868000000000001</v>
      </c>
      <c r="G144" s="1">
        <v>45848</v>
      </c>
      <c r="H144">
        <v>6.6493599999999997</v>
      </c>
      <c r="I144" s="1">
        <v>45876</v>
      </c>
      <c r="J144">
        <f t="shared" si="19"/>
        <v>63.617251162500004</v>
      </c>
      <c r="K144">
        <v>5.31</v>
      </c>
      <c r="M144">
        <f t="shared" si="26"/>
        <v>0</v>
      </c>
      <c r="N144">
        <f t="shared" si="20"/>
        <v>-5.31</v>
      </c>
      <c r="P144">
        <v>6.8945499999999997</v>
      </c>
      <c r="S144">
        <f t="shared" si="22"/>
        <v>0.24519000000000002</v>
      </c>
      <c r="T144">
        <f t="shared" si="23"/>
        <v>-6.6493599999999997</v>
      </c>
      <c r="U144">
        <f t="shared" si="24"/>
        <v>28</v>
      </c>
      <c r="V144">
        <f t="shared" si="25"/>
        <v>-0.23747714285714286</v>
      </c>
      <c r="W144">
        <f t="shared" si="21"/>
        <v>-2374.7714285714287</v>
      </c>
    </row>
    <row r="145" spans="1:29" x14ac:dyDescent="0.3">
      <c r="A145" t="s">
        <v>45</v>
      </c>
      <c r="B145" t="s">
        <v>54</v>
      </c>
      <c r="C145">
        <v>2</v>
      </c>
      <c r="D145">
        <v>2</v>
      </c>
      <c r="E145" t="s">
        <v>30</v>
      </c>
      <c r="F145">
        <v>0.43171999999999999</v>
      </c>
      <c r="G145" s="1">
        <v>45848</v>
      </c>
      <c r="H145">
        <v>6.6877500000000003</v>
      </c>
      <c r="I145" s="1">
        <v>45876</v>
      </c>
      <c r="J145">
        <f t="shared" si="19"/>
        <v>63.617251162500004</v>
      </c>
      <c r="K145">
        <v>5.31</v>
      </c>
      <c r="M145">
        <f t="shared" si="26"/>
        <v>0</v>
      </c>
      <c r="N145">
        <f t="shared" si="20"/>
        <v>-5.31</v>
      </c>
      <c r="P145">
        <v>6.7622400000000003</v>
      </c>
      <c r="S145">
        <f t="shared" si="22"/>
        <v>7.4489999999999945E-2</v>
      </c>
      <c r="T145">
        <f t="shared" si="23"/>
        <v>-6.6877500000000003</v>
      </c>
      <c r="U145">
        <f t="shared" si="24"/>
        <v>28</v>
      </c>
      <c r="V145">
        <f t="shared" si="25"/>
        <v>-0.23884821428571429</v>
      </c>
      <c r="W145">
        <f t="shared" si="21"/>
        <v>-2388.4821428571427</v>
      </c>
    </row>
    <row r="146" spans="1:29" x14ac:dyDescent="0.3">
      <c r="A146" t="s">
        <v>45</v>
      </c>
      <c r="B146" t="s">
        <v>54</v>
      </c>
      <c r="C146">
        <v>2</v>
      </c>
      <c r="D146">
        <v>2</v>
      </c>
      <c r="E146" t="s">
        <v>31</v>
      </c>
      <c r="F146">
        <v>0.42643999999999999</v>
      </c>
      <c r="G146" s="1">
        <v>45848</v>
      </c>
      <c r="H146">
        <v>6.6358699999999997</v>
      </c>
      <c r="I146" s="1">
        <v>45876</v>
      </c>
      <c r="J146">
        <f t="shared" si="19"/>
        <v>63.617251162500004</v>
      </c>
      <c r="K146">
        <v>5.31</v>
      </c>
      <c r="M146">
        <f t="shared" si="26"/>
        <v>0</v>
      </c>
      <c r="N146">
        <f t="shared" si="20"/>
        <v>-5.31</v>
      </c>
      <c r="P146">
        <v>7.3491400000000002</v>
      </c>
      <c r="S146">
        <f t="shared" si="22"/>
        <v>0.71327000000000051</v>
      </c>
      <c r="T146">
        <f t="shared" si="23"/>
        <v>-6.6358699999999997</v>
      </c>
      <c r="U146">
        <f t="shared" si="24"/>
        <v>28</v>
      </c>
      <c r="V146">
        <f t="shared" si="25"/>
        <v>-0.23699535714285713</v>
      </c>
      <c r="W146">
        <f t="shared" si="21"/>
        <v>-2369.9535714285712</v>
      </c>
    </row>
    <row r="147" spans="1:29" x14ac:dyDescent="0.3">
      <c r="A147" t="s">
        <v>45</v>
      </c>
      <c r="B147" t="s">
        <v>54</v>
      </c>
      <c r="C147">
        <v>2</v>
      </c>
      <c r="D147">
        <v>6</v>
      </c>
      <c r="E147" t="s">
        <v>28</v>
      </c>
      <c r="F147">
        <v>0.43197999999999998</v>
      </c>
      <c r="G147" s="1">
        <v>45848</v>
      </c>
      <c r="H147">
        <v>6.6406499999999999</v>
      </c>
      <c r="I147" s="1">
        <v>45876</v>
      </c>
      <c r="J147">
        <f t="shared" si="19"/>
        <v>63.617251162500004</v>
      </c>
      <c r="K147">
        <v>5.31</v>
      </c>
      <c r="M147">
        <f t="shared" si="26"/>
        <v>0</v>
      </c>
      <c r="N147">
        <f t="shared" si="20"/>
        <v>-5.31</v>
      </c>
      <c r="P147">
        <v>7.5896600000000003</v>
      </c>
      <c r="S147">
        <f t="shared" si="22"/>
        <v>0.94901000000000035</v>
      </c>
      <c r="T147">
        <f t="shared" si="23"/>
        <v>-6.6406499999999999</v>
      </c>
      <c r="U147">
        <f t="shared" si="24"/>
        <v>28</v>
      </c>
      <c r="V147">
        <f t="shared" si="25"/>
        <v>-0.23716607142857143</v>
      </c>
      <c r="W147">
        <f t="shared" si="21"/>
        <v>-2371.6607142857142</v>
      </c>
    </row>
    <row r="148" spans="1:29" x14ac:dyDescent="0.3">
      <c r="A148" t="s">
        <v>45</v>
      </c>
      <c r="B148" t="s">
        <v>54</v>
      </c>
      <c r="C148">
        <v>2</v>
      </c>
      <c r="D148">
        <v>6</v>
      </c>
      <c r="E148" t="s">
        <v>30</v>
      </c>
      <c r="F148">
        <v>0.42608000000000001</v>
      </c>
      <c r="G148" s="1">
        <v>45848</v>
      </c>
      <c r="H148">
        <v>6.6155799999999996</v>
      </c>
      <c r="I148" s="1">
        <v>45876</v>
      </c>
      <c r="J148">
        <f t="shared" si="19"/>
        <v>63.617251162500004</v>
      </c>
      <c r="K148">
        <v>5.31</v>
      </c>
      <c r="M148">
        <f t="shared" si="26"/>
        <v>0</v>
      </c>
      <c r="N148">
        <f t="shared" si="20"/>
        <v>-5.31</v>
      </c>
      <c r="P148">
        <v>7.3523899999999998</v>
      </c>
      <c r="S148">
        <f t="shared" si="22"/>
        <v>0.73681000000000019</v>
      </c>
      <c r="T148">
        <f t="shared" si="23"/>
        <v>-6.6155799999999996</v>
      </c>
      <c r="U148">
        <f t="shared" si="24"/>
        <v>28</v>
      </c>
      <c r="V148">
        <f t="shared" si="25"/>
        <v>-0.23627071428571428</v>
      </c>
      <c r="W148">
        <f t="shared" si="21"/>
        <v>-2362.7071428571426</v>
      </c>
    </row>
    <row r="149" spans="1:29" x14ac:dyDescent="0.3">
      <c r="A149" t="s">
        <v>45</v>
      </c>
      <c r="B149" t="s">
        <v>54</v>
      </c>
      <c r="C149">
        <v>2</v>
      </c>
      <c r="D149">
        <v>6</v>
      </c>
      <c r="E149" t="s">
        <v>31</v>
      </c>
      <c r="F149">
        <v>0.42168</v>
      </c>
      <c r="G149" s="1">
        <v>45848</v>
      </c>
      <c r="H149">
        <v>6.6060299999999996</v>
      </c>
      <c r="I149" s="1">
        <v>45876</v>
      </c>
      <c r="J149">
        <f t="shared" si="19"/>
        <v>63.617251162500004</v>
      </c>
      <c r="K149">
        <v>5.31</v>
      </c>
      <c r="M149">
        <f t="shared" si="26"/>
        <v>0</v>
      </c>
      <c r="N149">
        <f t="shared" si="20"/>
        <v>-5.31</v>
      </c>
      <c r="P149">
        <v>7.5045400000000004</v>
      </c>
      <c r="S149">
        <f t="shared" si="22"/>
        <v>0.89851000000000081</v>
      </c>
      <c r="T149">
        <f t="shared" si="23"/>
        <v>-6.6060299999999996</v>
      </c>
      <c r="U149">
        <f t="shared" si="24"/>
        <v>28</v>
      </c>
      <c r="V149">
        <f t="shared" si="25"/>
        <v>-0.23592964285714285</v>
      </c>
      <c r="W149">
        <f t="shared" si="21"/>
        <v>-2359.2964285714284</v>
      </c>
    </row>
    <row r="150" spans="1:29" x14ac:dyDescent="0.3">
      <c r="A150" t="s">
        <v>45</v>
      </c>
      <c r="B150" t="s">
        <v>54</v>
      </c>
      <c r="C150">
        <v>2</v>
      </c>
      <c r="D150">
        <v>12</v>
      </c>
      <c r="E150" t="s">
        <v>28</v>
      </c>
      <c r="F150">
        <v>0.433</v>
      </c>
      <c r="G150" s="1">
        <v>45848</v>
      </c>
      <c r="H150">
        <v>6.6974</v>
      </c>
      <c r="I150" s="1">
        <v>45876</v>
      </c>
      <c r="J150">
        <f t="shared" si="19"/>
        <v>63.617251162500004</v>
      </c>
      <c r="K150">
        <v>5.31</v>
      </c>
      <c r="M150">
        <f t="shared" si="26"/>
        <v>0</v>
      </c>
      <c r="N150">
        <f t="shared" si="20"/>
        <v>-5.31</v>
      </c>
      <c r="P150">
        <v>7.5754999999999999</v>
      </c>
      <c r="S150">
        <f t="shared" si="22"/>
        <v>0.87809999999999988</v>
      </c>
      <c r="T150">
        <f t="shared" si="23"/>
        <v>-6.6974</v>
      </c>
      <c r="U150">
        <f t="shared" si="24"/>
        <v>28</v>
      </c>
      <c r="V150">
        <f t="shared" si="25"/>
        <v>-0.23919285714285715</v>
      </c>
      <c r="W150">
        <f t="shared" si="21"/>
        <v>-2391.9285714285716</v>
      </c>
    </row>
    <row r="151" spans="1:29" x14ac:dyDescent="0.3">
      <c r="A151" t="s">
        <v>45</v>
      </c>
      <c r="B151" t="s">
        <v>54</v>
      </c>
      <c r="C151">
        <v>2</v>
      </c>
      <c r="D151">
        <v>12</v>
      </c>
      <c r="E151" t="s">
        <v>30</v>
      </c>
      <c r="F151">
        <v>0.42180000000000001</v>
      </c>
      <c r="G151" s="1">
        <v>45848</v>
      </c>
      <c r="H151">
        <v>6.6374000000000004</v>
      </c>
      <c r="I151" s="1">
        <v>45876</v>
      </c>
      <c r="J151">
        <f t="shared" si="19"/>
        <v>63.617251162500004</v>
      </c>
      <c r="K151">
        <v>5.31</v>
      </c>
      <c r="M151">
        <f t="shared" si="26"/>
        <v>0</v>
      </c>
      <c r="N151">
        <f t="shared" si="20"/>
        <v>-5.31</v>
      </c>
      <c r="P151">
        <v>7.56386</v>
      </c>
      <c r="S151">
        <f t="shared" si="22"/>
        <v>0.92645999999999962</v>
      </c>
      <c r="T151">
        <f t="shared" si="23"/>
        <v>-6.6374000000000004</v>
      </c>
      <c r="U151">
        <f t="shared" si="24"/>
        <v>28</v>
      </c>
      <c r="V151">
        <f t="shared" si="25"/>
        <v>-0.23705000000000001</v>
      </c>
      <c r="W151">
        <f t="shared" si="21"/>
        <v>-2370.5</v>
      </c>
    </row>
    <row r="152" spans="1:29" x14ac:dyDescent="0.3">
      <c r="A152" t="s">
        <v>45</v>
      </c>
      <c r="B152" t="s">
        <v>54</v>
      </c>
      <c r="C152">
        <v>2</v>
      </c>
      <c r="D152">
        <v>12</v>
      </c>
      <c r="E152" t="s">
        <v>31</v>
      </c>
      <c r="F152">
        <v>0.42931000000000002</v>
      </c>
      <c r="G152" s="1">
        <v>45848</v>
      </c>
      <c r="H152">
        <v>6.6511300000000002</v>
      </c>
      <c r="I152" s="1">
        <v>45876</v>
      </c>
      <c r="J152">
        <f t="shared" si="19"/>
        <v>63.617251162500004</v>
      </c>
      <c r="K152">
        <v>5.31</v>
      </c>
      <c r="M152">
        <f t="shared" si="26"/>
        <v>0</v>
      </c>
      <c r="N152">
        <f t="shared" si="20"/>
        <v>-5.31</v>
      </c>
      <c r="P152">
        <v>7.4553500000000001</v>
      </c>
      <c r="S152">
        <f t="shared" si="22"/>
        <v>0.80421999999999993</v>
      </c>
      <c r="T152">
        <f t="shared" si="23"/>
        <v>-6.6511300000000002</v>
      </c>
      <c r="U152">
        <f t="shared" si="24"/>
        <v>28</v>
      </c>
      <c r="V152">
        <f t="shared" si="25"/>
        <v>-0.23754035714285715</v>
      </c>
      <c r="W152">
        <f t="shared" si="21"/>
        <v>-2375.4035714285715</v>
      </c>
    </row>
    <row r="153" spans="1:29" x14ac:dyDescent="0.3">
      <c r="A153" t="s">
        <v>45</v>
      </c>
      <c r="B153" t="s">
        <v>54</v>
      </c>
      <c r="C153">
        <v>2</v>
      </c>
      <c r="D153">
        <v>24</v>
      </c>
      <c r="E153" t="s">
        <v>28</v>
      </c>
      <c r="F153">
        <v>0.42086000000000001</v>
      </c>
      <c r="G153" s="1">
        <v>45848</v>
      </c>
      <c r="H153">
        <v>6.62479</v>
      </c>
      <c r="I153" s="1">
        <v>45876</v>
      </c>
      <c r="J153">
        <f t="shared" si="19"/>
        <v>63.617251162500004</v>
      </c>
      <c r="K153">
        <v>5.31</v>
      </c>
      <c r="M153">
        <f t="shared" si="26"/>
        <v>0</v>
      </c>
      <c r="N153">
        <f t="shared" si="20"/>
        <v>-5.31</v>
      </c>
      <c r="P153">
        <v>8.3043099999999992</v>
      </c>
      <c r="S153">
        <f t="shared" si="22"/>
        <v>1.6795199999999992</v>
      </c>
      <c r="T153">
        <f t="shared" si="23"/>
        <v>-6.62479</v>
      </c>
      <c r="U153">
        <f t="shared" si="24"/>
        <v>28</v>
      </c>
      <c r="V153">
        <f t="shared" si="25"/>
        <v>-0.23659964285714286</v>
      </c>
      <c r="W153">
        <f t="shared" si="21"/>
        <v>-2365.9964285714286</v>
      </c>
    </row>
    <row r="154" spans="1:29" x14ac:dyDescent="0.3">
      <c r="A154" t="s">
        <v>45</v>
      </c>
      <c r="B154" t="s">
        <v>54</v>
      </c>
      <c r="C154">
        <v>2</v>
      </c>
      <c r="D154">
        <v>24</v>
      </c>
      <c r="E154" t="s">
        <v>30</v>
      </c>
      <c r="F154">
        <v>0.43197000000000002</v>
      </c>
      <c r="G154" s="1">
        <v>45848</v>
      </c>
      <c r="H154">
        <v>6.6175899999999999</v>
      </c>
      <c r="I154" s="1">
        <v>45876</v>
      </c>
      <c r="J154">
        <f t="shared" si="19"/>
        <v>63.617251162500004</v>
      </c>
      <c r="K154">
        <v>5.31</v>
      </c>
      <c r="M154">
        <f t="shared" si="26"/>
        <v>0</v>
      </c>
      <c r="N154">
        <f t="shared" si="20"/>
        <v>-5.31</v>
      </c>
      <c r="P154">
        <v>8.1971100000000003</v>
      </c>
      <c r="S154">
        <f t="shared" si="22"/>
        <v>1.5795200000000005</v>
      </c>
      <c r="T154">
        <f t="shared" si="23"/>
        <v>-6.6175899999999999</v>
      </c>
      <c r="U154">
        <f t="shared" si="24"/>
        <v>28</v>
      </c>
      <c r="V154">
        <f t="shared" si="25"/>
        <v>-0.23634249999999998</v>
      </c>
      <c r="W154">
        <f t="shared" si="21"/>
        <v>-2363.4249999999997</v>
      </c>
    </row>
    <row r="155" spans="1:29" x14ac:dyDescent="0.3">
      <c r="A155" t="s">
        <v>45</v>
      </c>
      <c r="B155" t="s">
        <v>54</v>
      </c>
      <c r="C155">
        <v>2</v>
      </c>
      <c r="D155">
        <v>24</v>
      </c>
      <c r="E155" t="s">
        <v>31</v>
      </c>
      <c r="F155">
        <v>0.42453999999999997</v>
      </c>
      <c r="G155" s="1">
        <v>45848</v>
      </c>
      <c r="H155">
        <v>6.6701899999999998</v>
      </c>
      <c r="I155" s="1">
        <v>45876</v>
      </c>
      <c r="J155">
        <f t="shared" si="19"/>
        <v>63.617251162500004</v>
      </c>
      <c r="K155">
        <v>5.31</v>
      </c>
      <c r="M155">
        <f t="shared" si="26"/>
        <v>0</v>
      </c>
      <c r="N155">
        <f t="shared" si="20"/>
        <v>-5.31</v>
      </c>
      <c r="P155">
        <v>8.5128799999999991</v>
      </c>
      <c r="S155">
        <f t="shared" si="22"/>
        <v>1.8426899999999993</v>
      </c>
      <c r="T155">
        <f t="shared" si="23"/>
        <v>-6.6701899999999998</v>
      </c>
      <c r="U155">
        <f t="shared" si="24"/>
        <v>28</v>
      </c>
      <c r="V155">
        <f t="shared" si="25"/>
        <v>-0.23822107142857143</v>
      </c>
      <c r="W155">
        <f t="shared" si="21"/>
        <v>-2382.2107142857144</v>
      </c>
    </row>
    <row r="156" spans="1:29" x14ac:dyDescent="0.3">
      <c r="A156" t="s">
        <v>45</v>
      </c>
      <c r="B156" t="s">
        <v>54</v>
      </c>
      <c r="C156">
        <v>2</v>
      </c>
      <c r="D156">
        <v>48</v>
      </c>
      <c r="E156" t="s">
        <v>28</v>
      </c>
      <c r="F156">
        <v>0.42446</v>
      </c>
      <c r="G156" s="1">
        <v>45848</v>
      </c>
      <c r="H156">
        <v>6.5580100000000003</v>
      </c>
      <c r="I156" s="1">
        <v>45876</v>
      </c>
      <c r="J156">
        <f t="shared" si="19"/>
        <v>63.617251162500004</v>
      </c>
      <c r="K156">
        <v>5.31</v>
      </c>
      <c r="M156">
        <f t="shared" si="26"/>
        <v>0</v>
      </c>
      <c r="N156">
        <f t="shared" si="20"/>
        <v>-5.31</v>
      </c>
      <c r="P156">
        <v>7.8449600000000004</v>
      </c>
      <c r="S156">
        <f t="shared" si="22"/>
        <v>1.28695</v>
      </c>
      <c r="T156">
        <f t="shared" si="23"/>
        <v>-6.5580100000000003</v>
      </c>
      <c r="U156">
        <f t="shared" si="24"/>
        <v>28</v>
      </c>
      <c r="V156">
        <f t="shared" si="25"/>
        <v>-0.23421464285714286</v>
      </c>
      <c r="W156">
        <f t="shared" si="21"/>
        <v>-2342.1464285714287</v>
      </c>
    </row>
    <row r="157" spans="1:29" x14ac:dyDescent="0.3">
      <c r="A157" t="s">
        <v>45</v>
      </c>
      <c r="B157" t="s">
        <v>54</v>
      </c>
      <c r="C157">
        <v>2</v>
      </c>
      <c r="D157">
        <v>48</v>
      </c>
      <c r="E157" t="s">
        <v>30</v>
      </c>
      <c r="F157">
        <v>0.43159999999999998</v>
      </c>
      <c r="G157" s="1">
        <v>45848</v>
      </c>
      <c r="H157">
        <v>6.6289600000000002</v>
      </c>
      <c r="I157" s="1">
        <v>45876</v>
      </c>
      <c r="J157">
        <f t="shared" si="19"/>
        <v>63.617251162500004</v>
      </c>
      <c r="K157">
        <v>5.31</v>
      </c>
      <c r="M157">
        <f t="shared" si="26"/>
        <v>0</v>
      </c>
      <c r="N157">
        <f t="shared" si="20"/>
        <v>-5.31</v>
      </c>
      <c r="P157">
        <v>7.3991699999999998</v>
      </c>
      <c r="S157">
        <f t="shared" si="22"/>
        <v>0.77020999999999962</v>
      </c>
      <c r="T157">
        <f t="shared" si="23"/>
        <v>-6.6289600000000002</v>
      </c>
      <c r="U157">
        <f t="shared" si="24"/>
        <v>28</v>
      </c>
      <c r="V157">
        <f t="shared" si="25"/>
        <v>-0.23674857142857145</v>
      </c>
      <c r="W157">
        <f t="shared" si="21"/>
        <v>-2367.4857142857145</v>
      </c>
    </row>
    <row r="158" spans="1:29" x14ac:dyDescent="0.3">
      <c r="A158" t="s">
        <v>45</v>
      </c>
      <c r="B158" t="s">
        <v>54</v>
      </c>
      <c r="C158">
        <v>2</v>
      </c>
      <c r="D158">
        <v>48</v>
      </c>
      <c r="E158" t="s">
        <v>31</v>
      </c>
      <c r="F158">
        <v>0.42410999999999999</v>
      </c>
      <c r="G158" s="1">
        <v>45848</v>
      </c>
      <c r="H158">
        <v>6.6048999999999998</v>
      </c>
      <c r="I158" s="1">
        <v>45876</v>
      </c>
      <c r="J158">
        <f t="shared" si="19"/>
        <v>63.617251162500004</v>
      </c>
      <c r="K158">
        <v>5.31</v>
      </c>
      <c r="M158">
        <f t="shared" si="26"/>
        <v>0</v>
      </c>
      <c r="N158">
        <f t="shared" si="20"/>
        <v>-5.31</v>
      </c>
      <c r="P158">
        <v>8.0095100000000006</v>
      </c>
      <c r="S158">
        <f t="shared" si="22"/>
        <v>1.4046100000000008</v>
      </c>
      <c r="T158">
        <f t="shared" si="23"/>
        <v>-6.6048999999999998</v>
      </c>
      <c r="U158">
        <f t="shared" si="24"/>
        <v>28</v>
      </c>
      <c r="V158">
        <f t="shared" si="25"/>
        <v>-0.23588928571428572</v>
      </c>
      <c r="W158">
        <f t="shared" si="21"/>
        <v>-2358.8928571428573</v>
      </c>
      <c r="AC158" t="s">
        <v>243</v>
      </c>
    </row>
    <row r="159" spans="1:29" x14ac:dyDescent="0.3">
      <c r="A159" t="s">
        <v>45</v>
      </c>
      <c r="B159" t="s">
        <v>54</v>
      </c>
      <c r="C159">
        <v>2</v>
      </c>
      <c r="E159" t="s">
        <v>36</v>
      </c>
      <c r="F159">
        <v>0.43120999999999998</v>
      </c>
      <c r="G159" t="s">
        <v>56</v>
      </c>
      <c r="H159">
        <v>6.5839999999999996</v>
      </c>
      <c r="I159" t="s">
        <v>56</v>
      </c>
      <c r="J159">
        <f t="shared" si="19"/>
        <v>63.617251162500004</v>
      </c>
      <c r="K159">
        <v>5.31</v>
      </c>
      <c r="M159">
        <f t="shared" si="26"/>
        <v>0</v>
      </c>
      <c r="N159">
        <f t="shared" si="20"/>
        <v>-5.31</v>
      </c>
      <c r="S159">
        <f t="shared" si="22"/>
        <v>-6.5839999999999996</v>
      </c>
      <c r="T159">
        <f t="shared" si="23"/>
        <v>-6.5839999999999996</v>
      </c>
      <c r="U159" t="e">
        <f t="shared" si="24"/>
        <v>#VALUE!</v>
      </c>
      <c r="V159" t="e">
        <f t="shared" si="25"/>
        <v>#VALUE!</v>
      </c>
      <c r="W159" t="e">
        <f t="shared" si="21"/>
        <v>#VALUE!</v>
      </c>
    </row>
    <row r="160" spans="1:29" x14ac:dyDescent="0.3">
      <c r="A160" t="s">
        <v>45</v>
      </c>
      <c r="B160" t="s">
        <v>54</v>
      </c>
      <c r="C160">
        <v>2</v>
      </c>
      <c r="E160" t="s">
        <v>39</v>
      </c>
      <c r="F160">
        <v>0.42387000000000002</v>
      </c>
      <c r="G160" t="s">
        <v>56</v>
      </c>
      <c r="H160">
        <v>6.5652699999999999</v>
      </c>
      <c r="I160" t="s">
        <v>56</v>
      </c>
      <c r="J160">
        <f t="shared" si="19"/>
        <v>63.617251162500004</v>
      </c>
      <c r="K160">
        <v>5.31</v>
      </c>
      <c r="M160">
        <f t="shared" si="26"/>
        <v>0</v>
      </c>
      <c r="N160">
        <f t="shared" si="20"/>
        <v>-5.31</v>
      </c>
      <c r="S160">
        <f t="shared" si="22"/>
        <v>-6.5652699999999999</v>
      </c>
      <c r="T160">
        <f t="shared" si="23"/>
        <v>-6.5652699999999999</v>
      </c>
      <c r="U160" t="e">
        <f t="shared" si="24"/>
        <v>#VALUE!</v>
      </c>
      <c r="V160" t="e">
        <f t="shared" si="25"/>
        <v>#VALUE!</v>
      </c>
      <c r="W160" t="e">
        <f t="shared" si="21"/>
        <v>#VALUE!</v>
      </c>
    </row>
    <row r="161" spans="1:29" x14ac:dyDescent="0.3">
      <c r="A161" t="s">
        <v>45</v>
      </c>
      <c r="B161" t="s">
        <v>54</v>
      </c>
      <c r="C161">
        <v>2</v>
      </c>
      <c r="E161" t="s">
        <v>41</v>
      </c>
      <c r="F161">
        <v>0.43196000000000001</v>
      </c>
      <c r="G161" t="s">
        <v>56</v>
      </c>
      <c r="H161">
        <v>6.6211799999999998</v>
      </c>
      <c r="I161" t="s">
        <v>56</v>
      </c>
      <c r="J161">
        <f t="shared" si="19"/>
        <v>63.617251162500004</v>
      </c>
      <c r="K161">
        <v>5.31</v>
      </c>
      <c r="M161">
        <f t="shared" si="26"/>
        <v>0</v>
      </c>
      <c r="N161">
        <f t="shared" si="20"/>
        <v>-5.31</v>
      </c>
      <c r="S161">
        <f t="shared" si="22"/>
        <v>-6.6211799999999998</v>
      </c>
      <c r="T161">
        <f t="shared" si="23"/>
        <v>-6.6211799999999998</v>
      </c>
      <c r="U161" t="e">
        <f t="shared" si="24"/>
        <v>#VALUE!</v>
      </c>
      <c r="V161" t="e">
        <f t="shared" si="25"/>
        <v>#VALUE!</v>
      </c>
      <c r="W161" t="e">
        <f t="shared" si="21"/>
        <v>#VALUE!</v>
      </c>
    </row>
    <row r="162" spans="1:29" x14ac:dyDescent="0.3">
      <c r="A162" t="s">
        <v>45</v>
      </c>
      <c r="B162" t="s">
        <v>54</v>
      </c>
      <c r="C162">
        <v>2</v>
      </c>
      <c r="E162" t="s">
        <v>43</v>
      </c>
      <c r="F162">
        <v>0.42092000000000002</v>
      </c>
      <c r="G162" t="s">
        <v>56</v>
      </c>
      <c r="H162">
        <v>6.6698199999999996</v>
      </c>
      <c r="I162" t="s">
        <v>56</v>
      </c>
      <c r="J162">
        <f t="shared" si="19"/>
        <v>63.617251162500004</v>
      </c>
      <c r="K162">
        <v>5.31</v>
      </c>
      <c r="M162">
        <f t="shared" si="26"/>
        <v>0</v>
      </c>
      <c r="N162">
        <f t="shared" si="20"/>
        <v>-5.31</v>
      </c>
      <c r="S162">
        <f t="shared" si="22"/>
        <v>-6.6698199999999996</v>
      </c>
      <c r="T162">
        <f t="shared" si="23"/>
        <v>-6.6698199999999996</v>
      </c>
      <c r="U162" t="e">
        <f t="shared" si="24"/>
        <v>#VALUE!</v>
      </c>
      <c r="V162" t="e">
        <f t="shared" si="25"/>
        <v>#VALUE!</v>
      </c>
      <c r="W162" t="e">
        <f t="shared" si="21"/>
        <v>#VALUE!</v>
      </c>
    </row>
    <row r="163" spans="1:29" x14ac:dyDescent="0.3">
      <c r="A163" t="s">
        <v>45</v>
      </c>
      <c r="B163" t="s">
        <v>57</v>
      </c>
      <c r="C163">
        <v>1</v>
      </c>
      <c r="D163">
        <v>0.5</v>
      </c>
      <c r="E163" t="s">
        <v>28</v>
      </c>
      <c r="F163">
        <v>0.42259000000000002</v>
      </c>
      <c r="G163" s="1">
        <v>45849</v>
      </c>
      <c r="H163">
        <v>6.6936799999999996</v>
      </c>
      <c r="I163" s="1">
        <v>45877</v>
      </c>
      <c r="J163">
        <f t="shared" si="19"/>
        <v>63.617251162500004</v>
      </c>
      <c r="K163">
        <v>5.31</v>
      </c>
      <c r="M163">
        <f t="shared" si="26"/>
        <v>0</v>
      </c>
      <c r="N163">
        <f t="shared" si="20"/>
        <v>-5.31</v>
      </c>
      <c r="P163">
        <v>9.6023399999999999</v>
      </c>
      <c r="S163">
        <f t="shared" si="22"/>
        <v>2.9086600000000002</v>
      </c>
      <c r="T163">
        <f t="shared" si="23"/>
        <v>-6.6936799999999996</v>
      </c>
      <c r="U163" t="e">
        <f>I163-AC163</f>
        <v>#VALUE!</v>
      </c>
      <c r="V163" t="e">
        <f t="shared" si="25"/>
        <v>#VALUE!</v>
      </c>
      <c r="W163" t="e">
        <f t="shared" si="21"/>
        <v>#VALUE!</v>
      </c>
      <c r="AC163" t="s">
        <v>58</v>
      </c>
    </row>
    <row r="164" spans="1:29" x14ac:dyDescent="0.3">
      <c r="A164" t="s">
        <v>45</v>
      </c>
      <c r="B164" t="s">
        <v>57</v>
      </c>
      <c r="C164">
        <v>1</v>
      </c>
      <c r="D164">
        <v>0.5</v>
      </c>
      <c r="E164" t="s">
        <v>30</v>
      </c>
      <c r="F164">
        <v>0.43187999999999999</v>
      </c>
      <c r="G164" s="1">
        <v>45849</v>
      </c>
      <c r="H164">
        <v>6.5922000000000001</v>
      </c>
      <c r="I164" s="1">
        <v>45877</v>
      </c>
      <c r="J164">
        <f t="shared" si="19"/>
        <v>63.617251162500004</v>
      </c>
      <c r="K164">
        <v>5.31</v>
      </c>
      <c r="M164">
        <f t="shared" si="26"/>
        <v>0</v>
      </c>
      <c r="N164">
        <f t="shared" si="20"/>
        <v>-5.31</v>
      </c>
      <c r="P164">
        <v>6.6311200000000001</v>
      </c>
      <c r="S164">
        <f t="shared" si="22"/>
        <v>3.8920000000000066E-2</v>
      </c>
      <c r="T164">
        <f t="shared" si="23"/>
        <v>-6.5922000000000001</v>
      </c>
      <c r="U164">
        <f t="shared" si="24"/>
        <v>28</v>
      </c>
      <c r="V164">
        <f t="shared" si="25"/>
        <v>-0.23543571428571428</v>
      </c>
      <c r="W164">
        <f t="shared" si="21"/>
        <v>-2354.3571428571427</v>
      </c>
    </row>
    <row r="165" spans="1:29" x14ac:dyDescent="0.3">
      <c r="A165" t="s">
        <v>45</v>
      </c>
      <c r="B165" t="s">
        <v>57</v>
      </c>
      <c r="C165">
        <v>1</v>
      </c>
      <c r="D165">
        <v>0.5</v>
      </c>
      <c r="E165" t="s">
        <v>31</v>
      </c>
      <c r="F165">
        <v>0.42029</v>
      </c>
      <c r="G165" s="1">
        <v>45849</v>
      </c>
      <c r="H165">
        <v>6.6918199999999999</v>
      </c>
      <c r="I165" s="1">
        <v>45877</v>
      </c>
      <c r="J165">
        <f t="shared" si="19"/>
        <v>63.617251162500004</v>
      </c>
      <c r="K165">
        <v>5.31</v>
      </c>
      <c r="M165">
        <f t="shared" si="26"/>
        <v>0</v>
      </c>
      <c r="N165">
        <f t="shared" si="20"/>
        <v>-5.31</v>
      </c>
      <c r="P165">
        <v>6.7434399999999997</v>
      </c>
      <c r="S165">
        <f t="shared" si="22"/>
        <v>5.1619999999999777E-2</v>
      </c>
      <c r="T165">
        <f t="shared" si="23"/>
        <v>-6.6918199999999999</v>
      </c>
      <c r="U165">
        <f t="shared" si="24"/>
        <v>28</v>
      </c>
      <c r="V165">
        <f t="shared" si="25"/>
        <v>-0.23899357142857142</v>
      </c>
      <c r="W165">
        <f t="shared" si="21"/>
        <v>-2389.9357142857143</v>
      </c>
    </row>
    <row r="166" spans="1:29" x14ac:dyDescent="0.3">
      <c r="A166" t="s">
        <v>45</v>
      </c>
      <c r="B166" t="s">
        <v>57</v>
      </c>
      <c r="C166">
        <v>1</v>
      </c>
      <c r="D166">
        <v>2</v>
      </c>
      <c r="E166" t="s">
        <v>28</v>
      </c>
      <c r="F166">
        <v>0.43142999999999998</v>
      </c>
      <c r="G166" s="1">
        <v>45849</v>
      </c>
      <c r="H166">
        <v>6.6646099999999997</v>
      </c>
      <c r="I166" s="1">
        <v>45877</v>
      </c>
      <c r="J166">
        <f t="shared" si="19"/>
        <v>63.617251162500004</v>
      </c>
      <c r="K166">
        <v>5.31</v>
      </c>
      <c r="M166">
        <f t="shared" si="26"/>
        <v>0</v>
      </c>
      <c r="N166">
        <f t="shared" si="20"/>
        <v>-5.31</v>
      </c>
      <c r="P166">
        <v>8.2593599999999991</v>
      </c>
      <c r="S166">
        <f t="shared" si="22"/>
        <v>1.5947499999999994</v>
      </c>
      <c r="T166">
        <f t="shared" si="23"/>
        <v>-6.6646099999999997</v>
      </c>
      <c r="U166">
        <f t="shared" si="24"/>
        <v>28</v>
      </c>
      <c r="V166">
        <f t="shared" si="25"/>
        <v>-0.2380217857142857</v>
      </c>
      <c r="W166">
        <f t="shared" si="21"/>
        <v>-2380.2178571428572</v>
      </c>
    </row>
    <row r="167" spans="1:29" x14ac:dyDescent="0.3">
      <c r="A167" t="s">
        <v>45</v>
      </c>
      <c r="B167" t="s">
        <v>57</v>
      </c>
      <c r="C167">
        <v>1</v>
      </c>
      <c r="D167">
        <v>2</v>
      </c>
      <c r="E167" t="s">
        <v>30</v>
      </c>
      <c r="F167">
        <v>0.42475000000000002</v>
      </c>
      <c r="G167" s="1">
        <v>45849</v>
      </c>
      <c r="H167">
        <v>6.69217</v>
      </c>
      <c r="I167" s="1">
        <v>45877</v>
      </c>
      <c r="J167">
        <f t="shared" si="19"/>
        <v>63.617251162500004</v>
      </c>
      <c r="K167">
        <v>5.31</v>
      </c>
      <c r="M167">
        <f t="shared" si="26"/>
        <v>0</v>
      </c>
      <c r="N167">
        <f t="shared" si="20"/>
        <v>-5.31</v>
      </c>
      <c r="P167">
        <v>11.43052</v>
      </c>
      <c r="S167">
        <f t="shared" si="22"/>
        <v>4.7383499999999996</v>
      </c>
      <c r="T167">
        <f t="shared" si="23"/>
        <v>-6.69217</v>
      </c>
      <c r="U167">
        <f t="shared" si="24"/>
        <v>28</v>
      </c>
      <c r="V167">
        <f t="shared" si="25"/>
        <v>-0.23900607142857141</v>
      </c>
      <c r="W167">
        <f t="shared" si="21"/>
        <v>-2390.0607142857143</v>
      </c>
    </row>
    <row r="168" spans="1:29" x14ac:dyDescent="0.3">
      <c r="A168" t="s">
        <v>45</v>
      </c>
      <c r="B168" t="s">
        <v>57</v>
      </c>
      <c r="C168">
        <v>1</v>
      </c>
      <c r="D168">
        <v>2</v>
      </c>
      <c r="E168" t="s">
        <v>31</v>
      </c>
      <c r="F168">
        <v>0.43084</v>
      </c>
      <c r="G168" s="1">
        <v>45849</v>
      </c>
      <c r="H168">
        <v>6.7646899999999999</v>
      </c>
      <c r="I168" s="1">
        <v>45877</v>
      </c>
      <c r="J168">
        <f t="shared" si="19"/>
        <v>63.617251162500004</v>
      </c>
      <c r="K168">
        <v>5.31</v>
      </c>
      <c r="M168">
        <f t="shared" si="26"/>
        <v>0</v>
      </c>
      <c r="N168">
        <f t="shared" si="20"/>
        <v>-5.31</v>
      </c>
      <c r="P168">
        <v>12.008369999999999</v>
      </c>
      <c r="S168">
        <f t="shared" si="22"/>
        <v>5.2436799999999995</v>
      </c>
      <c r="T168">
        <f t="shared" si="23"/>
        <v>-6.7646899999999999</v>
      </c>
      <c r="U168">
        <f t="shared" si="24"/>
        <v>28</v>
      </c>
      <c r="V168">
        <f t="shared" si="25"/>
        <v>-0.24159607142857142</v>
      </c>
      <c r="W168">
        <f t="shared" si="21"/>
        <v>-2415.9607142857144</v>
      </c>
    </row>
    <row r="169" spans="1:29" x14ac:dyDescent="0.3">
      <c r="A169" t="s">
        <v>45</v>
      </c>
      <c r="B169" t="s">
        <v>57</v>
      </c>
      <c r="C169">
        <v>1</v>
      </c>
      <c r="D169">
        <v>6</v>
      </c>
      <c r="E169" t="s">
        <v>28</v>
      </c>
      <c r="F169">
        <v>0.42111999999999999</v>
      </c>
      <c r="G169" s="1">
        <v>45849</v>
      </c>
      <c r="H169">
        <v>6.66134</v>
      </c>
      <c r="I169" s="1">
        <v>45877</v>
      </c>
      <c r="J169">
        <f t="shared" si="19"/>
        <v>63.617251162500004</v>
      </c>
      <c r="K169">
        <v>5.31</v>
      </c>
      <c r="M169">
        <f t="shared" si="26"/>
        <v>0</v>
      </c>
      <c r="N169">
        <f t="shared" si="20"/>
        <v>-5.31</v>
      </c>
      <c r="P169">
        <v>7.9649099999999997</v>
      </c>
      <c r="S169">
        <f t="shared" si="22"/>
        <v>1.3035699999999997</v>
      </c>
      <c r="T169">
        <f t="shared" si="23"/>
        <v>-6.66134</v>
      </c>
      <c r="U169">
        <f t="shared" si="24"/>
        <v>28</v>
      </c>
      <c r="V169">
        <f t="shared" si="25"/>
        <v>-0.23790500000000001</v>
      </c>
      <c r="W169">
        <f t="shared" si="21"/>
        <v>-2379.0500000000002</v>
      </c>
    </row>
    <row r="170" spans="1:29" x14ac:dyDescent="0.3">
      <c r="A170" t="s">
        <v>45</v>
      </c>
      <c r="B170" t="s">
        <v>57</v>
      </c>
      <c r="C170">
        <v>1</v>
      </c>
      <c r="D170">
        <v>6</v>
      </c>
      <c r="E170" t="s">
        <v>30</v>
      </c>
      <c r="F170">
        <v>0.42265000000000003</v>
      </c>
      <c r="G170" s="1">
        <v>45849</v>
      </c>
      <c r="H170">
        <v>6.7390600000000003</v>
      </c>
      <c r="I170" s="1">
        <v>45877</v>
      </c>
      <c r="J170">
        <f t="shared" si="19"/>
        <v>63.617251162500004</v>
      </c>
      <c r="K170">
        <v>5.31</v>
      </c>
      <c r="M170">
        <f t="shared" si="26"/>
        <v>0</v>
      </c>
      <c r="N170">
        <f t="shared" si="20"/>
        <v>-5.31</v>
      </c>
      <c r="P170">
        <v>8.0279399999999992</v>
      </c>
      <c r="S170">
        <f t="shared" si="22"/>
        <v>1.2888799999999989</v>
      </c>
      <c r="T170">
        <f t="shared" si="23"/>
        <v>-6.7390600000000003</v>
      </c>
      <c r="U170">
        <f t="shared" si="24"/>
        <v>28</v>
      </c>
      <c r="V170">
        <f t="shared" si="25"/>
        <v>-0.2406807142857143</v>
      </c>
      <c r="W170">
        <f t="shared" si="21"/>
        <v>-2406.8071428571429</v>
      </c>
    </row>
    <row r="171" spans="1:29" x14ac:dyDescent="0.3">
      <c r="A171" t="s">
        <v>45</v>
      </c>
      <c r="B171" t="s">
        <v>57</v>
      </c>
      <c r="C171">
        <v>1</v>
      </c>
      <c r="D171">
        <v>6</v>
      </c>
      <c r="E171" t="s">
        <v>31</v>
      </c>
      <c r="F171">
        <v>0.43170999999999998</v>
      </c>
      <c r="G171" s="1">
        <v>45849</v>
      </c>
      <c r="H171">
        <v>6.7060599999999999</v>
      </c>
      <c r="I171" s="1">
        <v>45877</v>
      </c>
      <c r="J171">
        <f t="shared" si="19"/>
        <v>63.617251162500004</v>
      </c>
      <c r="K171">
        <v>5.31</v>
      </c>
      <c r="M171">
        <f t="shared" si="26"/>
        <v>0</v>
      </c>
      <c r="N171">
        <f t="shared" si="20"/>
        <v>-5.31</v>
      </c>
      <c r="P171">
        <v>7.8952799999999996</v>
      </c>
      <c r="S171">
        <f t="shared" si="22"/>
        <v>1.1892199999999997</v>
      </c>
      <c r="T171">
        <f t="shared" si="23"/>
        <v>-6.7060599999999999</v>
      </c>
      <c r="U171">
        <f t="shared" si="24"/>
        <v>28</v>
      </c>
      <c r="V171">
        <f t="shared" si="25"/>
        <v>-0.23950214285714286</v>
      </c>
      <c r="W171">
        <f t="shared" si="21"/>
        <v>-2395.0214285714287</v>
      </c>
    </row>
    <row r="172" spans="1:29" x14ac:dyDescent="0.3">
      <c r="A172" t="s">
        <v>45</v>
      </c>
      <c r="B172" t="s">
        <v>57</v>
      </c>
      <c r="C172">
        <v>1</v>
      </c>
      <c r="D172">
        <v>12</v>
      </c>
      <c r="E172" t="s">
        <v>28</v>
      </c>
      <c r="F172">
        <v>0.42268</v>
      </c>
      <c r="G172" s="1">
        <v>45849</v>
      </c>
      <c r="H172">
        <v>6.6596200000000003</v>
      </c>
      <c r="I172" s="1">
        <v>45877</v>
      </c>
      <c r="J172">
        <f t="shared" ref="J172:J235" si="27">4.5*4.5*3.14159265</f>
        <v>63.617251162500004</v>
      </c>
      <c r="K172">
        <v>5.31</v>
      </c>
      <c r="M172">
        <f t="shared" si="26"/>
        <v>0</v>
      </c>
      <c r="N172">
        <f t="shared" ref="N172:N235" si="28">L172*J172-K172</f>
        <v>-5.31</v>
      </c>
      <c r="P172">
        <v>7.5361200000000004</v>
      </c>
      <c r="S172">
        <f t="shared" si="22"/>
        <v>0.87650000000000006</v>
      </c>
      <c r="T172">
        <f t="shared" si="23"/>
        <v>-6.6596200000000003</v>
      </c>
      <c r="U172">
        <f t="shared" si="24"/>
        <v>28</v>
      </c>
      <c r="V172">
        <f t="shared" si="25"/>
        <v>-0.23784357142857143</v>
      </c>
      <c r="W172">
        <f t="shared" ref="W172:W235" si="29">V172*10000</f>
        <v>-2378.4357142857143</v>
      </c>
    </row>
    <row r="173" spans="1:29" x14ac:dyDescent="0.3">
      <c r="A173" t="s">
        <v>45</v>
      </c>
      <c r="B173" t="s">
        <v>57</v>
      </c>
      <c r="C173">
        <v>1</v>
      </c>
      <c r="D173">
        <v>12</v>
      </c>
      <c r="E173" t="s">
        <v>30</v>
      </c>
      <c r="F173">
        <v>0.42975999999999998</v>
      </c>
      <c r="G173" s="1">
        <v>45849</v>
      </c>
      <c r="H173">
        <v>6.6021799999999997</v>
      </c>
      <c r="I173" s="1">
        <v>45877</v>
      </c>
      <c r="J173">
        <f t="shared" si="27"/>
        <v>63.617251162500004</v>
      </c>
      <c r="K173">
        <v>5.31</v>
      </c>
      <c r="M173">
        <f t="shared" si="26"/>
        <v>0</v>
      </c>
      <c r="N173">
        <f t="shared" si="28"/>
        <v>-5.31</v>
      </c>
      <c r="P173">
        <v>7.4416000000000002</v>
      </c>
      <c r="S173">
        <f t="shared" si="22"/>
        <v>0.8394200000000005</v>
      </c>
      <c r="T173">
        <f t="shared" si="23"/>
        <v>-6.6021799999999997</v>
      </c>
      <c r="U173">
        <f t="shared" si="24"/>
        <v>28</v>
      </c>
      <c r="V173">
        <f t="shared" si="25"/>
        <v>-0.23579214285714284</v>
      </c>
      <c r="W173">
        <f t="shared" si="29"/>
        <v>-2357.9214285714284</v>
      </c>
    </row>
    <row r="174" spans="1:29" x14ac:dyDescent="0.3">
      <c r="A174" t="s">
        <v>45</v>
      </c>
      <c r="B174" t="s">
        <v>57</v>
      </c>
      <c r="C174">
        <v>1</v>
      </c>
      <c r="D174">
        <v>12</v>
      </c>
      <c r="E174" t="s">
        <v>31</v>
      </c>
      <c r="F174">
        <v>0.42283999999999999</v>
      </c>
      <c r="G174" s="1">
        <v>45849</v>
      </c>
      <c r="H174">
        <v>6.6732399999999998</v>
      </c>
      <c r="I174" s="1">
        <v>45877</v>
      </c>
      <c r="J174">
        <f t="shared" si="27"/>
        <v>63.617251162500004</v>
      </c>
      <c r="K174">
        <v>5.31</v>
      </c>
      <c r="M174">
        <f t="shared" si="26"/>
        <v>0</v>
      </c>
      <c r="N174">
        <f t="shared" si="28"/>
        <v>-5.31</v>
      </c>
      <c r="P174">
        <v>7.9310299999999998</v>
      </c>
      <c r="S174">
        <f t="shared" si="22"/>
        <v>1.25779</v>
      </c>
      <c r="T174">
        <f t="shared" si="23"/>
        <v>-6.6732399999999998</v>
      </c>
      <c r="U174">
        <f t="shared" si="24"/>
        <v>28</v>
      </c>
      <c r="V174">
        <f t="shared" si="25"/>
        <v>-0.23832999999999999</v>
      </c>
      <c r="W174">
        <f t="shared" si="29"/>
        <v>-2383.2999999999997</v>
      </c>
    </row>
    <row r="175" spans="1:29" x14ac:dyDescent="0.3">
      <c r="A175" t="s">
        <v>45</v>
      </c>
      <c r="B175" t="s">
        <v>57</v>
      </c>
      <c r="C175">
        <v>1</v>
      </c>
      <c r="D175">
        <v>24</v>
      </c>
      <c r="E175" t="s">
        <v>28</v>
      </c>
      <c r="F175">
        <v>0.43008999999999997</v>
      </c>
      <c r="G175" s="1">
        <v>45849</v>
      </c>
      <c r="H175">
        <v>6.6699700000000002</v>
      </c>
      <c r="I175" s="1">
        <v>45877</v>
      </c>
      <c r="J175">
        <f t="shared" si="27"/>
        <v>63.617251162500004</v>
      </c>
      <c r="K175">
        <v>5.31</v>
      </c>
      <c r="M175">
        <f t="shared" si="26"/>
        <v>0</v>
      </c>
      <c r="N175">
        <f t="shared" si="28"/>
        <v>-5.31</v>
      </c>
      <c r="P175">
        <v>7.5827099999999996</v>
      </c>
      <c r="S175">
        <f t="shared" si="22"/>
        <v>0.91273999999999944</v>
      </c>
      <c r="T175">
        <f t="shared" si="23"/>
        <v>-6.6699700000000002</v>
      </c>
      <c r="U175">
        <f t="shared" si="24"/>
        <v>28</v>
      </c>
      <c r="V175">
        <f t="shared" si="25"/>
        <v>-0.23821321428571429</v>
      </c>
      <c r="W175">
        <f t="shared" si="29"/>
        <v>-2382.1321428571428</v>
      </c>
    </row>
    <row r="176" spans="1:29" x14ac:dyDescent="0.3">
      <c r="A176" t="s">
        <v>45</v>
      </c>
      <c r="B176" t="s">
        <v>57</v>
      </c>
      <c r="C176">
        <v>1</v>
      </c>
      <c r="D176">
        <v>24</v>
      </c>
      <c r="E176" t="s">
        <v>30</v>
      </c>
      <c r="F176">
        <v>0.42660999999999999</v>
      </c>
      <c r="G176" s="1">
        <v>45849</v>
      </c>
      <c r="H176">
        <v>6.7090199999999998</v>
      </c>
      <c r="I176" s="1">
        <v>45877</v>
      </c>
      <c r="J176">
        <f t="shared" si="27"/>
        <v>63.617251162500004</v>
      </c>
      <c r="K176">
        <v>5.31</v>
      </c>
      <c r="M176">
        <f t="shared" si="26"/>
        <v>0</v>
      </c>
      <c r="N176">
        <f t="shared" si="28"/>
        <v>-5.31</v>
      </c>
      <c r="P176">
        <v>7.7900799999999997</v>
      </c>
      <c r="S176">
        <f t="shared" si="22"/>
        <v>1.0810599999999999</v>
      </c>
      <c r="T176">
        <f t="shared" si="23"/>
        <v>-6.7090199999999998</v>
      </c>
      <c r="U176">
        <f t="shared" si="24"/>
        <v>28</v>
      </c>
      <c r="V176">
        <f t="shared" si="25"/>
        <v>-0.23960785714285712</v>
      </c>
      <c r="W176">
        <f t="shared" si="29"/>
        <v>-2396.0785714285712</v>
      </c>
    </row>
    <row r="177" spans="1:23" x14ac:dyDescent="0.3">
      <c r="A177" t="s">
        <v>45</v>
      </c>
      <c r="B177" t="s">
        <v>57</v>
      </c>
      <c r="C177">
        <v>1</v>
      </c>
      <c r="D177">
        <v>24</v>
      </c>
      <c r="E177" t="s">
        <v>31</v>
      </c>
      <c r="F177">
        <v>0.42204999999999998</v>
      </c>
      <c r="G177" s="1">
        <v>45849</v>
      </c>
      <c r="H177">
        <v>6.6318400000000004</v>
      </c>
      <c r="I177" s="1">
        <v>45877</v>
      </c>
      <c r="J177">
        <f t="shared" si="27"/>
        <v>63.617251162500004</v>
      </c>
      <c r="K177">
        <v>5.31</v>
      </c>
      <c r="M177">
        <f t="shared" si="26"/>
        <v>0</v>
      </c>
      <c r="N177">
        <f t="shared" si="28"/>
        <v>-5.31</v>
      </c>
      <c r="P177">
        <v>7.6504700000000003</v>
      </c>
      <c r="S177">
        <f t="shared" si="22"/>
        <v>1.0186299999999999</v>
      </c>
      <c r="T177">
        <f t="shared" si="23"/>
        <v>-6.6318400000000004</v>
      </c>
      <c r="U177">
        <f t="shared" si="24"/>
        <v>28</v>
      </c>
      <c r="V177">
        <f t="shared" si="25"/>
        <v>-0.23685142857142857</v>
      </c>
      <c r="W177">
        <f t="shared" si="29"/>
        <v>-2368.514285714286</v>
      </c>
    </row>
    <row r="178" spans="1:23" x14ac:dyDescent="0.3">
      <c r="A178" t="s">
        <v>45</v>
      </c>
      <c r="B178" t="s">
        <v>57</v>
      </c>
      <c r="C178">
        <v>1</v>
      </c>
      <c r="D178">
        <v>48</v>
      </c>
      <c r="E178" t="s">
        <v>28</v>
      </c>
      <c r="F178">
        <v>0.43223</v>
      </c>
      <c r="G178" s="1">
        <v>45849</v>
      </c>
      <c r="H178">
        <v>6.6443500000000002</v>
      </c>
      <c r="I178" s="1">
        <v>45877</v>
      </c>
      <c r="J178">
        <f t="shared" si="27"/>
        <v>63.617251162500004</v>
      </c>
      <c r="K178">
        <v>5.31</v>
      </c>
      <c r="M178">
        <f t="shared" si="26"/>
        <v>0</v>
      </c>
      <c r="N178">
        <f t="shared" si="28"/>
        <v>-5.31</v>
      </c>
      <c r="P178">
        <v>7.3989500000000001</v>
      </c>
      <c r="S178">
        <f t="shared" si="22"/>
        <v>0.75459999999999994</v>
      </c>
      <c r="T178">
        <f t="shared" si="23"/>
        <v>-6.6443500000000002</v>
      </c>
      <c r="U178">
        <f t="shared" si="24"/>
        <v>28</v>
      </c>
      <c r="V178">
        <f t="shared" si="25"/>
        <v>-0.23729821428571429</v>
      </c>
      <c r="W178">
        <f t="shared" si="29"/>
        <v>-2372.9821428571431</v>
      </c>
    </row>
    <row r="179" spans="1:23" x14ac:dyDescent="0.3">
      <c r="A179" t="s">
        <v>45</v>
      </c>
      <c r="B179" t="s">
        <v>57</v>
      </c>
      <c r="C179">
        <v>1</v>
      </c>
      <c r="D179">
        <v>48</v>
      </c>
      <c r="E179" t="s">
        <v>30</v>
      </c>
      <c r="F179">
        <v>0.42085</v>
      </c>
      <c r="G179" s="1">
        <v>45849</v>
      </c>
      <c r="H179">
        <v>6.6665900000000002</v>
      </c>
      <c r="I179" s="1">
        <v>45877</v>
      </c>
      <c r="J179">
        <f t="shared" si="27"/>
        <v>63.617251162500004</v>
      </c>
      <c r="K179">
        <v>5.31</v>
      </c>
      <c r="M179">
        <f t="shared" si="26"/>
        <v>0</v>
      </c>
      <c r="N179">
        <f t="shared" si="28"/>
        <v>-5.31</v>
      </c>
      <c r="P179">
        <v>7.5585100000000001</v>
      </c>
      <c r="S179">
        <f t="shared" si="22"/>
        <v>0.89191999999999982</v>
      </c>
      <c r="T179">
        <f t="shared" si="23"/>
        <v>-6.6665900000000002</v>
      </c>
      <c r="U179">
        <f t="shared" si="24"/>
        <v>28</v>
      </c>
      <c r="V179">
        <f t="shared" si="25"/>
        <v>-0.23809250000000001</v>
      </c>
      <c r="W179">
        <f t="shared" si="29"/>
        <v>-2380.9250000000002</v>
      </c>
    </row>
    <row r="180" spans="1:23" x14ac:dyDescent="0.3">
      <c r="A180" t="s">
        <v>45</v>
      </c>
      <c r="B180" t="s">
        <v>57</v>
      </c>
      <c r="C180">
        <v>1</v>
      </c>
      <c r="D180">
        <v>48</v>
      </c>
      <c r="E180" t="s">
        <v>31</v>
      </c>
      <c r="F180">
        <v>0.42093000000000003</v>
      </c>
      <c r="G180" s="1">
        <v>45849</v>
      </c>
      <c r="H180">
        <v>6.6370100000000001</v>
      </c>
      <c r="I180" s="1">
        <v>45877</v>
      </c>
      <c r="J180">
        <f t="shared" si="27"/>
        <v>63.617251162500004</v>
      </c>
      <c r="K180">
        <v>5.31</v>
      </c>
      <c r="M180">
        <f t="shared" si="26"/>
        <v>0</v>
      </c>
      <c r="N180">
        <f t="shared" si="28"/>
        <v>-5.31</v>
      </c>
      <c r="P180">
        <v>7.44076</v>
      </c>
      <c r="S180">
        <f t="shared" si="22"/>
        <v>0.80374999999999996</v>
      </c>
      <c r="T180">
        <f t="shared" si="23"/>
        <v>-6.6370100000000001</v>
      </c>
      <c r="U180">
        <f t="shared" si="24"/>
        <v>28</v>
      </c>
      <c r="V180">
        <f t="shared" si="25"/>
        <v>-0.23703607142857144</v>
      </c>
      <c r="W180">
        <f t="shared" si="29"/>
        <v>-2370.3607142857145</v>
      </c>
    </row>
    <row r="181" spans="1:23" x14ac:dyDescent="0.3">
      <c r="A181" t="s">
        <v>45</v>
      </c>
      <c r="B181" t="s">
        <v>57</v>
      </c>
      <c r="C181">
        <v>2</v>
      </c>
      <c r="D181">
        <v>0.5</v>
      </c>
      <c r="E181" t="s">
        <v>28</v>
      </c>
      <c r="F181">
        <v>0.43018000000000001</v>
      </c>
      <c r="G181" s="1">
        <v>45849</v>
      </c>
      <c r="H181">
        <v>6.5827799999999996</v>
      </c>
      <c r="I181" s="1">
        <v>45877</v>
      </c>
      <c r="J181">
        <f t="shared" si="27"/>
        <v>63.617251162500004</v>
      </c>
      <c r="K181">
        <v>5.31</v>
      </c>
      <c r="M181">
        <f t="shared" si="26"/>
        <v>0</v>
      </c>
      <c r="N181">
        <f t="shared" si="28"/>
        <v>-5.31</v>
      </c>
      <c r="P181">
        <v>7.3575100000000004</v>
      </c>
      <c r="S181">
        <f t="shared" si="22"/>
        <v>0.77473000000000081</v>
      </c>
      <c r="T181">
        <f t="shared" si="23"/>
        <v>-6.5827799999999996</v>
      </c>
      <c r="U181">
        <f t="shared" si="24"/>
        <v>28</v>
      </c>
      <c r="V181">
        <f t="shared" si="25"/>
        <v>-0.23509928571428571</v>
      </c>
      <c r="W181">
        <f t="shared" si="29"/>
        <v>-2350.9928571428572</v>
      </c>
    </row>
    <row r="182" spans="1:23" x14ac:dyDescent="0.3">
      <c r="A182" t="s">
        <v>45</v>
      </c>
      <c r="B182" t="s">
        <v>57</v>
      </c>
      <c r="C182">
        <v>2</v>
      </c>
      <c r="D182">
        <v>0.5</v>
      </c>
      <c r="E182" t="s">
        <v>30</v>
      </c>
      <c r="F182">
        <v>0.43064999999999998</v>
      </c>
      <c r="G182" s="1">
        <v>45849</v>
      </c>
      <c r="H182">
        <v>6.6503899999999998</v>
      </c>
      <c r="I182" s="1">
        <v>45877</v>
      </c>
      <c r="J182">
        <f t="shared" si="27"/>
        <v>63.617251162500004</v>
      </c>
      <c r="K182">
        <v>5.31</v>
      </c>
      <c r="M182">
        <f t="shared" si="26"/>
        <v>0</v>
      </c>
      <c r="N182">
        <f t="shared" si="28"/>
        <v>-5.31</v>
      </c>
      <c r="P182">
        <v>6.7200899999999999</v>
      </c>
      <c r="S182">
        <f t="shared" si="22"/>
        <v>6.9700000000000095E-2</v>
      </c>
      <c r="T182">
        <f t="shared" si="23"/>
        <v>-6.6503899999999998</v>
      </c>
      <c r="U182">
        <f t="shared" si="24"/>
        <v>28</v>
      </c>
      <c r="V182">
        <f t="shared" si="25"/>
        <v>-0.23751392857142856</v>
      </c>
      <c r="W182">
        <f t="shared" si="29"/>
        <v>-2375.1392857142855</v>
      </c>
    </row>
    <row r="183" spans="1:23" x14ac:dyDescent="0.3">
      <c r="A183" t="s">
        <v>45</v>
      </c>
      <c r="B183" t="s">
        <v>57</v>
      </c>
      <c r="C183">
        <v>2</v>
      </c>
      <c r="D183">
        <v>0.5</v>
      </c>
      <c r="E183" t="s">
        <v>31</v>
      </c>
      <c r="F183">
        <v>0.42487999999999998</v>
      </c>
      <c r="G183" s="1">
        <v>45849</v>
      </c>
      <c r="H183">
        <v>6.6150399999999996</v>
      </c>
      <c r="I183" s="1">
        <v>45877</v>
      </c>
      <c r="J183">
        <f t="shared" si="27"/>
        <v>63.617251162500004</v>
      </c>
      <c r="K183">
        <v>5.31</v>
      </c>
      <c r="M183">
        <f t="shared" si="26"/>
        <v>0</v>
      </c>
      <c r="N183">
        <f t="shared" si="28"/>
        <v>-5.31</v>
      </c>
      <c r="P183">
        <v>6.61219</v>
      </c>
      <c r="S183">
        <f t="shared" si="22"/>
        <v>-2.8499999999995751E-3</v>
      </c>
      <c r="T183">
        <f t="shared" si="23"/>
        <v>-6.6150399999999996</v>
      </c>
      <c r="U183">
        <f t="shared" si="24"/>
        <v>28</v>
      </c>
      <c r="V183">
        <f t="shared" si="25"/>
        <v>-0.23625142857142856</v>
      </c>
      <c r="W183">
        <f t="shared" si="29"/>
        <v>-2362.5142857142855</v>
      </c>
    </row>
    <row r="184" spans="1:23" x14ac:dyDescent="0.3">
      <c r="A184" t="s">
        <v>45</v>
      </c>
      <c r="B184" t="s">
        <v>57</v>
      </c>
      <c r="C184">
        <v>2</v>
      </c>
      <c r="D184">
        <v>2</v>
      </c>
      <c r="E184" t="s">
        <v>28</v>
      </c>
      <c r="F184">
        <v>0.42537999999999998</v>
      </c>
      <c r="G184" s="1">
        <v>45849</v>
      </c>
      <c r="H184">
        <v>6.6375500000000001</v>
      </c>
      <c r="I184" s="1">
        <v>45877</v>
      </c>
      <c r="J184">
        <f t="shared" si="27"/>
        <v>63.617251162500004</v>
      </c>
      <c r="K184">
        <v>5.31</v>
      </c>
      <c r="M184">
        <f t="shared" si="26"/>
        <v>0</v>
      </c>
      <c r="N184">
        <f t="shared" si="28"/>
        <v>-5.31</v>
      </c>
      <c r="P184">
        <v>8.63551</v>
      </c>
      <c r="S184">
        <f t="shared" si="22"/>
        <v>1.99796</v>
      </c>
      <c r="T184">
        <f t="shared" si="23"/>
        <v>-6.6375500000000001</v>
      </c>
      <c r="U184">
        <f t="shared" si="24"/>
        <v>28</v>
      </c>
      <c r="V184">
        <f t="shared" si="25"/>
        <v>-0.23705535714285714</v>
      </c>
      <c r="W184">
        <f t="shared" si="29"/>
        <v>-2370.5535714285716</v>
      </c>
    </row>
    <row r="185" spans="1:23" x14ac:dyDescent="0.3">
      <c r="A185" t="s">
        <v>45</v>
      </c>
      <c r="B185" t="s">
        <v>57</v>
      </c>
      <c r="C185">
        <v>2</v>
      </c>
      <c r="D185">
        <v>2</v>
      </c>
      <c r="E185" t="s">
        <v>30</v>
      </c>
      <c r="F185">
        <v>0.43090000000000001</v>
      </c>
      <c r="G185" s="1">
        <v>45849</v>
      </c>
      <c r="H185">
        <v>6.6432099999999998</v>
      </c>
      <c r="I185" s="1">
        <v>45877</v>
      </c>
      <c r="J185">
        <f t="shared" si="27"/>
        <v>63.617251162500004</v>
      </c>
      <c r="K185">
        <v>5.31</v>
      </c>
      <c r="M185">
        <f t="shared" si="26"/>
        <v>0</v>
      </c>
      <c r="N185">
        <f t="shared" si="28"/>
        <v>-5.31</v>
      </c>
      <c r="P185">
        <v>6.7304300000000001</v>
      </c>
      <c r="S185">
        <f t="shared" si="22"/>
        <v>8.7220000000000297E-2</v>
      </c>
      <c r="T185">
        <f t="shared" si="23"/>
        <v>-6.6432099999999998</v>
      </c>
      <c r="U185">
        <f t="shared" si="24"/>
        <v>28</v>
      </c>
      <c r="V185">
        <f t="shared" si="25"/>
        <v>-0.23725749999999998</v>
      </c>
      <c r="W185">
        <f t="shared" si="29"/>
        <v>-2372.5749999999998</v>
      </c>
    </row>
    <row r="186" spans="1:23" x14ac:dyDescent="0.3">
      <c r="A186" t="s">
        <v>45</v>
      </c>
      <c r="B186" t="s">
        <v>57</v>
      </c>
      <c r="C186">
        <v>2</v>
      </c>
      <c r="D186">
        <v>2</v>
      </c>
      <c r="E186" t="s">
        <v>31</v>
      </c>
      <c r="F186">
        <v>0.42568</v>
      </c>
      <c r="G186" s="1">
        <v>45849</v>
      </c>
      <c r="H186">
        <v>6.6903100000000002</v>
      </c>
      <c r="I186" s="1">
        <v>45877</v>
      </c>
      <c r="J186">
        <f t="shared" si="27"/>
        <v>63.617251162500004</v>
      </c>
      <c r="K186">
        <v>5.31</v>
      </c>
      <c r="M186">
        <f t="shared" si="26"/>
        <v>0</v>
      </c>
      <c r="N186">
        <f t="shared" si="28"/>
        <v>-5.31</v>
      </c>
      <c r="P186">
        <v>7.7950499999999998</v>
      </c>
      <c r="S186">
        <f t="shared" si="22"/>
        <v>1.1047399999999996</v>
      </c>
      <c r="T186">
        <f t="shared" si="23"/>
        <v>-6.6903100000000002</v>
      </c>
      <c r="U186">
        <f t="shared" si="24"/>
        <v>28</v>
      </c>
      <c r="V186">
        <f t="shared" si="25"/>
        <v>-0.23893964285714286</v>
      </c>
      <c r="W186">
        <f t="shared" si="29"/>
        <v>-2389.3964285714287</v>
      </c>
    </row>
    <row r="187" spans="1:23" x14ac:dyDescent="0.3">
      <c r="A187" t="s">
        <v>45</v>
      </c>
      <c r="B187" t="s">
        <v>57</v>
      </c>
      <c r="C187">
        <v>2</v>
      </c>
      <c r="D187">
        <v>6</v>
      </c>
      <c r="E187" t="s">
        <v>28</v>
      </c>
      <c r="F187">
        <v>0.43030000000000002</v>
      </c>
      <c r="G187" s="1">
        <v>45849</v>
      </c>
      <c r="H187">
        <v>6.6720199999999998</v>
      </c>
      <c r="I187" s="1">
        <v>45877</v>
      </c>
      <c r="J187">
        <f t="shared" si="27"/>
        <v>63.617251162500004</v>
      </c>
      <c r="K187">
        <v>5.31</v>
      </c>
      <c r="M187">
        <f t="shared" si="26"/>
        <v>0</v>
      </c>
      <c r="N187">
        <f t="shared" si="28"/>
        <v>-5.31</v>
      </c>
      <c r="P187">
        <v>6.9573999999999998</v>
      </c>
      <c r="S187">
        <f t="shared" si="22"/>
        <v>0.28537999999999997</v>
      </c>
      <c r="T187">
        <f t="shared" si="23"/>
        <v>-6.6720199999999998</v>
      </c>
      <c r="U187">
        <f t="shared" si="24"/>
        <v>28</v>
      </c>
      <c r="V187">
        <f t="shared" si="25"/>
        <v>-0.23828642857142857</v>
      </c>
      <c r="W187">
        <f t="shared" si="29"/>
        <v>-2382.8642857142859</v>
      </c>
    </row>
    <row r="188" spans="1:23" x14ac:dyDescent="0.3">
      <c r="A188" t="s">
        <v>45</v>
      </c>
      <c r="B188" t="s">
        <v>57</v>
      </c>
      <c r="C188">
        <v>2</v>
      </c>
      <c r="D188">
        <v>6</v>
      </c>
      <c r="E188" t="s">
        <v>30</v>
      </c>
      <c r="F188">
        <v>0.42574000000000001</v>
      </c>
      <c r="G188" s="1">
        <v>45849</v>
      </c>
      <c r="H188">
        <v>6.6970799999999997</v>
      </c>
      <c r="I188" s="1">
        <v>45877</v>
      </c>
      <c r="J188">
        <f t="shared" si="27"/>
        <v>63.617251162500004</v>
      </c>
      <c r="K188">
        <v>5.31</v>
      </c>
      <c r="M188">
        <f t="shared" si="26"/>
        <v>0</v>
      </c>
      <c r="N188">
        <f t="shared" si="28"/>
        <v>-5.31</v>
      </c>
      <c r="P188">
        <v>7.0745100000000001</v>
      </c>
      <c r="S188">
        <f t="shared" si="22"/>
        <v>0.37743000000000038</v>
      </c>
      <c r="T188">
        <f t="shared" si="23"/>
        <v>-6.6970799999999997</v>
      </c>
      <c r="U188">
        <f t="shared" si="24"/>
        <v>28</v>
      </c>
      <c r="V188">
        <f t="shared" si="25"/>
        <v>-0.23918142857142857</v>
      </c>
      <c r="W188">
        <f t="shared" si="29"/>
        <v>-2391.8142857142857</v>
      </c>
    </row>
    <row r="189" spans="1:23" x14ac:dyDescent="0.3">
      <c r="A189" t="s">
        <v>45</v>
      </c>
      <c r="B189" t="s">
        <v>57</v>
      </c>
      <c r="C189">
        <v>2</v>
      </c>
      <c r="D189">
        <v>6</v>
      </c>
      <c r="E189" t="s">
        <v>31</v>
      </c>
      <c r="F189">
        <v>0.43257000000000001</v>
      </c>
      <c r="G189" s="1">
        <v>45849</v>
      </c>
      <c r="H189">
        <v>6.7501300000000004</v>
      </c>
      <c r="I189" s="1">
        <v>45877</v>
      </c>
      <c r="J189">
        <f t="shared" si="27"/>
        <v>63.617251162500004</v>
      </c>
      <c r="K189">
        <v>5.31</v>
      </c>
      <c r="M189">
        <f t="shared" si="26"/>
        <v>0</v>
      </c>
      <c r="N189">
        <f t="shared" si="28"/>
        <v>-5.31</v>
      </c>
      <c r="P189">
        <v>7.1292900000000001</v>
      </c>
      <c r="S189">
        <f t="shared" ref="S189:S252" si="30">P189-M189-H189</f>
        <v>0.37915999999999972</v>
      </c>
      <c r="T189">
        <f t="shared" ref="T189:T252" si="31">Q189-M189-H189</f>
        <v>-6.7501300000000004</v>
      </c>
      <c r="U189">
        <f t="shared" si="24"/>
        <v>28</v>
      </c>
      <c r="V189">
        <f t="shared" si="25"/>
        <v>-0.24107607142857143</v>
      </c>
      <c r="W189">
        <f t="shared" si="29"/>
        <v>-2410.7607142857141</v>
      </c>
    </row>
    <row r="190" spans="1:23" x14ac:dyDescent="0.3">
      <c r="A190" t="s">
        <v>45</v>
      </c>
      <c r="B190" t="s">
        <v>57</v>
      </c>
      <c r="C190">
        <v>2</v>
      </c>
      <c r="D190">
        <v>12</v>
      </c>
      <c r="E190" t="s">
        <v>28</v>
      </c>
      <c r="F190">
        <v>0.43089</v>
      </c>
      <c r="G190" s="1">
        <v>45849</v>
      </c>
      <c r="H190">
        <v>6.6400100000000002</v>
      </c>
      <c r="I190" s="1">
        <v>45877</v>
      </c>
      <c r="J190">
        <f t="shared" si="27"/>
        <v>63.617251162500004</v>
      </c>
      <c r="K190">
        <v>5.31</v>
      </c>
      <c r="M190">
        <f t="shared" si="26"/>
        <v>0</v>
      </c>
      <c r="N190">
        <f t="shared" si="28"/>
        <v>-5.31</v>
      </c>
      <c r="P190">
        <v>8.5682600000000004</v>
      </c>
      <c r="S190">
        <f t="shared" si="30"/>
        <v>1.9282500000000002</v>
      </c>
      <c r="T190">
        <f t="shared" si="31"/>
        <v>-6.6400100000000002</v>
      </c>
      <c r="U190">
        <f t="shared" ref="U190:U253" si="32">I190-G190</f>
        <v>28</v>
      </c>
      <c r="V190">
        <f t="shared" si="25"/>
        <v>-0.2371432142857143</v>
      </c>
      <c r="W190">
        <f t="shared" si="29"/>
        <v>-2371.4321428571429</v>
      </c>
    </row>
    <row r="191" spans="1:23" x14ac:dyDescent="0.3">
      <c r="A191" t="s">
        <v>45</v>
      </c>
      <c r="B191" t="s">
        <v>57</v>
      </c>
      <c r="C191">
        <v>2</v>
      </c>
      <c r="D191">
        <v>12</v>
      </c>
      <c r="E191" t="s">
        <v>30</v>
      </c>
      <c r="F191">
        <v>0.42502000000000001</v>
      </c>
      <c r="G191" s="1">
        <v>45849</v>
      </c>
      <c r="H191">
        <v>6.7019700000000002</v>
      </c>
      <c r="I191" s="1">
        <v>45877</v>
      </c>
      <c r="J191">
        <f t="shared" si="27"/>
        <v>63.617251162500004</v>
      </c>
      <c r="K191">
        <v>5.31</v>
      </c>
      <c r="M191">
        <f t="shared" si="26"/>
        <v>0</v>
      </c>
      <c r="N191">
        <f t="shared" si="28"/>
        <v>-5.31</v>
      </c>
      <c r="P191">
        <v>8.7257499999999997</v>
      </c>
      <c r="S191">
        <f t="shared" si="30"/>
        <v>2.0237799999999995</v>
      </c>
      <c r="T191">
        <f t="shared" si="31"/>
        <v>-6.7019700000000002</v>
      </c>
      <c r="U191">
        <f t="shared" si="32"/>
        <v>28</v>
      </c>
      <c r="V191">
        <f t="shared" ref="V191:V254" si="33">T191/U191</f>
        <v>-0.23935607142857143</v>
      </c>
      <c r="W191">
        <f t="shared" si="29"/>
        <v>-2393.5607142857143</v>
      </c>
    </row>
    <row r="192" spans="1:23" x14ac:dyDescent="0.3">
      <c r="A192" t="s">
        <v>45</v>
      </c>
      <c r="B192" t="s">
        <v>57</v>
      </c>
      <c r="C192">
        <v>2</v>
      </c>
      <c r="D192">
        <v>12</v>
      </c>
      <c r="E192" t="s">
        <v>31</v>
      </c>
      <c r="F192">
        <v>0.43062</v>
      </c>
      <c r="G192" s="1">
        <v>45849</v>
      </c>
      <c r="H192">
        <v>6.6822600000000003</v>
      </c>
      <c r="I192" s="1">
        <v>45877</v>
      </c>
      <c r="J192">
        <f t="shared" si="27"/>
        <v>63.617251162500004</v>
      </c>
      <c r="K192">
        <v>5.31</v>
      </c>
      <c r="M192">
        <f t="shared" si="26"/>
        <v>0</v>
      </c>
      <c r="N192">
        <f t="shared" si="28"/>
        <v>-5.31</v>
      </c>
      <c r="P192">
        <v>8.4215199999999992</v>
      </c>
      <c r="S192">
        <f t="shared" si="30"/>
        <v>1.7392599999999989</v>
      </c>
      <c r="T192">
        <f t="shared" si="31"/>
        <v>-6.6822600000000003</v>
      </c>
      <c r="U192">
        <f t="shared" si="32"/>
        <v>28</v>
      </c>
      <c r="V192">
        <f t="shared" si="33"/>
        <v>-0.23865214285714287</v>
      </c>
      <c r="W192">
        <f t="shared" si="29"/>
        <v>-2386.5214285714287</v>
      </c>
    </row>
    <row r="193" spans="1:29" x14ac:dyDescent="0.3">
      <c r="A193" t="s">
        <v>45</v>
      </c>
      <c r="B193" t="s">
        <v>57</v>
      </c>
      <c r="C193">
        <v>2</v>
      </c>
      <c r="D193">
        <v>24</v>
      </c>
      <c r="E193" t="s">
        <v>28</v>
      </c>
      <c r="F193">
        <v>0.42514999999999997</v>
      </c>
      <c r="G193" s="1">
        <v>45849</v>
      </c>
      <c r="H193">
        <v>6.6784800000000004</v>
      </c>
      <c r="I193" s="1">
        <v>45877</v>
      </c>
      <c r="J193">
        <f t="shared" si="27"/>
        <v>63.617251162500004</v>
      </c>
      <c r="K193">
        <v>5.31</v>
      </c>
      <c r="M193">
        <f t="shared" si="26"/>
        <v>0</v>
      </c>
      <c r="N193">
        <f t="shared" si="28"/>
        <v>-5.31</v>
      </c>
      <c r="P193">
        <v>7.7333299999999996</v>
      </c>
      <c r="S193">
        <f t="shared" si="30"/>
        <v>1.0548499999999992</v>
      </c>
      <c r="T193">
        <f t="shared" si="31"/>
        <v>-6.6784800000000004</v>
      </c>
      <c r="U193">
        <f t="shared" si="32"/>
        <v>28</v>
      </c>
      <c r="V193">
        <f t="shared" si="33"/>
        <v>-0.23851714285714287</v>
      </c>
      <c r="W193">
        <f t="shared" si="29"/>
        <v>-2385.1714285714288</v>
      </c>
    </row>
    <row r="194" spans="1:29" x14ac:dyDescent="0.3">
      <c r="A194" t="s">
        <v>45</v>
      </c>
      <c r="B194" t="s">
        <v>57</v>
      </c>
      <c r="C194">
        <v>2</v>
      </c>
      <c r="D194">
        <v>24</v>
      </c>
      <c r="E194" t="s">
        <v>30</v>
      </c>
      <c r="F194">
        <v>0.42997000000000002</v>
      </c>
      <c r="G194" s="1">
        <v>45849</v>
      </c>
      <c r="H194">
        <v>6.66073</v>
      </c>
      <c r="I194" s="1">
        <v>45877</v>
      </c>
      <c r="J194">
        <f t="shared" si="27"/>
        <v>63.617251162500004</v>
      </c>
      <c r="K194">
        <v>5.31</v>
      </c>
      <c r="M194">
        <f t="shared" si="26"/>
        <v>0</v>
      </c>
      <c r="N194">
        <f t="shared" si="28"/>
        <v>-5.31</v>
      </c>
      <c r="P194">
        <v>7.5960799999999997</v>
      </c>
      <c r="S194">
        <f t="shared" si="30"/>
        <v>0.93534999999999968</v>
      </c>
      <c r="T194">
        <f t="shared" si="31"/>
        <v>-6.66073</v>
      </c>
      <c r="U194">
        <f t="shared" si="32"/>
        <v>28</v>
      </c>
      <c r="V194">
        <f t="shared" si="33"/>
        <v>-0.2378832142857143</v>
      </c>
      <c r="W194">
        <f t="shared" si="29"/>
        <v>-2378.832142857143</v>
      </c>
    </row>
    <row r="195" spans="1:29" x14ac:dyDescent="0.3">
      <c r="A195" t="s">
        <v>45</v>
      </c>
      <c r="B195" t="s">
        <v>57</v>
      </c>
      <c r="C195">
        <v>2</v>
      </c>
      <c r="D195">
        <v>24</v>
      </c>
      <c r="E195" t="s">
        <v>31</v>
      </c>
      <c r="F195">
        <v>0.42394999999999999</v>
      </c>
      <c r="G195" s="1">
        <v>45849</v>
      </c>
      <c r="H195">
        <v>6.69679</v>
      </c>
      <c r="I195" s="1">
        <v>45877</v>
      </c>
      <c r="J195">
        <f t="shared" si="27"/>
        <v>63.617251162500004</v>
      </c>
      <c r="K195">
        <v>5.31</v>
      </c>
      <c r="M195">
        <f t="shared" si="26"/>
        <v>0</v>
      </c>
      <c r="N195">
        <f t="shared" si="28"/>
        <v>-5.31</v>
      </c>
      <c r="P195">
        <v>7.49465</v>
      </c>
      <c r="S195">
        <f t="shared" si="30"/>
        <v>0.79786000000000001</v>
      </c>
      <c r="T195">
        <f t="shared" si="31"/>
        <v>-6.69679</v>
      </c>
      <c r="U195">
        <f t="shared" si="32"/>
        <v>28</v>
      </c>
      <c r="V195">
        <f t="shared" si="33"/>
        <v>-0.23917107142857144</v>
      </c>
      <c r="W195">
        <f t="shared" si="29"/>
        <v>-2391.7107142857144</v>
      </c>
    </row>
    <row r="196" spans="1:29" x14ac:dyDescent="0.3">
      <c r="A196" t="s">
        <v>45</v>
      </c>
      <c r="B196" t="s">
        <v>57</v>
      </c>
      <c r="C196">
        <v>2</v>
      </c>
      <c r="D196">
        <v>48</v>
      </c>
      <c r="E196" t="s">
        <v>28</v>
      </c>
      <c r="F196">
        <v>0.43220999999999998</v>
      </c>
      <c r="G196" s="1">
        <v>45849</v>
      </c>
      <c r="H196">
        <v>6.65768</v>
      </c>
      <c r="I196" s="1">
        <v>45877</v>
      </c>
      <c r="J196">
        <f t="shared" si="27"/>
        <v>63.617251162500004</v>
      </c>
      <c r="K196">
        <v>5.31</v>
      </c>
      <c r="M196">
        <f t="shared" ref="M196:M259" si="34">L196*F196</f>
        <v>0</v>
      </c>
      <c r="N196">
        <f t="shared" si="28"/>
        <v>-5.31</v>
      </c>
      <c r="P196">
        <v>7.6511800000000001</v>
      </c>
      <c r="S196">
        <f t="shared" si="30"/>
        <v>0.99350000000000005</v>
      </c>
      <c r="T196">
        <f t="shared" si="31"/>
        <v>-6.65768</v>
      </c>
      <c r="U196">
        <f t="shared" si="32"/>
        <v>28</v>
      </c>
      <c r="V196">
        <f t="shared" si="33"/>
        <v>-0.23777428571428572</v>
      </c>
      <c r="W196">
        <f t="shared" si="29"/>
        <v>-2377.7428571428572</v>
      </c>
    </row>
    <row r="197" spans="1:29" x14ac:dyDescent="0.3">
      <c r="A197" t="s">
        <v>45</v>
      </c>
      <c r="B197" t="s">
        <v>57</v>
      </c>
      <c r="C197">
        <v>2</v>
      </c>
      <c r="D197">
        <v>48</v>
      </c>
      <c r="E197" t="s">
        <v>30</v>
      </c>
      <c r="F197">
        <v>0.42981000000000003</v>
      </c>
      <c r="G197" s="1">
        <v>45849</v>
      </c>
      <c r="H197">
        <v>6.6981999999999999</v>
      </c>
      <c r="I197" s="1">
        <v>45877</v>
      </c>
      <c r="J197">
        <f t="shared" si="27"/>
        <v>63.617251162500004</v>
      </c>
      <c r="K197">
        <v>5.31</v>
      </c>
      <c r="M197">
        <f t="shared" si="34"/>
        <v>0</v>
      </c>
      <c r="N197">
        <f t="shared" si="28"/>
        <v>-5.31</v>
      </c>
      <c r="P197">
        <v>7.7051699999999999</v>
      </c>
      <c r="S197">
        <f t="shared" si="30"/>
        <v>1.0069699999999999</v>
      </c>
      <c r="T197">
        <f t="shared" si="31"/>
        <v>-6.6981999999999999</v>
      </c>
      <c r="U197">
        <f t="shared" si="32"/>
        <v>28</v>
      </c>
      <c r="V197">
        <f t="shared" si="33"/>
        <v>-0.23922142857142856</v>
      </c>
      <c r="W197">
        <f t="shared" si="29"/>
        <v>-2392.2142857142858</v>
      </c>
    </row>
    <row r="198" spans="1:29" x14ac:dyDescent="0.3">
      <c r="A198" t="s">
        <v>45</v>
      </c>
      <c r="B198" t="s">
        <v>57</v>
      </c>
      <c r="C198">
        <v>2</v>
      </c>
      <c r="D198">
        <v>48</v>
      </c>
      <c r="E198" t="s">
        <v>31</v>
      </c>
      <c r="F198">
        <v>0.43240000000000001</v>
      </c>
      <c r="G198" s="1">
        <v>45849</v>
      </c>
      <c r="H198">
        <v>6.6392100000000003</v>
      </c>
      <c r="I198" s="1">
        <v>45877</v>
      </c>
      <c r="J198">
        <f t="shared" si="27"/>
        <v>63.617251162500004</v>
      </c>
      <c r="K198">
        <v>5.31</v>
      </c>
      <c r="M198">
        <f t="shared" si="34"/>
        <v>0</v>
      </c>
      <c r="N198">
        <f t="shared" si="28"/>
        <v>-5.31</v>
      </c>
      <c r="P198">
        <v>7.5706800000000003</v>
      </c>
      <c r="S198">
        <f t="shared" si="30"/>
        <v>0.93147000000000002</v>
      </c>
      <c r="T198">
        <f t="shared" si="31"/>
        <v>-6.6392100000000003</v>
      </c>
      <c r="U198">
        <f t="shared" si="32"/>
        <v>28</v>
      </c>
      <c r="V198">
        <f t="shared" si="33"/>
        <v>-0.23711464285714287</v>
      </c>
      <c r="W198">
        <f t="shared" si="29"/>
        <v>-2371.1464285714287</v>
      </c>
    </row>
    <row r="199" spans="1:29" x14ac:dyDescent="0.3">
      <c r="A199" t="s">
        <v>45</v>
      </c>
      <c r="B199" t="s">
        <v>57</v>
      </c>
      <c r="C199">
        <v>2</v>
      </c>
      <c r="E199" t="s">
        <v>36</v>
      </c>
      <c r="F199">
        <v>0.43064000000000002</v>
      </c>
      <c r="G199" t="s">
        <v>56</v>
      </c>
      <c r="H199">
        <v>6.6016599999999999</v>
      </c>
      <c r="I199" t="s">
        <v>56</v>
      </c>
      <c r="J199">
        <f t="shared" si="27"/>
        <v>63.617251162500004</v>
      </c>
      <c r="K199">
        <v>5.31</v>
      </c>
      <c r="M199">
        <f t="shared" si="34"/>
        <v>0</v>
      </c>
      <c r="N199">
        <f t="shared" si="28"/>
        <v>-5.31</v>
      </c>
      <c r="P199" t="s">
        <v>56</v>
      </c>
      <c r="S199" t="e">
        <f t="shared" si="30"/>
        <v>#VALUE!</v>
      </c>
      <c r="T199">
        <f t="shared" si="31"/>
        <v>-6.6016599999999999</v>
      </c>
      <c r="U199" t="e">
        <f t="shared" si="32"/>
        <v>#VALUE!</v>
      </c>
      <c r="V199" t="e">
        <f t="shared" si="33"/>
        <v>#VALUE!</v>
      </c>
      <c r="W199" t="e">
        <f t="shared" si="29"/>
        <v>#VALUE!</v>
      </c>
    </row>
    <row r="200" spans="1:29" x14ac:dyDescent="0.3">
      <c r="A200" t="s">
        <v>45</v>
      </c>
      <c r="B200" t="s">
        <v>57</v>
      </c>
      <c r="C200">
        <v>2</v>
      </c>
      <c r="E200" t="s">
        <v>39</v>
      </c>
      <c r="F200">
        <v>0.43110999999999999</v>
      </c>
      <c r="G200" t="s">
        <v>56</v>
      </c>
      <c r="H200">
        <v>6.7079199999999997</v>
      </c>
      <c r="I200" t="s">
        <v>56</v>
      </c>
      <c r="J200">
        <f t="shared" si="27"/>
        <v>63.617251162500004</v>
      </c>
      <c r="K200">
        <v>5.31</v>
      </c>
      <c r="M200">
        <f t="shared" si="34"/>
        <v>0</v>
      </c>
      <c r="N200">
        <f t="shared" si="28"/>
        <v>-5.31</v>
      </c>
      <c r="P200" t="s">
        <v>56</v>
      </c>
      <c r="S200" t="e">
        <f t="shared" si="30"/>
        <v>#VALUE!</v>
      </c>
      <c r="T200">
        <f t="shared" si="31"/>
        <v>-6.7079199999999997</v>
      </c>
      <c r="U200" t="e">
        <f t="shared" si="32"/>
        <v>#VALUE!</v>
      </c>
      <c r="V200" t="e">
        <f t="shared" si="33"/>
        <v>#VALUE!</v>
      </c>
      <c r="W200" t="e">
        <f t="shared" si="29"/>
        <v>#VALUE!</v>
      </c>
    </row>
    <row r="201" spans="1:29" x14ac:dyDescent="0.3">
      <c r="A201" t="s">
        <v>45</v>
      </c>
      <c r="B201" t="s">
        <v>57</v>
      </c>
      <c r="C201">
        <v>2</v>
      </c>
      <c r="E201" t="s">
        <v>41</v>
      </c>
      <c r="F201">
        <v>0.42959999999999998</v>
      </c>
      <c r="G201" t="s">
        <v>56</v>
      </c>
      <c r="H201">
        <v>6.1368</v>
      </c>
      <c r="I201" t="s">
        <v>56</v>
      </c>
      <c r="J201">
        <f t="shared" si="27"/>
        <v>63.617251162500004</v>
      </c>
      <c r="K201">
        <v>5.31</v>
      </c>
      <c r="M201">
        <f t="shared" si="34"/>
        <v>0</v>
      </c>
      <c r="N201">
        <f t="shared" si="28"/>
        <v>-5.31</v>
      </c>
      <c r="P201">
        <v>8.5910899999999994</v>
      </c>
      <c r="S201">
        <f t="shared" si="30"/>
        <v>2.4542899999999994</v>
      </c>
      <c r="T201">
        <f t="shared" si="31"/>
        <v>-6.1368</v>
      </c>
      <c r="U201" t="e">
        <f>I201-AC201</f>
        <v>#VALUE!</v>
      </c>
      <c r="V201" t="e">
        <f t="shared" si="33"/>
        <v>#VALUE!</v>
      </c>
      <c r="W201" t="e">
        <f t="shared" si="29"/>
        <v>#VALUE!</v>
      </c>
      <c r="AC201" t="s">
        <v>59</v>
      </c>
    </row>
    <row r="202" spans="1:29" x14ac:dyDescent="0.3">
      <c r="A202" t="s">
        <v>45</v>
      </c>
      <c r="B202" t="s">
        <v>57</v>
      </c>
      <c r="C202">
        <v>2</v>
      </c>
      <c r="E202" t="s">
        <v>43</v>
      </c>
      <c r="F202">
        <v>0.43260999999999999</v>
      </c>
      <c r="G202" t="s">
        <v>56</v>
      </c>
      <c r="H202">
        <v>6.6252800000000001</v>
      </c>
      <c r="I202" t="s">
        <v>56</v>
      </c>
      <c r="J202">
        <f t="shared" si="27"/>
        <v>63.617251162500004</v>
      </c>
      <c r="K202">
        <v>5.31</v>
      </c>
      <c r="M202">
        <f t="shared" si="34"/>
        <v>0</v>
      </c>
      <c r="N202">
        <f t="shared" si="28"/>
        <v>-5.31</v>
      </c>
      <c r="P202" t="s">
        <v>56</v>
      </c>
      <c r="S202" t="e">
        <f t="shared" si="30"/>
        <v>#VALUE!</v>
      </c>
      <c r="T202">
        <f t="shared" si="31"/>
        <v>-6.6252800000000001</v>
      </c>
      <c r="U202" t="e">
        <f t="shared" si="32"/>
        <v>#VALUE!</v>
      </c>
      <c r="V202" t="e">
        <f t="shared" si="33"/>
        <v>#VALUE!</v>
      </c>
      <c r="W202" t="e">
        <f t="shared" si="29"/>
        <v>#VALUE!</v>
      </c>
    </row>
    <row r="203" spans="1:29" x14ac:dyDescent="0.3">
      <c r="A203" t="s">
        <v>60</v>
      </c>
      <c r="B203" t="s">
        <v>61</v>
      </c>
      <c r="C203">
        <v>1</v>
      </c>
      <c r="D203">
        <v>0.5</v>
      </c>
      <c r="E203" t="s">
        <v>28</v>
      </c>
      <c r="F203">
        <v>0.4486</v>
      </c>
      <c r="G203" s="1">
        <v>45874</v>
      </c>
      <c r="H203">
        <v>2.6823800000000002</v>
      </c>
      <c r="I203" s="1">
        <v>45903</v>
      </c>
      <c r="J203">
        <f t="shared" si="27"/>
        <v>63.617251162500004</v>
      </c>
      <c r="K203">
        <v>5.31</v>
      </c>
      <c r="M203">
        <f t="shared" si="34"/>
        <v>0</v>
      </c>
      <c r="N203">
        <f t="shared" si="28"/>
        <v>-5.31</v>
      </c>
      <c r="O203" s="1" t="s">
        <v>178</v>
      </c>
      <c r="P203">
        <v>3.89629</v>
      </c>
      <c r="S203">
        <f t="shared" si="30"/>
        <v>1.2139099999999998</v>
      </c>
      <c r="T203">
        <f t="shared" si="31"/>
        <v>-2.6823800000000002</v>
      </c>
      <c r="U203">
        <f t="shared" si="32"/>
        <v>29</v>
      </c>
      <c r="V203">
        <f t="shared" si="33"/>
        <v>-9.2495862068965526E-2</v>
      </c>
      <c r="W203">
        <f t="shared" si="29"/>
        <v>-924.95862068965528</v>
      </c>
    </row>
    <row r="204" spans="1:29" x14ac:dyDescent="0.3">
      <c r="A204" t="s">
        <v>60</v>
      </c>
      <c r="B204" t="s">
        <v>61</v>
      </c>
      <c r="C204">
        <v>1</v>
      </c>
      <c r="D204">
        <v>0.5</v>
      </c>
      <c r="E204" t="s">
        <v>30</v>
      </c>
      <c r="F204">
        <v>0.45499000000000001</v>
      </c>
      <c r="G204" s="1">
        <v>45874</v>
      </c>
      <c r="H204">
        <v>2.7143999999999999</v>
      </c>
      <c r="I204" s="1">
        <v>45903</v>
      </c>
      <c r="J204">
        <f t="shared" si="27"/>
        <v>63.617251162500004</v>
      </c>
      <c r="K204">
        <v>5.31</v>
      </c>
      <c r="M204">
        <f t="shared" si="34"/>
        <v>0</v>
      </c>
      <c r="N204">
        <f t="shared" si="28"/>
        <v>-5.31</v>
      </c>
      <c r="O204" s="1" t="s">
        <v>178</v>
      </c>
      <c r="P204">
        <v>3.58162</v>
      </c>
      <c r="S204">
        <f t="shared" si="30"/>
        <v>0.8672200000000001</v>
      </c>
      <c r="T204">
        <f t="shared" si="31"/>
        <v>-2.7143999999999999</v>
      </c>
      <c r="U204">
        <f t="shared" si="32"/>
        <v>29</v>
      </c>
      <c r="V204">
        <f t="shared" si="33"/>
        <v>-9.3600000000000003E-2</v>
      </c>
      <c r="W204">
        <f t="shared" si="29"/>
        <v>-936</v>
      </c>
    </row>
    <row r="205" spans="1:29" x14ac:dyDescent="0.3">
      <c r="A205" t="s">
        <v>60</v>
      </c>
      <c r="B205" t="s">
        <v>61</v>
      </c>
      <c r="C205">
        <v>1</v>
      </c>
      <c r="D205">
        <v>0.5</v>
      </c>
      <c r="E205" t="s">
        <v>31</v>
      </c>
      <c r="F205">
        <v>0.44789000000000001</v>
      </c>
      <c r="G205" s="1">
        <v>45874</v>
      </c>
      <c r="H205">
        <v>2.6908099999999999</v>
      </c>
      <c r="I205" s="1">
        <v>45903</v>
      </c>
      <c r="J205">
        <f t="shared" si="27"/>
        <v>63.617251162500004</v>
      </c>
      <c r="K205">
        <v>5.31</v>
      </c>
      <c r="M205">
        <f t="shared" si="34"/>
        <v>0</v>
      </c>
      <c r="N205">
        <f t="shared" si="28"/>
        <v>-5.31</v>
      </c>
      <c r="O205" s="1" t="s">
        <v>178</v>
      </c>
      <c r="P205">
        <v>3.6065999999999998</v>
      </c>
      <c r="S205">
        <f t="shared" si="30"/>
        <v>0.91578999999999988</v>
      </c>
      <c r="T205">
        <f t="shared" si="31"/>
        <v>-2.6908099999999999</v>
      </c>
      <c r="U205">
        <f t="shared" si="32"/>
        <v>29</v>
      </c>
      <c r="V205">
        <f t="shared" si="33"/>
        <v>-9.2786551724137925E-2</v>
      </c>
      <c r="W205">
        <f t="shared" si="29"/>
        <v>-927.86551724137928</v>
      </c>
    </row>
    <row r="206" spans="1:29" x14ac:dyDescent="0.3">
      <c r="A206" t="s">
        <v>60</v>
      </c>
      <c r="B206" t="s">
        <v>61</v>
      </c>
      <c r="C206">
        <v>1</v>
      </c>
      <c r="D206">
        <v>2</v>
      </c>
      <c r="E206" t="s">
        <v>28</v>
      </c>
      <c r="F206">
        <v>0.45427000000000001</v>
      </c>
      <c r="G206" s="1">
        <v>45874</v>
      </c>
      <c r="H206">
        <v>2.70777</v>
      </c>
      <c r="I206" s="1">
        <v>45903</v>
      </c>
      <c r="J206">
        <f t="shared" si="27"/>
        <v>63.617251162500004</v>
      </c>
      <c r="K206">
        <v>5.31</v>
      </c>
      <c r="M206">
        <f t="shared" si="34"/>
        <v>0</v>
      </c>
      <c r="N206">
        <f t="shared" si="28"/>
        <v>-5.31</v>
      </c>
      <c r="O206" s="1" t="s">
        <v>178</v>
      </c>
      <c r="P206">
        <v>3.4164099999999999</v>
      </c>
      <c r="S206">
        <f t="shared" si="30"/>
        <v>0.70863999999999994</v>
      </c>
      <c r="T206">
        <f t="shared" si="31"/>
        <v>-2.70777</v>
      </c>
      <c r="U206">
        <f t="shared" si="32"/>
        <v>29</v>
      </c>
      <c r="V206">
        <f t="shared" si="33"/>
        <v>-9.3371379310344824E-2</v>
      </c>
      <c r="W206">
        <f t="shared" si="29"/>
        <v>-933.71379310344821</v>
      </c>
    </row>
    <row r="207" spans="1:29" x14ac:dyDescent="0.3">
      <c r="A207" t="s">
        <v>60</v>
      </c>
      <c r="B207" t="s">
        <v>61</v>
      </c>
      <c r="C207">
        <v>1</v>
      </c>
      <c r="D207">
        <v>2</v>
      </c>
      <c r="E207" t="s">
        <v>30</v>
      </c>
      <c r="F207">
        <v>0.44719999999999999</v>
      </c>
      <c r="G207" s="1">
        <v>45874</v>
      </c>
      <c r="H207">
        <v>2.7405400000000002</v>
      </c>
      <c r="I207" s="1">
        <v>45903</v>
      </c>
      <c r="J207">
        <f t="shared" si="27"/>
        <v>63.617251162500004</v>
      </c>
      <c r="K207">
        <v>5.31</v>
      </c>
      <c r="M207">
        <f t="shared" si="34"/>
        <v>0</v>
      </c>
      <c r="N207">
        <f t="shared" si="28"/>
        <v>-5.31</v>
      </c>
      <c r="O207" s="1" t="s">
        <v>178</v>
      </c>
      <c r="P207">
        <v>3.4088500000000002</v>
      </c>
      <c r="S207">
        <f t="shared" si="30"/>
        <v>0.66830999999999996</v>
      </c>
      <c r="T207">
        <f t="shared" si="31"/>
        <v>-2.7405400000000002</v>
      </c>
      <c r="U207">
        <f t="shared" si="32"/>
        <v>29</v>
      </c>
      <c r="V207">
        <f t="shared" si="33"/>
        <v>-9.450137931034483E-2</v>
      </c>
      <c r="W207">
        <f t="shared" si="29"/>
        <v>-945.01379310344828</v>
      </c>
    </row>
    <row r="208" spans="1:29" x14ac:dyDescent="0.3">
      <c r="A208" t="s">
        <v>60</v>
      </c>
      <c r="B208" t="s">
        <v>61</v>
      </c>
      <c r="C208">
        <v>1</v>
      </c>
      <c r="D208">
        <v>2</v>
      </c>
      <c r="E208" t="s">
        <v>31</v>
      </c>
      <c r="F208">
        <v>0.45451000000000003</v>
      </c>
      <c r="G208" s="1">
        <v>45874</v>
      </c>
      <c r="H208">
        <v>2.7073700000000001</v>
      </c>
      <c r="I208" s="1">
        <v>45903</v>
      </c>
      <c r="J208">
        <f t="shared" si="27"/>
        <v>63.617251162500004</v>
      </c>
      <c r="K208">
        <v>5.31</v>
      </c>
      <c r="M208">
        <f t="shared" si="34"/>
        <v>0</v>
      </c>
      <c r="N208">
        <f t="shared" si="28"/>
        <v>-5.31</v>
      </c>
      <c r="O208" s="1" t="s">
        <v>178</v>
      </c>
      <c r="P208">
        <v>3.3524799999999999</v>
      </c>
      <c r="S208">
        <f t="shared" si="30"/>
        <v>0.64510999999999985</v>
      </c>
      <c r="T208">
        <f t="shared" si="31"/>
        <v>-2.7073700000000001</v>
      </c>
      <c r="U208">
        <f t="shared" si="32"/>
        <v>29</v>
      </c>
      <c r="V208">
        <f t="shared" si="33"/>
        <v>-9.3357586206896548E-2</v>
      </c>
      <c r="W208">
        <f t="shared" si="29"/>
        <v>-933.57586206896553</v>
      </c>
    </row>
    <row r="209" spans="1:23" x14ac:dyDescent="0.3">
      <c r="A209" t="s">
        <v>60</v>
      </c>
      <c r="B209" t="s">
        <v>61</v>
      </c>
      <c r="C209">
        <v>1</v>
      </c>
      <c r="D209">
        <v>6</v>
      </c>
      <c r="E209" t="s">
        <v>28</v>
      </c>
      <c r="F209">
        <v>0.45052999999999999</v>
      </c>
      <c r="G209" s="1">
        <v>45874</v>
      </c>
      <c r="H209">
        <v>2.6910699999999999</v>
      </c>
      <c r="I209" s="1">
        <v>45903</v>
      </c>
      <c r="J209">
        <f t="shared" si="27"/>
        <v>63.617251162500004</v>
      </c>
      <c r="K209">
        <v>5.31</v>
      </c>
      <c r="M209">
        <f t="shared" si="34"/>
        <v>0</v>
      </c>
      <c r="N209">
        <f t="shared" si="28"/>
        <v>-5.31</v>
      </c>
      <c r="O209" s="1" t="s">
        <v>178</v>
      </c>
      <c r="P209">
        <v>4.0259999999999998</v>
      </c>
      <c r="S209">
        <f t="shared" si="30"/>
        <v>1.3349299999999999</v>
      </c>
      <c r="T209">
        <f t="shared" si="31"/>
        <v>-2.6910699999999999</v>
      </c>
      <c r="U209">
        <f t="shared" si="32"/>
        <v>29</v>
      </c>
      <c r="V209">
        <f t="shared" si="33"/>
        <v>-9.2795517241379299E-2</v>
      </c>
      <c r="W209">
        <f t="shared" si="29"/>
        <v>-927.95517241379298</v>
      </c>
    </row>
    <row r="210" spans="1:23" x14ac:dyDescent="0.3">
      <c r="A210" t="s">
        <v>60</v>
      </c>
      <c r="B210" t="s">
        <v>61</v>
      </c>
      <c r="C210">
        <v>1</v>
      </c>
      <c r="D210">
        <v>6</v>
      </c>
      <c r="E210" t="s">
        <v>30</v>
      </c>
      <c r="F210">
        <v>0.44414999999999999</v>
      </c>
      <c r="G210" s="1">
        <v>45874</v>
      </c>
      <c r="H210">
        <v>2.6737899999999999</v>
      </c>
      <c r="I210" s="1">
        <v>45903</v>
      </c>
      <c r="J210">
        <f t="shared" si="27"/>
        <v>63.617251162500004</v>
      </c>
      <c r="K210">
        <v>5.31</v>
      </c>
      <c r="M210">
        <f t="shared" si="34"/>
        <v>0</v>
      </c>
      <c r="N210">
        <f t="shared" si="28"/>
        <v>-5.31</v>
      </c>
      <c r="O210" s="1" t="s">
        <v>178</v>
      </c>
      <c r="P210">
        <v>3.86639</v>
      </c>
      <c r="S210">
        <f t="shared" si="30"/>
        <v>1.1926000000000001</v>
      </c>
      <c r="T210">
        <f t="shared" si="31"/>
        <v>-2.6737899999999999</v>
      </c>
      <c r="U210">
        <f t="shared" si="32"/>
        <v>29</v>
      </c>
      <c r="V210">
        <f t="shared" si="33"/>
        <v>-9.2199655172413783E-2</v>
      </c>
      <c r="W210">
        <f t="shared" si="29"/>
        <v>-921.99655172413782</v>
      </c>
    </row>
    <row r="211" spans="1:23" x14ac:dyDescent="0.3">
      <c r="A211" t="s">
        <v>60</v>
      </c>
      <c r="B211" t="s">
        <v>61</v>
      </c>
      <c r="C211">
        <v>1</v>
      </c>
      <c r="D211">
        <v>6</v>
      </c>
      <c r="E211" t="s">
        <v>31</v>
      </c>
      <c r="F211">
        <v>0.44994000000000001</v>
      </c>
      <c r="G211" s="1">
        <v>45874</v>
      </c>
      <c r="H211">
        <v>2.7009699999999999</v>
      </c>
      <c r="I211" s="1">
        <v>45903</v>
      </c>
      <c r="J211">
        <f t="shared" si="27"/>
        <v>63.617251162500004</v>
      </c>
      <c r="K211">
        <v>5.31</v>
      </c>
      <c r="M211">
        <f t="shared" si="34"/>
        <v>0</v>
      </c>
      <c r="N211">
        <f t="shared" si="28"/>
        <v>-5.31</v>
      </c>
      <c r="O211" s="1" t="s">
        <v>178</v>
      </c>
      <c r="P211">
        <v>3.92245</v>
      </c>
      <c r="S211">
        <f t="shared" si="30"/>
        <v>1.2214800000000001</v>
      </c>
      <c r="T211">
        <f t="shared" si="31"/>
        <v>-2.7009699999999999</v>
      </c>
      <c r="U211">
        <f t="shared" si="32"/>
        <v>29</v>
      </c>
      <c r="V211">
        <f t="shared" si="33"/>
        <v>-9.3136896551724135E-2</v>
      </c>
      <c r="W211">
        <f t="shared" si="29"/>
        <v>-931.36896551724135</v>
      </c>
    </row>
    <row r="212" spans="1:23" x14ac:dyDescent="0.3">
      <c r="A212" t="s">
        <v>60</v>
      </c>
      <c r="B212" t="s">
        <v>61</v>
      </c>
      <c r="C212">
        <v>1</v>
      </c>
      <c r="D212">
        <v>12</v>
      </c>
      <c r="E212" t="s">
        <v>28</v>
      </c>
      <c r="F212">
        <v>0.44519999999999998</v>
      </c>
      <c r="G212" s="1">
        <v>45874</v>
      </c>
      <c r="H212">
        <v>2.6773500000000001</v>
      </c>
      <c r="I212" s="1">
        <v>45903</v>
      </c>
      <c r="J212">
        <f t="shared" si="27"/>
        <v>63.617251162500004</v>
      </c>
      <c r="K212">
        <v>5.31</v>
      </c>
      <c r="M212">
        <f t="shared" si="34"/>
        <v>0</v>
      </c>
      <c r="N212">
        <f t="shared" si="28"/>
        <v>-5.31</v>
      </c>
      <c r="O212" s="1" t="s">
        <v>178</v>
      </c>
      <c r="P212">
        <v>3.32483</v>
      </c>
      <c r="S212">
        <f t="shared" si="30"/>
        <v>0.64747999999999983</v>
      </c>
      <c r="T212">
        <f t="shared" si="31"/>
        <v>-2.6773500000000001</v>
      </c>
      <c r="U212">
        <f t="shared" si="32"/>
        <v>29</v>
      </c>
      <c r="V212">
        <f t="shared" si="33"/>
        <v>-9.232241379310345E-2</v>
      </c>
      <c r="W212">
        <f t="shared" si="29"/>
        <v>-923.22413793103453</v>
      </c>
    </row>
    <row r="213" spans="1:23" x14ac:dyDescent="0.3">
      <c r="A213" t="s">
        <v>60</v>
      </c>
      <c r="B213" t="s">
        <v>61</v>
      </c>
      <c r="C213">
        <v>1</v>
      </c>
      <c r="D213">
        <v>12</v>
      </c>
      <c r="E213" t="s">
        <v>30</v>
      </c>
      <c r="F213">
        <v>0.45273999999999998</v>
      </c>
      <c r="G213" s="1">
        <v>45874</v>
      </c>
      <c r="H213">
        <v>2.7392799999999999</v>
      </c>
      <c r="I213" s="1">
        <v>45903</v>
      </c>
      <c r="J213">
        <f t="shared" si="27"/>
        <v>63.617251162500004</v>
      </c>
      <c r="K213">
        <v>5.31</v>
      </c>
      <c r="M213">
        <f t="shared" si="34"/>
        <v>0</v>
      </c>
      <c r="N213">
        <f t="shared" si="28"/>
        <v>-5.31</v>
      </c>
      <c r="O213" s="1" t="s">
        <v>178</v>
      </c>
      <c r="P213">
        <v>3.4426000000000001</v>
      </c>
      <c r="S213">
        <f t="shared" si="30"/>
        <v>0.70332000000000017</v>
      </c>
      <c r="T213">
        <f t="shared" si="31"/>
        <v>-2.7392799999999999</v>
      </c>
      <c r="U213">
        <f t="shared" si="32"/>
        <v>29</v>
      </c>
      <c r="V213">
        <f t="shared" si="33"/>
        <v>-9.4457931034482759E-2</v>
      </c>
      <c r="W213">
        <f t="shared" si="29"/>
        <v>-944.5793103448276</v>
      </c>
    </row>
    <row r="214" spans="1:23" x14ac:dyDescent="0.3">
      <c r="A214" t="s">
        <v>60</v>
      </c>
      <c r="B214" t="s">
        <v>61</v>
      </c>
      <c r="C214">
        <v>1</v>
      </c>
      <c r="D214">
        <v>12</v>
      </c>
      <c r="E214" t="s">
        <v>31</v>
      </c>
      <c r="F214">
        <v>0.44457000000000002</v>
      </c>
      <c r="G214" s="1">
        <v>45874</v>
      </c>
      <c r="H214">
        <v>2.6848700000000001</v>
      </c>
      <c r="I214" s="1">
        <v>45903</v>
      </c>
      <c r="J214">
        <f t="shared" si="27"/>
        <v>63.617251162500004</v>
      </c>
      <c r="K214">
        <v>5.31</v>
      </c>
      <c r="M214">
        <f t="shared" si="34"/>
        <v>0</v>
      </c>
      <c r="N214">
        <f t="shared" si="28"/>
        <v>-5.31</v>
      </c>
      <c r="O214" s="1" t="s">
        <v>178</v>
      </c>
      <c r="P214">
        <v>3.4614500000000001</v>
      </c>
      <c r="S214">
        <f t="shared" si="30"/>
        <v>0.77658000000000005</v>
      </c>
      <c r="T214">
        <f t="shared" si="31"/>
        <v>-2.6848700000000001</v>
      </c>
      <c r="U214">
        <f t="shared" si="32"/>
        <v>29</v>
      </c>
      <c r="V214">
        <f t="shared" si="33"/>
        <v>-9.2581724137931032E-2</v>
      </c>
      <c r="W214">
        <f t="shared" si="29"/>
        <v>-925.8172413793103</v>
      </c>
    </row>
    <row r="215" spans="1:23" x14ac:dyDescent="0.3">
      <c r="A215" t="s">
        <v>60</v>
      </c>
      <c r="B215" t="s">
        <v>61</v>
      </c>
      <c r="C215">
        <v>1</v>
      </c>
      <c r="D215">
        <v>18</v>
      </c>
      <c r="E215" t="s">
        <v>28</v>
      </c>
      <c r="F215">
        <v>0.45062999999999998</v>
      </c>
      <c r="G215" s="1">
        <v>45874</v>
      </c>
      <c r="H215">
        <v>2.66039</v>
      </c>
      <c r="I215" s="1">
        <v>45903</v>
      </c>
      <c r="J215">
        <f t="shared" si="27"/>
        <v>63.617251162500004</v>
      </c>
      <c r="K215">
        <v>5.31</v>
      </c>
      <c r="M215">
        <f t="shared" si="34"/>
        <v>0</v>
      </c>
      <c r="N215">
        <f t="shared" si="28"/>
        <v>-5.31</v>
      </c>
      <c r="O215" s="1" t="s">
        <v>178</v>
      </c>
      <c r="P215">
        <v>3.6688000000000001</v>
      </c>
      <c r="S215">
        <f t="shared" si="30"/>
        <v>1.00841</v>
      </c>
      <c r="T215">
        <f t="shared" si="31"/>
        <v>-2.66039</v>
      </c>
      <c r="U215">
        <f t="shared" si="32"/>
        <v>29</v>
      </c>
      <c r="V215">
        <f t="shared" si="33"/>
        <v>-9.1737586206896551E-2</v>
      </c>
      <c r="W215">
        <f t="shared" si="29"/>
        <v>-917.37586206896549</v>
      </c>
    </row>
    <row r="216" spans="1:23" x14ac:dyDescent="0.3">
      <c r="A216" t="s">
        <v>60</v>
      </c>
      <c r="B216" t="s">
        <v>61</v>
      </c>
      <c r="C216">
        <v>1</v>
      </c>
      <c r="D216">
        <v>18</v>
      </c>
      <c r="E216" t="s">
        <v>30</v>
      </c>
      <c r="F216">
        <v>0.45602999999999999</v>
      </c>
      <c r="G216" s="1">
        <v>45874</v>
      </c>
      <c r="H216">
        <v>2.6917900000000001</v>
      </c>
      <c r="I216" s="1">
        <v>45903</v>
      </c>
      <c r="J216">
        <f t="shared" si="27"/>
        <v>63.617251162500004</v>
      </c>
      <c r="K216">
        <v>5.31</v>
      </c>
      <c r="M216">
        <f t="shared" si="34"/>
        <v>0</v>
      </c>
      <c r="N216">
        <f t="shared" si="28"/>
        <v>-5.31</v>
      </c>
      <c r="O216" s="1" t="s">
        <v>178</v>
      </c>
      <c r="P216">
        <v>3.6207099999999999</v>
      </c>
      <c r="S216">
        <f t="shared" si="30"/>
        <v>0.92891999999999975</v>
      </c>
      <c r="T216">
        <f t="shared" si="31"/>
        <v>-2.6917900000000001</v>
      </c>
      <c r="U216">
        <f t="shared" si="32"/>
        <v>29</v>
      </c>
      <c r="V216">
        <f t="shared" si="33"/>
        <v>-9.2820344827586207E-2</v>
      </c>
      <c r="W216">
        <f t="shared" si="29"/>
        <v>-928.20344827586212</v>
      </c>
    </row>
    <row r="217" spans="1:23" x14ac:dyDescent="0.3">
      <c r="A217" t="s">
        <v>60</v>
      </c>
      <c r="B217" t="s">
        <v>61</v>
      </c>
      <c r="C217">
        <v>1</v>
      </c>
      <c r="D217">
        <v>18</v>
      </c>
      <c r="E217" t="s">
        <v>62</v>
      </c>
      <c r="F217">
        <v>0.44945000000000002</v>
      </c>
      <c r="G217" s="1">
        <v>45874</v>
      </c>
      <c r="H217">
        <v>2.6847400000000001</v>
      </c>
      <c r="I217" s="1">
        <v>45903</v>
      </c>
      <c r="J217">
        <f t="shared" si="27"/>
        <v>63.617251162500004</v>
      </c>
      <c r="K217">
        <v>5.31</v>
      </c>
      <c r="M217">
        <f t="shared" si="34"/>
        <v>0</v>
      </c>
      <c r="N217">
        <f t="shared" si="28"/>
        <v>-5.31</v>
      </c>
      <c r="O217" s="1" t="s">
        <v>178</v>
      </c>
      <c r="P217">
        <v>3.5695800000000002</v>
      </c>
      <c r="S217">
        <f t="shared" si="30"/>
        <v>0.88484000000000007</v>
      </c>
      <c r="T217">
        <f t="shared" si="31"/>
        <v>-2.6847400000000001</v>
      </c>
      <c r="U217">
        <f t="shared" si="32"/>
        <v>29</v>
      </c>
      <c r="V217">
        <f t="shared" si="33"/>
        <v>-9.2577241379310352E-2</v>
      </c>
      <c r="W217">
        <f t="shared" si="29"/>
        <v>-925.77241379310351</v>
      </c>
    </row>
    <row r="218" spans="1:23" x14ac:dyDescent="0.3">
      <c r="A218" t="s">
        <v>60</v>
      </c>
      <c r="B218" t="s">
        <v>61</v>
      </c>
      <c r="C218">
        <v>1</v>
      </c>
      <c r="D218">
        <v>24</v>
      </c>
      <c r="E218" t="s">
        <v>28</v>
      </c>
      <c r="F218">
        <v>0.45062999999999998</v>
      </c>
      <c r="G218" s="1">
        <v>45874</v>
      </c>
      <c r="H218">
        <v>2.6919599999999999</v>
      </c>
      <c r="I218" s="1">
        <v>45903</v>
      </c>
      <c r="J218">
        <f t="shared" si="27"/>
        <v>63.617251162500004</v>
      </c>
      <c r="K218">
        <v>5.31</v>
      </c>
      <c r="M218">
        <f t="shared" si="34"/>
        <v>0</v>
      </c>
      <c r="N218">
        <f t="shared" si="28"/>
        <v>-5.31</v>
      </c>
      <c r="O218" s="1" t="s">
        <v>178</v>
      </c>
      <c r="P218">
        <v>3.4238599999999999</v>
      </c>
      <c r="S218">
        <f t="shared" si="30"/>
        <v>0.7319</v>
      </c>
      <c r="T218">
        <f t="shared" si="31"/>
        <v>-2.6919599999999999</v>
      </c>
      <c r="U218">
        <f t="shared" si="32"/>
        <v>29</v>
      </c>
      <c r="V218">
        <f t="shared" si="33"/>
        <v>-9.2826206896551716E-2</v>
      </c>
      <c r="W218">
        <f t="shared" si="29"/>
        <v>-928.26206896551719</v>
      </c>
    </row>
    <row r="219" spans="1:23" x14ac:dyDescent="0.3">
      <c r="A219" t="s">
        <v>60</v>
      </c>
      <c r="B219" t="s">
        <v>61</v>
      </c>
      <c r="C219">
        <v>1</v>
      </c>
      <c r="D219">
        <v>24</v>
      </c>
      <c r="E219" t="s">
        <v>30</v>
      </c>
      <c r="F219">
        <v>0.45602999999999999</v>
      </c>
      <c r="G219" s="1">
        <v>45874</v>
      </c>
      <c r="H219">
        <v>2.6926700000000001</v>
      </c>
      <c r="I219" s="1">
        <v>45903</v>
      </c>
      <c r="J219">
        <f t="shared" si="27"/>
        <v>63.617251162500004</v>
      </c>
      <c r="K219">
        <v>5.31</v>
      </c>
      <c r="M219">
        <f t="shared" si="34"/>
        <v>0</v>
      </c>
      <c r="N219">
        <f t="shared" si="28"/>
        <v>-5.31</v>
      </c>
      <c r="O219" s="1" t="s">
        <v>178</v>
      </c>
      <c r="P219">
        <v>3.4952899999999998</v>
      </c>
      <c r="S219">
        <f t="shared" si="30"/>
        <v>0.80261999999999967</v>
      </c>
      <c r="T219">
        <f t="shared" si="31"/>
        <v>-2.6926700000000001</v>
      </c>
      <c r="U219">
        <f t="shared" si="32"/>
        <v>29</v>
      </c>
      <c r="V219">
        <f t="shared" si="33"/>
        <v>-9.2850689655172416E-2</v>
      </c>
      <c r="W219">
        <f t="shared" si="29"/>
        <v>-928.50689655172414</v>
      </c>
    </row>
    <row r="220" spans="1:23" x14ac:dyDescent="0.3">
      <c r="A220" t="s">
        <v>60</v>
      </c>
      <c r="B220" t="s">
        <v>61</v>
      </c>
      <c r="C220">
        <v>1</v>
      </c>
      <c r="D220">
        <v>24</v>
      </c>
      <c r="E220" t="s">
        <v>31</v>
      </c>
      <c r="F220">
        <v>0.44945000000000002</v>
      </c>
      <c r="G220" s="1">
        <v>45874</v>
      </c>
      <c r="H220">
        <v>2.6697299999999999</v>
      </c>
      <c r="I220" s="1">
        <v>45903</v>
      </c>
      <c r="J220">
        <f t="shared" si="27"/>
        <v>63.617251162500004</v>
      </c>
      <c r="K220">
        <v>5.31</v>
      </c>
      <c r="M220">
        <f t="shared" si="34"/>
        <v>0</v>
      </c>
      <c r="N220">
        <f t="shared" si="28"/>
        <v>-5.31</v>
      </c>
      <c r="O220" s="1" t="s">
        <v>178</v>
      </c>
      <c r="P220">
        <v>3.4499900000000001</v>
      </c>
      <c r="S220">
        <f t="shared" si="30"/>
        <v>0.78026000000000018</v>
      </c>
      <c r="T220">
        <f t="shared" si="31"/>
        <v>-2.6697299999999999</v>
      </c>
      <c r="U220">
        <f t="shared" si="32"/>
        <v>29</v>
      </c>
      <c r="V220">
        <f t="shared" si="33"/>
        <v>-9.2059655172413796E-2</v>
      </c>
      <c r="W220">
        <f t="shared" si="29"/>
        <v>-920.59655172413795</v>
      </c>
    </row>
    <row r="221" spans="1:23" x14ac:dyDescent="0.3">
      <c r="A221" t="s">
        <v>60</v>
      </c>
      <c r="B221" t="s">
        <v>61</v>
      </c>
      <c r="C221">
        <v>1</v>
      </c>
      <c r="D221">
        <v>48</v>
      </c>
      <c r="E221" t="s">
        <v>28</v>
      </c>
      <c r="F221">
        <v>0.45729999999999998</v>
      </c>
      <c r="G221" s="1">
        <v>45874</v>
      </c>
      <c r="H221">
        <v>2.69685</v>
      </c>
      <c r="I221" s="1">
        <v>45903</v>
      </c>
      <c r="J221">
        <f t="shared" si="27"/>
        <v>63.617251162500004</v>
      </c>
      <c r="K221">
        <v>5.31</v>
      </c>
      <c r="M221">
        <f t="shared" si="34"/>
        <v>0</v>
      </c>
      <c r="N221">
        <f t="shared" si="28"/>
        <v>-5.31</v>
      </c>
      <c r="O221" s="1" t="s">
        <v>178</v>
      </c>
      <c r="P221">
        <v>3.51152</v>
      </c>
      <c r="S221">
        <f t="shared" si="30"/>
        <v>0.81467000000000001</v>
      </c>
      <c r="T221">
        <f t="shared" si="31"/>
        <v>-2.69685</v>
      </c>
      <c r="U221">
        <f t="shared" si="32"/>
        <v>29</v>
      </c>
      <c r="V221">
        <f t="shared" si="33"/>
        <v>-9.2994827586206891E-2</v>
      </c>
      <c r="W221">
        <f t="shared" si="29"/>
        <v>-929.94827586206895</v>
      </c>
    </row>
    <row r="222" spans="1:23" x14ac:dyDescent="0.3">
      <c r="A222" t="s">
        <v>60</v>
      </c>
      <c r="B222" t="s">
        <v>61</v>
      </c>
      <c r="C222">
        <v>1</v>
      </c>
      <c r="D222">
        <v>48</v>
      </c>
      <c r="E222" t="s">
        <v>30</v>
      </c>
      <c r="F222">
        <v>0.45029000000000002</v>
      </c>
      <c r="G222" s="1">
        <v>45874</v>
      </c>
      <c r="H222">
        <v>2.6816399999999998</v>
      </c>
      <c r="I222" s="1">
        <v>45903</v>
      </c>
      <c r="J222">
        <f t="shared" si="27"/>
        <v>63.617251162500004</v>
      </c>
      <c r="K222">
        <v>5.31</v>
      </c>
      <c r="M222">
        <f t="shared" si="34"/>
        <v>0</v>
      </c>
      <c r="N222">
        <f t="shared" si="28"/>
        <v>-5.31</v>
      </c>
      <c r="O222" s="1" t="s">
        <v>178</v>
      </c>
      <c r="P222">
        <v>3.5020500000000001</v>
      </c>
      <c r="S222">
        <f t="shared" si="30"/>
        <v>0.82041000000000031</v>
      </c>
      <c r="T222">
        <f t="shared" si="31"/>
        <v>-2.6816399999999998</v>
      </c>
      <c r="U222">
        <f t="shared" si="32"/>
        <v>29</v>
      </c>
      <c r="V222">
        <f t="shared" si="33"/>
        <v>-9.2470344827586204E-2</v>
      </c>
      <c r="W222">
        <f t="shared" si="29"/>
        <v>-924.703448275862</v>
      </c>
    </row>
    <row r="223" spans="1:23" x14ac:dyDescent="0.3">
      <c r="A223" t="s">
        <v>60</v>
      </c>
      <c r="B223" t="s">
        <v>61</v>
      </c>
      <c r="C223">
        <v>1</v>
      </c>
      <c r="D223">
        <v>48</v>
      </c>
      <c r="E223" t="s">
        <v>31</v>
      </c>
      <c r="F223">
        <v>0.45488000000000001</v>
      </c>
      <c r="G223" s="1">
        <v>45874</v>
      </c>
      <c r="H223">
        <v>2.6949000000000001</v>
      </c>
      <c r="I223" s="1">
        <v>45903</v>
      </c>
      <c r="J223">
        <f t="shared" si="27"/>
        <v>63.617251162500004</v>
      </c>
      <c r="K223">
        <v>5.31</v>
      </c>
      <c r="M223">
        <f t="shared" si="34"/>
        <v>0</v>
      </c>
      <c r="N223">
        <f t="shared" si="28"/>
        <v>-5.31</v>
      </c>
      <c r="O223" s="1" t="s">
        <v>178</v>
      </c>
      <c r="P223">
        <v>3.63741</v>
      </c>
      <c r="S223">
        <f t="shared" si="30"/>
        <v>0.94250999999999996</v>
      </c>
      <c r="T223">
        <f t="shared" si="31"/>
        <v>-2.6949000000000001</v>
      </c>
      <c r="U223">
        <f t="shared" si="32"/>
        <v>29</v>
      </c>
      <c r="V223">
        <f t="shared" si="33"/>
        <v>-9.2927586206896548E-2</v>
      </c>
      <c r="W223">
        <f t="shared" si="29"/>
        <v>-929.27586206896547</v>
      </c>
    </row>
    <row r="224" spans="1:23" x14ac:dyDescent="0.3">
      <c r="A224" t="s">
        <v>60</v>
      </c>
      <c r="B224" t="s">
        <v>61</v>
      </c>
      <c r="C224">
        <v>2</v>
      </c>
      <c r="D224">
        <v>0.5</v>
      </c>
      <c r="E224" t="s">
        <v>28</v>
      </c>
      <c r="F224">
        <v>0.44256000000000001</v>
      </c>
      <c r="G224" s="1">
        <v>45874</v>
      </c>
      <c r="H224">
        <v>2.6998899999999999</v>
      </c>
      <c r="I224" s="1">
        <v>45903</v>
      </c>
      <c r="J224">
        <f t="shared" si="27"/>
        <v>63.617251162500004</v>
      </c>
      <c r="K224">
        <v>5.31</v>
      </c>
      <c r="M224">
        <f t="shared" si="34"/>
        <v>0</v>
      </c>
      <c r="N224">
        <f t="shared" si="28"/>
        <v>-5.31</v>
      </c>
      <c r="O224" s="1" t="s">
        <v>179</v>
      </c>
      <c r="P224">
        <v>3.4925000000000002</v>
      </c>
      <c r="S224">
        <f t="shared" si="30"/>
        <v>0.79261000000000026</v>
      </c>
      <c r="T224">
        <f t="shared" si="31"/>
        <v>-2.6998899999999999</v>
      </c>
      <c r="U224">
        <f t="shared" si="32"/>
        <v>29</v>
      </c>
      <c r="V224">
        <f t="shared" si="33"/>
        <v>-9.3099655172413795E-2</v>
      </c>
      <c r="W224">
        <f t="shared" si="29"/>
        <v>-930.99655172413793</v>
      </c>
    </row>
    <row r="225" spans="1:29" x14ac:dyDescent="0.3">
      <c r="A225" t="s">
        <v>60</v>
      </c>
      <c r="B225" t="s">
        <v>61</v>
      </c>
      <c r="C225">
        <v>2</v>
      </c>
      <c r="D225">
        <v>0.5</v>
      </c>
      <c r="E225" t="s">
        <v>30</v>
      </c>
      <c r="F225">
        <v>0.45140999999999998</v>
      </c>
      <c r="G225" s="1">
        <v>45874</v>
      </c>
      <c r="H225">
        <v>2.7327699999999999</v>
      </c>
      <c r="I225" s="1">
        <v>45903</v>
      </c>
      <c r="J225">
        <f t="shared" si="27"/>
        <v>63.617251162500004</v>
      </c>
      <c r="K225">
        <v>5.31</v>
      </c>
      <c r="M225">
        <f t="shared" si="34"/>
        <v>0</v>
      </c>
      <c r="N225">
        <f t="shared" si="28"/>
        <v>-5.31</v>
      </c>
      <c r="O225" s="1" t="s">
        <v>179</v>
      </c>
      <c r="P225">
        <v>3.5267499999999998</v>
      </c>
      <c r="S225">
        <f t="shared" si="30"/>
        <v>0.79397999999999991</v>
      </c>
      <c r="T225">
        <f t="shared" si="31"/>
        <v>-2.7327699999999999</v>
      </c>
      <c r="U225">
        <f t="shared" si="32"/>
        <v>29</v>
      </c>
      <c r="V225">
        <f t="shared" si="33"/>
        <v>-9.4233448275862067E-2</v>
      </c>
      <c r="W225">
        <f t="shared" si="29"/>
        <v>-942.33448275862065</v>
      </c>
    </row>
    <row r="226" spans="1:29" x14ac:dyDescent="0.3">
      <c r="A226" t="s">
        <v>60</v>
      </c>
      <c r="B226" t="s">
        <v>61</v>
      </c>
      <c r="C226">
        <v>2</v>
      </c>
      <c r="D226">
        <v>0.5</v>
      </c>
      <c r="E226" t="s">
        <v>31</v>
      </c>
      <c r="F226">
        <v>0.44349</v>
      </c>
      <c r="G226" s="1">
        <v>45874</v>
      </c>
      <c r="H226">
        <v>2.7291400000000001</v>
      </c>
      <c r="I226" s="1">
        <v>45903</v>
      </c>
      <c r="J226">
        <f t="shared" si="27"/>
        <v>63.617251162500004</v>
      </c>
      <c r="K226">
        <v>5.31</v>
      </c>
      <c r="M226">
        <f t="shared" si="34"/>
        <v>0</v>
      </c>
      <c r="N226">
        <f t="shared" si="28"/>
        <v>-5.31</v>
      </c>
      <c r="O226" s="1" t="s">
        <v>179</v>
      </c>
      <c r="P226">
        <v>3.20485</v>
      </c>
      <c r="S226">
        <f t="shared" si="30"/>
        <v>0.47570999999999986</v>
      </c>
      <c r="T226">
        <f t="shared" si="31"/>
        <v>-2.7291400000000001</v>
      </c>
      <c r="U226">
        <f t="shared" si="32"/>
        <v>29</v>
      </c>
      <c r="V226">
        <f t="shared" si="33"/>
        <v>-9.4108275862068963E-2</v>
      </c>
      <c r="W226">
        <f t="shared" si="29"/>
        <v>-941.08275862068967</v>
      </c>
    </row>
    <row r="227" spans="1:29" x14ac:dyDescent="0.3">
      <c r="A227" t="s">
        <v>60</v>
      </c>
      <c r="B227" t="s">
        <v>61</v>
      </c>
      <c r="C227">
        <v>2</v>
      </c>
      <c r="D227">
        <v>2</v>
      </c>
      <c r="E227" t="s">
        <v>28</v>
      </c>
      <c r="F227">
        <v>0.45018000000000002</v>
      </c>
      <c r="G227" s="1">
        <v>45874</v>
      </c>
      <c r="H227">
        <v>2.7159300000000002</v>
      </c>
      <c r="I227" s="1">
        <v>45903</v>
      </c>
      <c r="J227">
        <f t="shared" si="27"/>
        <v>63.617251162500004</v>
      </c>
      <c r="K227">
        <v>5.31</v>
      </c>
      <c r="M227">
        <f t="shared" si="34"/>
        <v>0</v>
      </c>
      <c r="N227">
        <f t="shared" si="28"/>
        <v>-5.31</v>
      </c>
      <c r="O227" s="1" t="s">
        <v>179</v>
      </c>
      <c r="P227">
        <v>3.56365</v>
      </c>
      <c r="S227">
        <f t="shared" si="30"/>
        <v>0.84771999999999981</v>
      </c>
      <c r="T227">
        <f t="shared" si="31"/>
        <v>-2.7159300000000002</v>
      </c>
      <c r="U227">
        <f t="shared" si="32"/>
        <v>29</v>
      </c>
      <c r="V227">
        <f t="shared" si="33"/>
        <v>-9.3652758620689655E-2</v>
      </c>
      <c r="W227">
        <f t="shared" si="29"/>
        <v>-936.52758620689656</v>
      </c>
    </row>
    <row r="228" spans="1:29" x14ac:dyDescent="0.3">
      <c r="A228" t="s">
        <v>60</v>
      </c>
      <c r="B228" t="s">
        <v>61</v>
      </c>
      <c r="C228">
        <v>2</v>
      </c>
      <c r="D228">
        <v>2</v>
      </c>
      <c r="E228" t="s">
        <v>30</v>
      </c>
      <c r="F228">
        <v>0.44436999999999999</v>
      </c>
      <c r="G228" s="1">
        <v>45874</v>
      </c>
      <c r="H228">
        <v>2.7076500000000001</v>
      </c>
      <c r="I228" s="1">
        <v>45903</v>
      </c>
      <c r="J228">
        <f t="shared" si="27"/>
        <v>63.617251162500004</v>
      </c>
      <c r="K228">
        <v>5.31</v>
      </c>
      <c r="M228">
        <f t="shared" si="34"/>
        <v>0</v>
      </c>
      <c r="N228">
        <f t="shared" si="28"/>
        <v>-5.31</v>
      </c>
      <c r="O228" s="1" t="s">
        <v>179</v>
      </c>
      <c r="P228">
        <v>3.43526</v>
      </c>
      <c r="S228">
        <f t="shared" si="30"/>
        <v>0.72760999999999987</v>
      </c>
      <c r="T228">
        <f t="shared" si="31"/>
        <v>-2.7076500000000001</v>
      </c>
      <c r="U228">
        <f t="shared" si="32"/>
        <v>29</v>
      </c>
      <c r="V228">
        <f t="shared" si="33"/>
        <v>-9.3367241379310351E-2</v>
      </c>
      <c r="W228">
        <f t="shared" si="29"/>
        <v>-933.67241379310349</v>
      </c>
    </row>
    <row r="229" spans="1:29" x14ac:dyDescent="0.3">
      <c r="A229" t="s">
        <v>60</v>
      </c>
      <c r="B229" t="s">
        <v>61</v>
      </c>
      <c r="C229">
        <v>2</v>
      </c>
      <c r="D229">
        <v>2</v>
      </c>
      <c r="E229" t="s">
        <v>31</v>
      </c>
      <c r="F229">
        <v>0.45129000000000002</v>
      </c>
      <c r="G229" s="1">
        <v>45874</v>
      </c>
      <c r="H229">
        <v>2.6950599999999998</v>
      </c>
      <c r="I229" s="1">
        <v>45903</v>
      </c>
      <c r="J229">
        <f t="shared" si="27"/>
        <v>63.617251162500004</v>
      </c>
      <c r="K229">
        <v>5.31</v>
      </c>
      <c r="M229">
        <f t="shared" si="34"/>
        <v>0</v>
      </c>
      <c r="N229">
        <f t="shared" si="28"/>
        <v>-5.31</v>
      </c>
      <c r="O229" s="1" t="s">
        <v>179</v>
      </c>
      <c r="P229">
        <v>3.3283900000000002</v>
      </c>
      <c r="S229">
        <f t="shared" si="30"/>
        <v>0.63333000000000039</v>
      </c>
      <c r="T229">
        <f t="shared" si="31"/>
        <v>-2.6950599999999998</v>
      </c>
      <c r="U229">
        <f t="shared" si="32"/>
        <v>29</v>
      </c>
      <c r="V229">
        <f t="shared" si="33"/>
        <v>-9.293310344827585E-2</v>
      </c>
      <c r="W229">
        <f t="shared" si="29"/>
        <v>-929.33103448275847</v>
      </c>
      <c r="AC229" t="s">
        <v>177</v>
      </c>
    </row>
    <row r="230" spans="1:29" x14ac:dyDescent="0.3">
      <c r="A230" t="s">
        <v>60</v>
      </c>
      <c r="B230" t="s">
        <v>61</v>
      </c>
      <c r="C230">
        <v>2</v>
      </c>
      <c r="D230">
        <v>6</v>
      </c>
      <c r="E230" t="s">
        <v>28</v>
      </c>
      <c r="F230">
        <v>0.45617999999999997</v>
      </c>
      <c r="G230" s="1">
        <v>45874</v>
      </c>
      <c r="H230">
        <v>2.6855199999999999</v>
      </c>
      <c r="I230" s="1">
        <v>45903</v>
      </c>
      <c r="J230">
        <f t="shared" si="27"/>
        <v>63.617251162500004</v>
      </c>
      <c r="K230">
        <v>5.31</v>
      </c>
      <c r="M230">
        <f t="shared" si="34"/>
        <v>0</v>
      </c>
      <c r="N230">
        <f t="shared" si="28"/>
        <v>-5.31</v>
      </c>
      <c r="O230" s="1" t="s">
        <v>179</v>
      </c>
      <c r="P230">
        <v>4.2180499999999999</v>
      </c>
      <c r="S230">
        <f t="shared" si="30"/>
        <v>1.5325299999999999</v>
      </c>
      <c r="T230">
        <f t="shared" si="31"/>
        <v>-2.6855199999999999</v>
      </c>
      <c r="U230">
        <f t="shared" si="32"/>
        <v>29</v>
      </c>
      <c r="V230">
        <f t="shared" si="33"/>
        <v>-9.2604137931034475E-2</v>
      </c>
      <c r="W230">
        <f t="shared" si="29"/>
        <v>-926.04137931034472</v>
      </c>
    </row>
    <row r="231" spans="1:29" x14ac:dyDescent="0.3">
      <c r="A231" t="s">
        <v>60</v>
      </c>
      <c r="B231" t="s">
        <v>61</v>
      </c>
      <c r="C231">
        <v>2</v>
      </c>
      <c r="D231">
        <v>6</v>
      </c>
      <c r="E231" t="s">
        <v>30</v>
      </c>
      <c r="F231">
        <v>0.44967000000000001</v>
      </c>
      <c r="G231" s="1">
        <v>45874</v>
      </c>
      <c r="H231">
        <v>2.6957499999999999</v>
      </c>
      <c r="I231" s="1">
        <v>45903</v>
      </c>
      <c r="J231">
        <f t="shared" si="27"/>
        <v>63.617251162500004</v>
      </c>
      <c r="K231">
        <v>5.31</v>
      </c>
      <c r="M231">
        <f t="shared" si="34"/>
        <v>0</v>
      </c>
      <c r="N231">
        <f t="shared" si="28"/>
        <v>-5.31</v>
      </c>
      <c r="O231" s="1" t="s">
        <v>179</v>
      </c>
      <c r="P231">
        <v>3.96469</v>
      </c>
      <c r="S231">
        <f t="shared" si="30"/>
        <v>1.2689400000000002</v>
      </c>
      <c r="T231">
        <f t="shared" si="31"/>
        <v>-2.6957499999999999</v>
      </c>
      <c r="U231">
        <f t="shared" si="32"/>
        <v>29</v>
      </c>
      <c r="V231">
        <f t="shared" si="33"/>
        <v>-9.2956896551724136E-2</v>
      </c>
      <c r="W231">
        <f t="shared" si="29"/>
        <v>-929.56896551724139</v>
      </c>
    </row>
    <row r="232" spans="1:29" x14ac:dyDescent="0.3">
      <c r="A232" t="s">
        <v>60</v>
      </c>
      <c r="B232" t="s">
        <v>61</v>
      </c>
      <c r="C232">
        <v>2</v>
      </c>
      <c r="D232">
        <v>6</v>
      </c>
      <c r="E232" t="s">
        <v>31</v>
      </c>
      <c r="F232">
        <v>0.45630999999999999</v>
      </c>
      <c r="G232" s="1">
        <v>45874</v>
      </c>
      <c r="H232">
        <v>2.7236400000000001</v>
      </c>
      <c r="I232" s="1">
        <v>45903</v>
      </c>
      <c r="J232">
        <f t="shared" si="27"/>
        <v>63.617251162500004</v>
      </c>
      <c r="K232">
        <v>5.31</v>
      </c>
      <c r="M232">
        <f t="shared" si="34"/>
        <v>0</v>
      </c>
      <c r="N232">
        <f t="shared" si="28"/>
        <v>-5.31</v>
      </c>
      <c r="O232" s="1" t="s">
        <v>179</v>
      </c>
      <c r="P232">
        <v>4.0694900000000001</v>
      </c>
      <c r="S232">
        <f t="shared" si="30"/>
        <v>1.34585</v>
      </c>
      <c r="T232">
        <f t="shared" si="31"/>
        <v>-2.7236400000000001</v>
      </c>
      <c r="U232">
        <f t="shared" si="32"/>
        <v>29</v>
      </c>
      <c r="V232">
        <f t="shared" si="33"/>
        <v>-9.3918620689655175E-2</v>
      </c>
      <c r="W232">
        <f t="shared" si="29"/>
        <v>-939.18620689655177</v>
      </c>
    </row>
    <row r="233" spans="1:29" x14ac:dyDescent="0.3">
      <c r="A233" t="s">
        <v>60</v>
      </c>
      <c r="B233" t="s">
        <v>61</v>
      </c>
      <c r="C233">
        <v>2</v>
      </c>
      <c r="D233">
        <v>12</v>
      </c>
      <c r="E233" t="s">
        <v>28</v>
      </c>
      <c r="F233">
        <v>0.44982</v>
      </c>
      <c r="G233" s="1">
        <v>45874</v>
      </c>
      <c r="H233">
        <v>2.68045</v>
      </c>
      <c r="I233" s="1">
        <v>45903</v>
      </c>
      <c r="J233">
        <f t="shared" si="27"/>
        <v>63.617251162500004</v>
      </c>
      <c r="K233">
        <v>5.31</v>
      </c>
      <c r="M233">
        <f t="shared" si="34"/>
        <v>0</v>
      </c>
      <c r="N233">
        <f t="shared" si="28"/>
        <v>-5.31</v>
      </c>
      <c r="O233" s="1" t="s">
        <v>179</v>
      </c>
      <c r="P233">
        <v>3.5427599999999999</v>
      </c>
      <c r="S233">
        <f t="shared" si="30"/>
        <v>0.86230999999999991</v>
      </c>
      <c r="T233">
        <f t="shared" si="31"/>
        <v>-2.68045</v>
      </c>
      <c r="U233">
        <f t="shared" si="32"/>
        <v>29</v>
      </c>
      <c r="V233">
        <f t="shared" si="33"/>
        <v>-9.2429310344827584E-2</v>
      </c>
      <c r="W233">
        <f t="shared" si="29"/>
        <v>-924.29310344827582</v>
      </c>
    </row>
    <row r="234" spans="1:29" x14ac:dyDescent="0.3">
      <c r="A234" t="s">
        <v>60</v>
      </c>
      <c r="B234" t="s">
        <v>61</v>
      </c>
      <c r="C234">
        <v>2</v>
      </c>
      <c r="D234">
        <v>12</v>
      </c>
      <c r="E234" t="s">
        <v>30</v>
      </c>
      <c r="F234">
        <v>0.45346999999999998</v>
      </c>
      <c r="G234" s="1">
        <v>45874</v>
      </c>
      <c r="H234">
        <v>2.67075</v>
      </c>
      <c r="I234" s="1">
        <v>45903</v>
      </c>
      <c r="J234">
        <f t="shared" si="27"/>
        <v>63.617251162500004</v>
      </c>
      <c r="K234">
        <v>5.31</v>
      </c>
      <c r="M234">
        <f t="shared" si="34"/>
        <v>0</v>
      </c>
      <c r="N234">
        <f t="shared" si="28"/>
        <v>-5.31</v>
      </c>
      <c r="O234" s="1" t="s">
        <v>179</v>
      </c>
      <c r="P234">
        <v>3.8111100000000002</v>
      </c>
      <c r="S234">
        <f t="shared" si="30"/>
        <v>1.1403600000000003</v>
      </c>
      <c r="T234">
        <f t="shared" si="31"/>
        <v>-2.67075</v>
      </c>
      <c r="U234">
        <f t="shared" si="32"/>
        <v>29</v>
      </c>
      <c r="V234">
        <f t="shared" si="33"/>
        <v>-9.2094827586206893E-2</v>
      </c>
      <c r="W234">
        <f t="shared" si="29"/>
        <v>-920.94827586206895</v>
      </c>
    </row>
    <row r="235" spans="1:29" x14ac:dyDescent="0.3">
      <c r="A235" t="s">
        <v>60</v>
      </c>
      <c r="B235" t="s">
        <v>61</v>
      </c>
      <c r="C235">
        <v>2</v>
      </c>
      <c r="D235">
        <v>12</v>
      </c>
      <c r="E235" t="s">
        <v>31</v>
      </c>
      <c r="F235">
        <v>0.45002999999999999</v>
      </c>
      <c r="G235" s="1">
        <v>45874</v>
      </c>
      <c r="H235">
        <v>2.6938300000000002</v>
      </c>
      <c r="I235" s="1">
        <v>45903</v>
      </c>
      <c r="J235">
        <f t="shared" si="27"/>
        <v>63.617251162500004</v>
      </c>
      <c r="K235">
        <v>5.31</v>
      </c>
      <c r="M235">
        <f t="shared" si="34"/>
        <v>0</v>
      </c>
      <c r="N235">
        <f t="shared" si="28"/>
        <v>-5.31</v>
      </c>
      <c r="O235" s="1" t="s">
        <v>179</v>
      </c>
      <c r="P235">
        <v>3.7355499999999999</v>
      </c>
      <c r="S235">
        <f t="shared" si="30"/>
        <v>1.0417199999999998</v>
      </c>
      <c r="T235">
        <f t="shared" si="31"/>
        <v>-2.6938300000000002</v>
      </c>
      <c r="U235">
        <f t="shared" si="32"/>
        <v>29</v>
      </c>
      <c r="V235">
        <f t="shared" si="33"/>
        <v>-9.2890689655172415E-2</v>
      </c>
      <c r="W235">
        <f t="shared" si="29"/>
        <v>-928.90689655172412</v>
      </c>
    </row>
    <row r="236" spans="1:29" x14ac:dyDescent="0.3">
      <c r="A236" t="s">
        <v>60</v>
      </c>
      <c r="B236" t="s">
        <v>61</v>
      </c>
      <c r="C236">
        <v>2</v>
      </c>
      <c r="D236">
        <v>24</v>
      </c>
      <c r="E236" t="s">
        <v>28</v>
      </c>
      <c r="F236">
        <v>0.45665</v>
      </c>
      <c r="G236" s="1">
        <v>45874</v>
      </c>
      <c r="H236">
        <v>2.6866099999999999</v>
      </c>
      <c r="I236" s="1">
        <v>45903</v>
      </c>
      <c r="J236">
        <f t="shared" ref="J236:J299" si="35">4.5*4.5*3.14159265</f>
        <v>63.617251162500004</v>
      </c>
      <c r="K236">
        <v>5.31</v>
      </c>
      <c r="M236">
        <f t="shared" si="34"/>
        <v>0</v>
      </c>
      <c r="N236">
        <f t="shared" ref="N236:N299" si="36">L236*J236-K236</f>
        <v>-5.31</v>
      </c>
      <c r="O236" s="1" t="s">
        <v>179</v>
      </c>
      <c r="P236">
        <v>3.52346</v>
      </c>
      <c r="S236">
        <f t="shared" si="30"/>
        <v>0.83685000000000009</v>
      </c>
      <c r="T236">
        <f t="shared" si="31"/>
        <v>-2.6866099999999999</v>
      </c>
      <c r="U236">
        <f t="shared" si="32"/>
        <v>29</v>
      </c>
      <c r="V236">
        <f t="shared" si="33"/>
        <v>-9.2641724137931036E-2</v>
      </c>
      <c r="W236">
        <f t="shared" ref="W236:W299" si="37">V236*10000</f>
        <v>-926.41724137931033</v>
      </c>
    </row>
    <row r="237" spans="1:29" x14ac:dyDescent="0.3">
      <c r="A237" t="s">
        <v>60</v>
      </c>
      <c r="B237" t="s">
        <v>61</v>
      </c>
      <c r="C237">
        <v>2</v>
      </c>
      <c r="D237">
        <v>24</v>
      </c>
      <c r="E237" t="s">
        <v>30</v>
      </c>
      <c r="F237">
        <v>0.45194000000000001</v>
      </c>
      <c r="G237" s="1">
        <v>45874</v>
      </c>
      <c r="H237">
        <v>2.6964999999999999</v>
      </c>
      <c r="I237" s="1">
        <v>45903</v>
      </c>
      <c r="J237">
        <f t="shared" si="35"/>
        <v>63.617251162500004</v>
      </c>
      <c r="K237">
        <v>5.31</v>
      </c>
      <c r="M237">
        <f t="shared" si="34"/>
        <v>0</v>
      </c>
      <c r="N237">
        <f t="shared" si="36"/>
        <v>-5.31</v>
      </c>
      <c r="O237" s="1" t="s">
        <v>179</v>
      </c>
      <c r="P237">
        <v>3.5850499999999998</v>
      </c>
      <c r="S237">
        <f t="shared" si="30"/>
        <v>0.88854999999999995</v>
      </c>
      <c r="T237">
        <f t="shared" si="31"/>
        <v>-2.6964999999999999</v>
      </c>
      <c r="U237">
        <f t="shared" si="32"/>
        <v>29</v>
      </c>
      <c r="V237">
        <f t="shared" si="33"/>
        <v>-9.2982758620689651E-2</v>
      </c>
      <c r="W237">
        <f t="shared" si="37"/>
        <v>-929.82758620689651</v>
      </c>
    </row>
    <row r="238" spans="1:29" x14ac:dyDescent="0.3">
      <c r="A238" t="s">
        <v>60</v>
      </c>
      <c r="B238" t="s">
        <v>61</v>
      </c>
      <c r="C238">
        <v>2</v>
      </c>
      <c r="D238">
        <v>24</v>
      </c>
      <c r="E238" t="s">
        <v>31</v>
      </c>
      <c r="F238">
        <v>0.4456</v>
      </c>
      <c r="G238" s="1">
        <v>45874</v>
      </c>
      <c r="H238">
        <v>2.66716</v>
      </c>
      <c r="I238" s="1">
        <v>45903</v>
      </c>
      <c r="J238">
        <f t="shared" si="35"/>
        <v>63.617251162500004</v>
      </c>
      <c r="K238">
        <v>5.31</v>
      </c>
      <c r="M238">
        <f t="shared" si="34"/>
        <v>0</v>
      </c>
      <c r="N238">
        <f t="shared" si="36"/>
        <v>-5.31</v>
      </c>
      <c r="O238" s="1" t="s">
        <v>179</v>
      </c>
      <c r="P238">
        <v>3.5127600000000001</v>
      </c>
      <c r="S238">
        <f t="shared" si="30"/>
        <v>0.84560000000000013</v>
      </c>
      <c r="T238">
        <f t="shared" si="31"/>
        <v>-2.66716</v>
      </c>
      <c r="U238">
        <f t="shared" si="32"/>
        <v>29</v>
      </c>
      <c r="V238">
        <f t="shared" si="33"/>
        <v>-9.1971034482758618E-2</v>
      </c>
      <c r="W238">
        <f t="shared" si="37"/>
        <v>-919.71034482758614</v>
      </c>
    </row>
    <row r="239" spans="1:29" x14ac:dyDescent="0.3">
      <c r="A239" t="s">
        <v>60</v>
      </c>
      <c r="B239" t="s">
        <v>61</v>
      </c>
      <c r="C239">
        <v>2</v>
      </c>
      <c r="D239">
        <v>48</v>
      </c>
      <c r="E239" t="s">
        <v>28</v>
      </c>
      <c r="F239">
        <v>0.45315</v>
      </c>
      <c r="G239" s="1">
        <v>45874</v>
      </c>
      <c r="H239">
        <v>2.6614200000000001</v>
      </c>
      <c r="I239" s="1">
        <v>45903</v>
      </c>
      <c r="J239">
        <f t="shared" si="35"/>
        <v>63.617251162500004</v>
      </c>
      <c r="K239">
        <v>5.31</v>
      </c>
      <c r="M239">
        <f t="shared" si="34"/>
        <v>0</v>
      </c>
      <c r="N239">
        <f t="shared" si="36"/>
        <v>-5.31</v>
      </c>
      <c r="O239" s="1" t="s">
        <v>179</v>
      </c>
      <c r="P239">
        <v>3.7245900000000001</v>
      </c>
      <c r="S239">
        <f t="shared" si="30"/>
        <v>1.0631699999999999</v>
      </c>
      <c r="T239">
        <f t="shared" si="31"/>
        <v>-2.6614200000000001</v>
      </c>
      <c r="U239">
        <f t="shared" si="32"/>
        <v>29</v>
      </c>
      <c r="V239">
        <f t="shared" si="33"/>
        <v>-9.177310344827587E-2</v>
      </c>
      <c r="W239">
        <f t="shared" si="37"/>
        <v>-917.73103448275867</v>
      </c>
    </row>
    <row r="240" spans="1:29" x14ac:dyDescent="0.3">
      <c r="A240" t="s">
        <v>60</v>
      </c>
      <c r="B240" t="s">
        <v>61</v>
      </c>
      <c r="C240">
        <v>2</v>
      </c>
      <c r="D240">
        <v>48</v>
      </c>
      <c r="E240" t="s">
        <v>30</v>
      </c>
      <c r="F240">
        <v>0.44183</v>
      </c>
      <c r="G240" s="1">
        <v>45874</v>
      </c>
      <c r="H240">
        <v>2.6650399999999999</v>
      </c>
      <c r="I240" s="1">
        <v>45903</v>
      </c>
      <c r="J240">
        <f t="shared" si="35"/>
        <v>63.617251162500004</v>
      </c>
      <c r="K240">
        <v>5.31</v>
      </c>
      <c r="M240">
        <f t="shared" si="34"/>
        <v>0</v>
      </c>
      <c r="N240">
        <f t="shared" si="36"/>
        <v>-5.31</v>
      </c>
      <c r="O240" s="1" t="s">
        <v>179</v>
      </c>
      <c r="P240">
        <v>3.52271</v>
      </c>
      <c r="S240">
        <f t="shared" si="30"/>
        <v>0.85767000000000015</v>
      </c>
      <c r="T240">
        <f t="shared" si="31"/>
        <v>-2.6650399999999999</v>
      </c>
      <c r="U240">
        <f t="shared" si="32"/>
        <v>29</v>
      </c>
      <c r="V240">
        <f t="shared" si="33"/>
        <v>-9.1897931034482752E-2</v>
      </c>
      <c r="W240">
        <f t="shared" si="37"/>
        <v>-918.97931034482747</v>
      </c>
    </row>
    <row r="241" spans="1:23" x14ac:dyDescent="0.3">
      <c r="A241" t="s">
        <v>60</v>
      </c>
      <c r="B241" t="s">
        <v>61</v>
      </c>
      <c r="C241">
        <v>2</v>
      </c>
      <c r="D241">
        <v>48</v>
      </c>
      <c r="E241" t="s">
        <v>31</v>
      </c>
      <c r="F241">
        <v>0.45193</v>
      </c>
      <c r="G241" s="1">
        <v>45874</v>
      </c>
      <c r="H241">
        <v>2.6718500000000001</v>
      </c>
      <c r="I241" s="1">
        <v>45903</v>
      </c>
      <c r="J241">
        <f t="shared" si="35"/>
        <v>63.617251162500004</v>
      </c>
      <c r="K241">
        <v>5.31</v>
      </c>
      <c r="M241">
        <f t="shared" si="34"/>
        <v>0</v>
      </c>
      <c r="N241">
        <f t="shared" si="36"/>
        <v>-5.31</v>
      </c>
      <c r="O241" s="1" t="s">
        <v>179</v>
      </c>
      <c r="P241">
        <v>3.6805400000000001</v>
      </c>
      <c r="S241">
        <f t="shared" si="30"/>
        <v>1.0086900000000001</v>
      </c>
      <c r="T241">
        <f t="shared" si="31"/>
        <v>-2.6718500000000001</v>
      </c>
      <c r="U241">
        <f t="shared" si="32"/>
        <v>29</v>
      </c>
      <c r="V241">
        <f t="shared" si="33"/>
        <v>-9.2132758620689661E-2</v>
      </c>
      <c r="W241">
        <f t="shared" si="37"/>
        <v>-921.32758620689663</v>
      </c>
    </row>
    <row r="242" spans="1:23" x14ac:dyDescent="0.3">
      <c r="A242" t="s">
        <v>60</v>
      </c>
      <c r="B242" t="s">
        <v>61</v>
      </c>
      <c r="E242" t="s">
        <v>36</v>
      </c>
      <c r="H242">
        <v>2.74485</v>
      </c>
      <c r="J242">
        <f t="shared" si="35"/>
        <v>63.617251162500004</v>
      </c>
      <c r="K242">
        <v>5.31</v>
      </c>
      <c r="M242">
        <f t="shared" si="34"/>
        <v>0</v>
      </c>
      <c r="N242">
        <f t="shared" si="36"/>
        <v>-5.31</v>
      </c>
      <c r="P242" t="s">
        <v>56</v>
      </c>
      <c r="S242" t="e">
        <f t="shared" si="30"/>
        <v>#VALUE!</v>
      </c>
      <c r="T242">
        <f t="shared" si="31"/>
        <v>-2.74485</v>
      </c>
      <c r="U242">
        <f t="shared" si="32"/>
        <v>0</v>
      </c>
      <c r="V242" t="e">
        <f t="shared" si="33"/>
        <v>#DIV/0!</v>
      </c>
      <c r="W242" t="e">
        <f t="shared" si="37"/>
        <v>#DIV/0!</v>
      </c>
    </row>
    <row r="243" spans="1:23" x14ac:dyDescent="0.3">
      <c r="A243" t="s">
        <v>60</v>
      </c>
      <c r="B243" t="s">
        <v>61</v>
      </c>
      <c r="E243" t="s">
        <v>39</v>
      </c>
      <c r="H243">
        <v>2.7336900000000002</v>
      </c>
      <c r="J243">
        <f t="shared" si="35"/>
        <v>63.617251162500004</v>
      </c>
      <c r="K243">
        <v>5.31</v>
      </c>
      <c r="M243">
        <f t="shared" si="34"/>
        <v>0</v>
      </c>
      <c r="N243">
        <f t="shared" si="36"/>
        <v>-5.31</v>
      </c>
      <c r="P243" t="s">
        <v>56</v>
      </c>
      <c r="S243" t="e">
        <f t="shared" si="30"/>
        <v>#VALUE!</v>
      </c>
      <c r="T243">
        <f t="shared" si="31"/>
        <v>-2.7336900000000002</v>
      </c>
      <c r="U243">
        <f t="shared" si="32"/>
        <v>0</v>
      </c>
      <c r="V243" t="e">
        <f t="shared" si="33"/>
        <v>#DIV/0!</v>
      </c>
      <c r="W243" t="e">
        <f t="shared" si="37"/>
        <v>#DIV/0!</v>
      </c>
    </row>
    <row r="244" spans="1:23" x14ac:dyDescent="0.3">
      <c r="A244" t="s">
        <v>60</v>
      </c>
      <c r="B244" t="s">
        <v>61</v>
      </c>
      <c r="E244" t="s">
        <v>41</v>
      </c>
      <c r="H244">
        <v>2.7561</v>
      </c>
      <c r="J244">
        <f t="shared" si="35"/>
        <v>63.617251162500004</v>
      </c>
      <c r="K244">
        <v>5.31</v>
      </c>
      <c r="M244">
        <f t="shared" si="34"/>
        <v>0</v>
      </c>
      <c r="N244">
        <f t="shared" si="36"/>
        <v>-5.31</v>
      </c>
      <c r="P244" t="s">
        <v>56</v>
      </c>
      <c r="S244" t="e">
        <f t="shared" si="30"/>
        <v>#VALUE!</v>
      </c>
      <c r="T244">
        <f t="shared" si="31"/>
        <v>-2.7561</v>
      </c>
      <c r="U244">
        <f t="shared" si="32"/>
        <v>0</v>
      </c>
      <c r="V244" t="e">
        <f t="shared" si="33"/>
        <v>#DIV/0!</v>
      </c>
      <c r="W244" t="e">
        <f t="shared" si="37"/>
        <v>#DIV/0!</v>
      </c>
    </row>
    <row r="245" spans="1:23" x14ac:dyDescent="0.3">
      <c r="A245" t="s">
        <v>60</v>
      </c>
      <c r="B245" t="s">
        <v>61</v>
      </c>
      <c r="E245" t="s">
        <v>43</v>
      </c>
      <c r="H245">
        <v>2.7199399999999998</v>
      </c>
      <c r="J245">
        <f t="shared" si="35"/>
        <v>63.617251162500004</v>
      </c>
      <c r="K245">
        <v>5.31</v>
      </c>
      <c r="M245">
        <f t="shared" si="34"/>
        <v>0</v>
      </c>
      <c r="N245">
        <f t="shared" si="36"/>
        <v>-5.31</v>
      </c>
      <c r="P245" t="s">
        <v>56</v>
      </c>
      <c r="S245" t="e">
        <f t="shared" si="30"/>
        <v>#VALUE!</v>
      </c>
      <c r="T245">
        <f t="shared" si="31"/>
        <v>-2.7199399999999998</v>
      </c>
      <c r="U245">
        <f t="shared" si="32"/>
        <v>0</v>
      </c>
      <c r="V245" t="e">
        <f t="shared" si="33"/>
        <v>#DIV/0!</v>
      </c>
      <c r="W245" t="e">
        <f t="shared" si="37"/>
        <v>#DIV/0!</v>
      </c>
    </row>
    <row r="246" spans="1:23" x14ac:dyDescent="0.3">
      <c r="A246" t="s">
        <v>63</v>
      </c>
      <c r="B246" t="s">
        <v>51</v>
      </c>
      <c r="C246">
        <v>1</v>
      </c>
      <c r="D246">
        <v>0.5</v>
      </c>
      <c r="E246" t="s">
        <v>64</v>
      </c>
      <c r="F246">
        <v>0.44513999999999998</v>
      </c>
      <c r="G246" s="1">
        <v>45875</v>
      </c>
      <c r="H246">
        <v>2.6875100000000001</v>
      </c>
      <c r="I246" s="1">
        <v>45906</v>
      </c>
      <c r="J246">
        <f t="shared" si="35"/>
        <v>63.617251162500004</v>
      </c>
      <c r="K246">
        <v>5.31</v>
      </c>
      <c r="M246">
        <f t="shared" si="34"/>
        <v>0</v>
      </c>
      <c r="N246">
        <f t="shared" si="36"/>
        <v>-5.31</v>
      </c>
      <c r="O246" t="s">
        <v>180</v>
      </c>
      <c r="P246">
        <v>4.4427000000000003</v>
      </c>
      <c r="S246">
        <f t="shared" si="30"/>
        <v>1.7551900000000002</v>
      </c>
      <c r="T246">
        <f t="shared" si="31"/>
        <v>-2.6875100000000001</v>
      </c>
      <c r="U246">
        <f t="shared" si="32"/>
        <v>31</v>
      </c>
      <c r="V246">
        <f t="shared" si="33"/>
        <v>-8.6693870967741934E-2</v>
      </c>
      <c r="W246">
        <f t="shared" si="37"/>
        <v>-866.9387096774193</v>
      </c>
    </row>
    <row r="247" spans="1:23" x14ac:dyDescent="0.3">
      <c r="A247" t="s">
        <v>63</v>
      </c>
      <c r="B247" t="s">
        <v>51</v>
      </c>
      <c r="C247">
        <v>1</v>
      </c>
      <c r="D247">
        <v>0.5</v>
      </c>
      <c r="E247" t="s">
        <v>30</v>
      </c>
      <c r="F247">
        <v>0.45185999999999998</v>
      </c>
      <c r="G247" s="1">
        <v>45875</v>
      </c>
      <c r="H247">
        <v>2.6588099999999999</v>
      </c>
      <c r="I247" s="1">
        <v>45906</v>
      </c>
      <c r="J247">
        <f t="shared" si="35"/>
        <v>63.617251162500004</v>
      </c>
      <c r="K247">
        <v>5.31</v>
      </c>
      <c r="M247">
        <f t="shared" si="34"/>
        <v>0</v>
      </c>
      <c r="N247">
        <f t="shared" si="36"/>
        <v>-5.31</v>
      </c>
      <c r="O247" t="s">
        <v>180</v>
      </c>
      <c r="P247">
        <v>4.3596599999999999</v>
      </c>
      <c r="S247">
        <f t="shared" si="30"/>
        <v>1.70085</v>
      </c>
      <c r="T247">
        <f t="shared" si="31"/>
        <v>-2.6588099999999999</v>
      </c>
      <c r="U247">
        <f t="shared" si="32"/>
        <v>31</v>
      </c>
      <c r="V247">
        <f t="shared" si="33"/>
        <v>-8.5768064516129033E-2</v>
      </c>
      <c r="W247">
        <f t="shared" si="37"/>
        <v>-857.68064516129039</v>
      </c>
    </row>
    <row r="248" spans="1:23" x14ac:dyDescent="0.3">
      <c r="A248" t="s">
        <v>63</v>
      </c>
      <c r="B248" t="s">
        <v>51</v>
      </c>
      <c r="C248">
        <v>1</v>
      </c>
      <c r="D248">
        <v>0.5</v>
      </c>
      <c r="E248" t="s">
        <v>31</v>
      </c>
      <c r="F248">
        <v>0.45735999999999999</v>
      </c>
      <c r="G248" s="1">
        <v>45875</v>
      </c>
      <c r="H248">
        <v>2.6764000000000001</v>
      </c>
      <c r="I248" s="1">
        <v>45906</v>
      </c>
      <c r="J248">
        <f t="shared" si="35"/>
        <v>63.617251162500004</v>
      </c>
      <c r="K248">
        <v>5.31</v>
      </c>
      <c r="M248">
        <f t="shared" si="34"/>
        <v>0</v>
      </c>
      <c r="N248">
        <f t="shared" si="36"/>
        <v>-5.31</v>
      </c>
      <c r="O248" t="s">
        <v>180</v>
      </c>
      <c r="P248">
        <v>4.6318999999999999</v>
      </c>
      <c r="S248">
        <f t="shared" si="30"/>
        <v>1.9554999999999998</v>
      </c>
      <c r="T248">
        <f t="shared" si="31"/>
        <v>-2.6764000000000001</v>
      </c>
      <c r="U248">
        <f t="shared" si="32"/>
        <v>31</v>
      </c>
      <c r="V248">
        <f t="shared" si="33"/>
        <v>-8.6335483870967747E-2</v>
      </c>
      <c r="W248">
        <f t="shared" si="37"/>
        <v>-863.35483870967744</v>
      </c>
    </row>
    <row r="249" spans="1:23" x14ac:dyDescent="0.3">
      <c r="A249" t="s">
        <v>63</v>
      </c>
      <c r="B249" t="s">
        <v>51</v>
      </c>
      <c r="C249">
        <v>1</v>
      </c>
      <c r="D249">
        <v>2</v>
      </c>
      <c r="E249" t="s">
        <v>64</v>
      </c>
      <c r="F249">
        <v>0.45318000000000003</v>
      </c>
      <c r="G249" s="1">
        <v>45875</v>
      </c>
      <c r="H249">
        <v>2.669</v>
      </c>
      <c r="I249" s="1">
        <v>45906</v>
      </c>
      <c r="J249">
        <f t="shared" si="35"/>
        <v>63.617251162500004</v>
      </c>
      <c r="K249">
        <v>5.31</v>
      </c>
      <c r="M249">
        <f t="shared" si="34"/>
        <v>0</v>
      </c>
      <c r="N249">
        <f t="shared" si="36"/>
        <v>-5.31</v>
      </c>
      <c r="O249" t="s">
        <v>180</v>
      </c>
      <c r="P249">
        <v>3.59707</v>
      </c>
      <c r="S249">
        <f t="shared" si="30"/>
        <v>0.92806999999999995</v>
      </c>
      <c r="T249">
        <f t="shared" si="31"/>
        <v>-2.669</v>
      </c>
      <c r="U249">
        <f t="shared" si="32"/>
        <v>31</v>
      </c>
      <c r="V249">
        <f t="shared" si="33"/>
        <v>-8.6096774193548387E-2</v>
      </c>
      <c r="W249">
        <f t="shared" si="37"/>
        <v>-860.9677419354839</v>
      </c>
    </row>
    <row r="250" spans="1:23" x14ac:dyDescent="0.3">
      <c r="A250" t="s">
        <v>63</v>
      </c>
      <c r="B250" t="s">
        <v>51</v>
      </c>
      <c r="C250">
        <v>1</v>
      </c>
      <c r="D250">
        <v>2</v>
      </c>
      <c r="E250" t="s">
        <v>30</v>
      </c>
      <c r="F250">
        <v>0.45638000000000001</v>
      </c>
      <c r="G250" s="1">
        <v>45875</v>
      </c>
      <c r="H250">
        <v>2.6771799999999999</v>
      </c>
      <c r="I250" s="1">
        <v>45906</v>
      </c>
      <c r="J250">
        <f t="shared" si="35"/>
        <v>63.617251162500004</v>
      </c>
      <c r="K250">
        <v>5.31</v>
      </c>
      <c r="M250">
        <f t="shared" si="34"/>
        <v>0</v>
      </c>
      <c r="N250">
        <f t="shared" si="36"/>
        <v>-5.31</v>
      </c>
      <c r="O250" t="s">
        <v>180</v>
      </c>
      <c r="P250">
        <v>7.9113499999999997</v>
      </c>
      <c r="S250">
        <f t="shared" si="30"/>
        <v>5.2341699999999998</v>
      </c>
      <c r="T250">
        <f t="shared" si="31"/>
        <v>-2.6771799999999999</v>
      </c>
      <c r="U250">
        <f t="shared" si="32"/>
        <v>31</v>
      </c>
      <c r="V250">
        <f t="shared" si="33"/>
        <v>-8.6360645161290314E-2</v>
      </c>
      <c r="W250">
        <f t="shared" si="37"/>
        <v>-863.60645161290313</v>
      </c>
    </row>
    <row r="251" spans="1:23" x14ac:dyDescent="0.3">
      <c r="A251" t="s">
        <v>63</v>
      </c>
      <c r="B251" t="s">
        <v>51</v>
      </c>
      <c r="C251">
        <v>1</v>
      </c>
      <c r="D251">
        <v>2</v>
      </c>
      <c r="E251" t="s">
        <v>31</v>
      </c>
      <c r="F251">
        <v>0.45240000000000002</v>
      </c>
      <c r="G251" s="1">
        <v>45875</v>
      </c>
      <c r="H251">
        <v>2.6756500000000001</v>
      </c>
      <c r="I251" s="1">
        <v>45906</v>
      </c>
      <c r="J251">
        <f t="shared" si="35"/>
        <v>63.617251162500004</v>
      </c>
      <c r="K251">
        <v>5.31</v>
      </c>
      <c r="M251">
        <f t="shared" si="34"/>
        <v>0</v>
      </c>
      <c r="N251">
        <f t="shared" si="36"/>
        <v>-5.31</v>
      </c>
      <c r="O251" t="s">
        <v>180</v>
      </c>
      <c r="P251">
        <v>10.358359999999999</v>
      </c>
      <c r="S251">
        <f t="shared" si="30"/>
        <v>7.6827099999999993</v>
      </c>
      <c r="T251">
        <f t="shared" si="31"/>
        <v>-2.6756500000000001</v>
      </c>
      <c r="U251">
        <f t="shared" si="32"/>
        <v>31</v>
      </c>
      <c r="V251">
        <f t="shared" si="33"/>
        <v>-8.6311290322580642E-2</v>
      </c>
      <c r="W251">
        <f t="shared" si="37"/>
        <v>-863.11290322580646</v>
      </c>
    </row>
    <row r="252" spans="1:23" x14ac:dyDescent="0.3">
      <c r="A252" t="s">
        <v>63</v>
      </c>
      <c r="B252" t="s">
        <v>51</v>
      </c>
      <c r="C252">
        <v>1</v>
      </c>
      <c r="D252">
        <v>6</v>
      </c>
      <c r="E252" t="s">
        <v>64</v>
      </c>
      <c r="F252">
        <v>0.45702999999999999</v>
      </c>
      <c r="G252" s="1">
        <v>45875</v>
      </c>
      <c r="H252">
        <v>2.6838600000000001</v>
      </c>
      <c r="I252" s="1">
        <v>45906</v>
      </c>
      <c r="J252">
        <f t="shared" si="35"/>
        <v>63.617251162500004</v>
      </c>
      <c r="K252">
        <v>5.31</v>
      </c>
      <c r="M252">
        <f t="shared" si="34"/>
        <v>0</v>
      </c>
      <c r="N252">
        <f t="shared" si="36"/>
        <v>-5.31</v>
      </c>
      <c r="O252" t="s">
        <v>180</v>
      </c>
      <c r="P252">
        <v>5.0293000000000001</v>
      </c>
      <c r="S252">
        <f t="shared" si="30"/>
        <v>2.34544</v>
      </c>
      <c r="T252">
        <f t="shared" si="31"/>
        <v>-2.6838600000000001</v>
      </c>
      <c r="U252">
        <f t="shared" si="32"/>
        <v>31</v>
      </c>
      <c r="V252">
        <f t="shared" si="33"/>
        <v>-8.6576129032258073E-2</v>
      </c>
      <c r="W252">
        <f t="shared" si="37"/>
        <v>-865.76129032258075</v>
      </c>
    </row>
    <row r="253" spans="1:23" x14ac:dyDescent="0.3">
      <c r="A253" t="s">
        <v>63</v>
      </c>
      <c r="B253" t="s">
        <v>51</v>
      </c>
      <c r="C253">
        <v>1</v>
      </c>
      <c r="D253">
        <v>6</v>
      </c>
      <c r="E253" t="s">
        <v>30</v>
      </c>
      <c r="F253">
        <v>0.45207999999999998</v>
      </c>
      <c r="G253" s="1">
        <v>45875</v>
      </c>
      <c r="H253">
        <v>2.6872600000000002</v>
      </c>
      <c r="I253" s="1">
        <v>45906</v>
      </c>
      <c r="J253">
        <f t="shared" si="35"/>
        <v>63.617251162500004</v>
      </c>
      <c r="K253">
        <v>5.31</v>
      </c>
      <c r="M253">
        <f t="shared" si="34"/>
        <v>0</v>
      </c>
      <c r="N253">
        <f t="shared" si="36"/>
        <v>-5.31</v>
      </c>
      <c r="O253" t="s">
        <v>180</v>
      </c>
      <c r="P253">
        <v>3.9653499999999999</v>
      </c>
      <c r="S253">
        <f t="shared" ref="S253:S316" si="38">P253-M253-H253</f>
        <v>1.2780899999999997</v>
      </c>
      <c r="T253">
        <f t="shared" ref="T253:T285" si="39">Q253-M253-H253</f>
        <v>-2.6872600000000002</v>
      </c>
      <c r="U253">
        <f t="shared" si="32"/>
        <v>31</v>
      </c>
      <c r="V253">
        <f t="shared" si="33"/>
        <v>-8.6685806451612904E-2</v>
      </c>
      <c r="W253">
        <f t="shared" si="37"/>
        <v>-866.85806451612905</v>
      </c>
    </row>
    <row r="254" spans="1:23" x14ac:dyDescent="0.3">
      <c r="A254" t="s">
        <v>63</v>
      </c>
      <c r="B254" t="s">
        <v>51</v>
      </c>
      <c r="C254">
        <v>1</v>
      </c>
      <c r="D254">
        <v>6</v>
      </c>
      <c r="E254" t="s">
        <v>31</v>
      </c>
      <c r="F254">
        <v>0.45710000000000001</v>
      </c>
      <c r="G254" s="1">
        <v>45875</v>
      </c>
      <c r="H254">
        <v>2.66818</v>
      </c>
      <c r="I254" s="1">
        <v>45906</v>
      </c>
      <c r="J254">
        <f t="shared" si="35"/>
        <v>63.617251162500004</v>
      </c>
      <c r="K254">
        <v>5.31</v>
      </c>
      <c r="M254">
        <f t="shared" si="34"/>
        <v>0</v>
      </c>
      <c r="N254">
        <f t="shared" si="36"/>
        <v>-5.31</v>
      </c>
      <c r="O254" t="s">
        <v>180</v>
      </c>
      <c r="P254">
        <v>4.6477199999999996</v>
      </c>
      <c r="S254">
        <f t="shared" si="38"/>
        <v>1.9795399999999996</v>
      </c>
      <c r="T254">
        <f t="shared" si="39"/>
        <v>-2.66818</v>
      </c>
      <c r="U254">
        <f t="shared" ref="U254:U317" si="40">I254-G254</f>
        <v>31</v>
      </c>
      <c r="V254">
        <f t="shared" si="33"/>
        <v>-8.6070322580645162E-2</v>
      </c>
      <c r="W254">
        <f t="shared" si="37"/>
        <v>-860.70322580645166</v>
      </c>
    </row>
    <row r="255" spans="1:23" x14ac:dyDescent="0.3">
      <c r="A255" t="s">
        <v>63</v>
      </c>
      <c r="B255" t="s">
        <v>51</v>
      </c>
      <c r="C255">
        <v>1</v>
      </c>
      <c r="D255">
        <v>12</v>
      </c>
      <c r="E255" t="s">
        <v>64</v>
      </c>
      <c r="F255">
        <v>0.45782</v>
      </c>
      <c r="G255" s="1">
        <v>45875</v>
      </c>
      <c r="H255">
        <v>2.6679599999999999</v>
      </c>
      <c r="I255" s="1">
        <v>45906</v>
      </c>
      <c r="J255">
        <f t="shared" si="35"/>
        <v>63.617251162500004</v>
      </c>
      <c r="K255">
        <v>5.31</v>
      </c>
      <c r="M255">
        <f t="shared" si="34"/>
        <v>0</v>
      </c>
      <c r="N255">
        <f t="shared" si="36"/>
        <v>-5.31</v>
      </c>
      <c r="O255" t="s">
        <v>180</v>
      </c>
      <c r="P255">
        <v>4.6015199999999998</v>
      </c>
      <c r="S255">
        <f t="shared" si="38"/>
        <v>1.9335599999999999</v>
      </c>
      <c r="T255">
        <f t="shared" si="39"/>
        <v>-2.6679599999999999</v>
      </c>
      <c r="U255">
        <f t="shared" si="40"/>
        <v>31</v>
      </c>
      <c r="V255">
        <f t="shared" ref="V255:V318" si="41">T255/U255</f>
        <v>-8.6063225806451607E-2</v>
      </c>
      <c r="W255">
        <f t="shared" si="37"/>
        <v>-860.63225806451612</v>
      </c>
    </row>
    <row r="256" spans="1:23" x14ac:dyDescent="0.3">
      <c r="A256" t="s">
        <v>63</v>
      </c>
      <c r="B256" t="s">
        <v>51</v>
      </c>
      <c r="C256">
        <v>1</v>
      </c>
      <c r="D256">
        <v>12</v>
      </c>
      <c r="E256" t="s">
        <v>30</v>
      </c>
      <c r="F256">
        <v>0.45168000000000003</v>
      </c>
      <c r="G256" s="1">
        <v>45875</v>
      </c>
      <c r="H256">
        <v>2.6720199999999998</v>
      </c>
      <c r="I256" s="1">
        <v>45906</v>
      </c>
      <c r="J256">
        <f t="shared" si="35"/>
        <v>63.617251162500004</v>
      </c>
      <c r="K256">
        <v>5.31</v>
      </c>
      <c r="M256">
        <f t="shared" si="34"/>
        <v>0</v>
      </c>
      <c r="N256">
        <f t="shared" si="36"/>
        <v>-5.31</v>
      </c>
      <c r="O256" t="s">
        <v>180</v>
      </c>
      <c r="P256">
        <v>4.4668299999999999</v>
      </c>
      <c r="S256">
        <f t="shared" si="38"/>
        <v>1.79481</v>
      </c>
      <c r="T256">
        <f t="shared" si="39"/>
        <v>-2.6720199999999998</v>
      </c>
      <c r="U256">
        <f t="shared" si="40"/>
        <v>31</v>
      </c>
      <c r="V256">
        <f t="shared" si="41"/>
        <v>-8.6194193548387088E-2</v>
      </c>
      <c r="W256">
        <f t="shared" si="37"/>
        <v>-861.94193548387091</v>
      </c>
    </row>
    <row r="257" spans="1:29" x14ac:dyDescent="0.3">
      <c r="A257" t="s">
        <v>63</v>
      </c>
      <c r="B257" t="s">
        <v>51</v>
      </c>
      <c r="C257">
        <v>1</v>
      </c>
      <c r="D257">
        <v>12</v>
      </c>
      <c r="E257" t="s">
        <v>31</v>
      </c>
      <c r="F257">
        <v>0.45783000000000001</v>
      </c>
      <c r="G257" s="1">
        <v>45875</v>
      </c>
      <c r="H257">
        <v>2.6740599999999999</v>
      </c>
      <c r="I257" s="1">
        <v>45906</v>
      </c>
      <c r="J257">
        <f t="shared" si="35"/>
        <v>63.617251162500004</v>
      </c>
      <c r="K257">
        <v>5.31</v>
      </c>
      <c r="M257">
        <f t="shared" si="34"/>
        <v>0</v>
      </c>
      <c r="N257">
        <f t="shared" si="36"/>
        <v>-5.31</v>
      </c>
      <c r="O257" t="s">
        <v>180</v>
      </c>
      <c r="P257">
        <v>4.3415400000000002</v>
      </c>
      <c r="S257">
        <f t="shared" si="38"/>
        <v>1.6674800000000003</v>
      </c>
      <c r="T257">
        <f t="shared" si="39"/>
        <v>-2.6740599999999999</v>
      </c>
      <c r="U257">
        <f t="shared" si="40"/>
        <v>31</v>
      </c>
      <c r="V257">
        <f t="shared" si="41"/>
        <v>-8.6259999999999989E-2</v>
      </c>
      <c r="W257">
        <f t="shared" si="37"/>
        <v>-862.59999999999991</v>
      </c>
    </row>
    <row r="258" spans="1:29" x14ac:dyDescent="0.3">
      <c r="A258" t="s">
        <v>63</v>
      </c>
      <c r="B258" t="s">
        <v>51</v>
      </c>
      <c r="C258">
        <v>1</v>
      </c>
      <c r="D258">
        <v>24</v>
      </c>
      <c r="E258" t="s">
        <v>28</v>
      </c>
      <c r="F258">
        <v>0.45129999999999998</v>
      </c>
      <c r="G258" s="1">
        <v>45875</v>
      </c>
      <c r="H258">
        <v>2.6952799999999999</v>
      </c>
      <c r="I258" s="1">
        <v>45906</v>
      </c>
      <c r="J258">
        <f t="shared" si="35"/>
        <v>63.617251162500004</v>
      </c>
      <c r="K258">
        <v>5.31</v>
      </c>
      <c r="M258">
        <f t="shared" si="34"/>
        <v>0</v>
      </c>
      <c r="N258">
        <f t="shared" si="36"/>
        <v>-5.31</v>
      </c>
      <c r="O258" t="s">
        <v>180</v>
      </c>
      <c r="P258">
        <v>3.8041399999999999</v>
      </c>
      <c r="S258">
        <f t="shared" si="38"/>
        <v>1.10886</v>
      </c>
      <c r="T258">
        <f t="shared" si="39"/>
        <v>-2.6952799999999999</v>
      </c>
      <c r="U258">
        <f t="shared" si="40"/>
        <v>31</v>
      </c>
      <c r="V258">
        <f t="shared" si="41"/>
        <v>-8.6944516129032257E-2</v>
      </c>
      <c r="W258">
        <f t="shared" si="37"/>
        <v>-869.44516129032252</v>
      </c>
    </row>
    <row r="259" spans="1:29" x14ac:dyDescent="0.3">
      <c r="A259" t="s">
        <v>63</v>
      </c>
      <c r="B259" t="s">
        <v>51</v>
      </c>
      <c r="C259">
        <v>1</v>
      </c>
      <c r="D259">
        <v>24</v>
      </c>
      <c r="E259" t="s">
        <v>30</v>
      </c>
      <c r="F259">
        <v>0.45629999999999998</v>
      </c>
      <c r="G259" s="1">
        <v>45875</v>
      </c>
      <c r="H259">
        <v>2.7040700000000002</v>
      </c>
      <c r="I259" s="1">
        <v>45906</v>
      </c>
      <c r="J259">
        <f t="shared" si="35"/>
        <v>63.617251162500004</v>
      </c>
      <c r="K259">
        <v>5.31</v>
      </c>
      <c r="M259">
        <f t="shared" si="34"/>
        <v>0</v>
      </c>
      <c r="N259">
        <f t="shared" si="36"/>
        <v>-5.31</v>
      </c>
      <c r="O259" t="s">
        <v>180</v>
      </c>
      <c r="P259">
        <v>3.6439699999999999</v>
      </c>
      <c r="S259">
        <f t="shared" si="38"/>
        <v>0.93989999999999974</v>
      </c>
      <c r="T259">
        <f t="shared" si="39"/>
        <v>-2.7040700000000002</v>
      </c>
      <c r="U259">
        <f t="shared" si="40"/>
        <v>31</v>
      </c>
      <c r="V259">
        <f t="shared" si="41"/>
        <v>-8.7228064516129036E-2</v>
      </c>
      <c r="W259">
        <f t="shared" si="37"/>
        <v>-872.28064516129041</v>
      </c>
    </row>
    <row r="260" spans="1:29" x14ac:dyDescent="0.3">
      <c r="A260" t="s">
        <v>63</v>
      </c>
      <c r="B260" t="s">
        <v>51</v>
      </c>
      <c r="C260">
        <v>1</v>
      </c>
      <c r="D260">
        <v>24</v>
      </c>
      <c r="E260" t="s">
        <v>31</v>
      </c>
      <c r="F260">
        <v>0.45341999999999999</v>
      </c>
      <c r="G260" s="1">
        <v>45875</v>
      </c>
      <c r="H260">
        <v>2.7300499999999999</v>
      </c>
      <c r="I260" s="1">
        <v>45906</v>
      </c>
      <c r="J260">
        <f t="shared" si="35"/>
        <v>63.617251162500004</v>
      </c>
      <c r="K260">
        <v>5.31</v>
      </c>
      <c r="M260">
        <f t="shared" ref="M260:M323" si="42">L260*F260</f>
        <v>0</v>
      </c>
      <c r="N260">
        <f t="shared" si="36"/>
        <v>-5.31</v>
      </c>
      <c r="O260" t="s">
        <v>180</v>
      </c>
      <c r="P260">
        <v>3.7592599999999998</v>
      </c>
      <c r="S260">
        <f t="shared" si="38"/>
        <v>1.02921</v>
      </c>
      <c r="T260">
        <f t="shared" si="39"/>
        <v>-2.7300499999999999</v>
      </c>
      <c r="U260">
        <f t="shared" si="40"/>
        <v>31</v>
      </c>
      <c r="V260">
        <f t="shared" si="41"/>
        <v>-8.8066129032258064E-2</v>
      </c>
      <c r="W260">
        <f t="shared" si="37"/>
        <v>-880.66129032258061</v>
      </c>
    </row>
    <row r="261" spans="1:29" x14ac:dyDescent="0.3">
      <c r="A261" t="s">
        <v>63</v>
      </c>
      <c r="B261" t="s">
        <v>51</v>
      </c>
      <c r="C261">
        <v>1</v>
      </c>
      <c r="D261">
        <v>48</v>
      </c>
      <c r="E261" t="s">
        <v>64</v>
      </c>
      <c r="F261">
        <v>0.45839999999999997</v>
      </c>
      <c r="G261" s="1">
        <v>45875</v>
      </c>
      <c r="H261">
        <v>2.66784</v>
      </c>
      <c r="I261" s="1">
        <v>45906</v>
      </c>
      <c r="J261">
        <f t="shared" si="35"/>
        <v>63.617251162500004</v>
      </c>
      <c r="K261">
        <v>5.31</v>
      </c>
      <c r="M261">
        <f t="shared" si="42"/>
        <v>0</v>
      </c>
      <c r="N261">
        <f t="shared" si="36"/>
        <v>-5.31</v>
      </c>
      <c r="O261" t="s">
        <v>180</v>
      </c>
      <c r="P261">
        <v>3.5594199999999998</v>
      </c>
      <c r="S261">
        <f t="shared" si="38"/>
        <v>0.89157999999999982</v>
      </c>
      <c r="T261">
        <f t="shared" si="39"/>
        <v>-2.66784</v>
      </c>
      <c r="U261">
        <f t="shared" si="40"/>
        <v>31</v>
      </c>
      <c r="V261">
        <f t="shared" si="41"/>
        <v>-8.6059354838709676E-2</v>
      </c>
      <c r="W261">
        <f t="shared" si="37"/>
        <v>-860.5935483870968</v>
      </c>
    </row>
    <row r="262" spans="1:29" x14ac:dyDescent="0.3">
      <c r="A262" t="s">
        <v>63</v>
      </c>
      <c r="B262" t="s">
        <v>51</v>
      </c>
      <c r="C262">
        <v>1</v>
      </c>
      <c r="D262">
        <v>48</v>
      </c>
      <c r="E262" t="s">
        <v>30</v>
      </c>
      <c r="F262">
        <v>0.45935999999999999</v>
      </c>
      <c r="G262" s="1">
        <v>45875</v>
      </c>
      <c r="H262">
        <v>2.7059500000000001</v>
      </c>
      <c r="I262" s="1">
        <v>45906</v>
      </c>
      <c r="J262">
        <f t="shared" si="35"/>
        <v>63.617251162500004</v>
      </c>
      <c r="K262">
        <v>5.31</v>
      </c>
      <c r="M262">
        <f t="shared" si="42"/>
        <v>0</v>
      </c>
      <c r="N262">
        <f t="shared" si="36"/>
        <v>-5.31</v>
      </c>
      <c r="O262" t="s">
        <v>180</v>
      </c>
      <c r="P262">
        <v>3.5677699999999999</v>
      </c>
      <c r="S262">
        <f t="shared" si="38"/>
        <v>0.86181999999999981</v>
      </c>
      <c r="T262">
        <f t="shared" si="39"/>
        <v>-2.7059500000000001</v>
      </c>
      <c r="U262">
        <f t="shared" si="40"/>
        <v>31</v>
      </c>
      <c r="V262">
        <f t="shared" si="41"/>
        <v>-8.7288709677419363E-2</v>
      </c>
      <c r="W262">
        <f t="shared" si="37"/>
        <v>-872.88709677419365</v>
      </c>
    </row>
    <row r="263" spans="1:29" x14ac:dyDescent="0.3">
      <c r="A263" t="s">
        <v>63</v>
      </c>
      <c r="B263" t="s">
        <v>51</v>
      </c>
      <c r="C263">
        <v>1</v>
      </c>
      <c r="D263">
        <v>48</v>
      </c>
      <c r="E263" t="s">
        <v>31</v>
      </c>
      <c r="F263">
        <v>0.45208999999999999</v>
      </c>
      <c r="G263" s="1">
        <v>45875</v>
      </c>
      <c r="H263">
        <v>2.67659</v>
      </c>
      <c r="I263" s="1">
        <v>45906</v>
      </c>
      <c r="J263">
        <f t="shared" si="35"/>
        <v>63.617251162500004</v>
      </c>
      <c r="K263">
        <v>5.31</v>
      </c>
      <c r="M263">
        <f t="shared" si="42"/>
        <v>0</v>
      </c>
      <c r="N263">
        <f t="shared" si="36"/>
        <v>-5.31</v>
      </c>
      <c r="O263" t="s">
        <v>180</v>
      </c>
      <c r="P263">
        <v>3.45662</v>
      </c>
      <c r="S263">
        <f t="shared" si="38"/>
        <v>0.78003</v>
      </c>
      <c r="T263">
        <f t="shared" si="39"/>
        <v>-2.67659</v>
      </c>
      <c r="U263">
        <f t="shared" si="40"/>
        <v>31</v>
      </c>
      <c r="V263">
        <f t="shared" si="41"/>
        <v>-8.6341612903225812E-2</v>
      </c>
      <c r="W263">
        <f t="shared" si="37"/>
        <v>-863.41612903225814</v>
      </c>
    </row>
    <row r="264" spans="1:29" s="7" customFormat="1" x14ac:dyDescent="0.3">
      <c r="A264" s="7" t="s">
        <v>63</v>
      </c>
      <c r="B264" s="7" t="s">
        <v>51</v>
      </c>
      <c r="C264" s="7">
        <v>2</v>
      </c>
      <c r="D264" s="7">
        <v>0.5</v>
      </c>
      <c r="E264" s="7" t="s">
        <v>64</v>
      </c>
      <c r="F264" s="7">
        <v>0.45795999999999998</v>
      </c>
      <c r="G264" s="10">
        <v>45875</v>
      </c>
      <c r="H264" s="7">
        <v>2.6748799999999999</v>
      </c>
      <c r="I264" s="10">
        <v>45906</v>
      </c>
      <c r="J264" s="7">
        <f t="shared" si="35"/>
        <v>63.617251162500004</v>
      </c>
      <c r="K264" s="7">
        <v>5.31</v>
      </c>
      <c r="M264" s="7">
        <f t="shared" si="42"/>
        <v>0</v>
      </c>
      <c r="N264" s="7">
        <f t="shared" si="36"/>
        <v>-5.31</v>
      </c>
      <c r="O264" t="s">
        <v>180</v>
      </c>
      <c r="P264" s="7" t="s">
        <v>65</v>
      </c>
      <c r="S264" s="7" t="e">
        <f t="shared" si="38"/>
        <v>#VALUE!</v>
      </c>
      <c r="T264" s="7">
        <f t="shared" si="39"/>
        <v>-2.6748799999999999</v>
      </c>
      <c r="U264" s="7">
        <f t="shared" si="40"/>
        <v>31</v>
      </c>
      <c r="V264" s="7">
        <f t="shared" si="41"/>
        <v>-8.6286451612903228E-2</v>
      </c>
      <c r="W264" s="7">
        <f t="shared" si="37"/>
        <v>-862.86451612903227</v>
      </c>
      <c r="AC264" t="s">
        <v>176</v>
      </c>
    </row>
    <row r="265" spans="1:29" x14ac:dyDescent="0.3">
      <c r="A265" t="s">
        <v>63</v>
      </c>
      <c r="B265" t="s">
        <v>51</v>
      </c>
      <c r="C265">
        <v>2</v>
      </c>
      <c r="D265">
        <v>0.5</v>
      </c>
      <c r="E265" t="s">
        <v>30</v>
      </c>
      <c r="F265">
        <v>0.45434000000000002</v>
      </c>
      <c r="G265" s="1">
        <v>45875</v>
      </c>
      <c r="H265">
        <v>2.6680999999999999</v>
      </c>
      <c r="I265" s="1">
        <v>45906</v>
      </c>
      <c r="J265">
        <f t="shared" si="35"/>
        <v>63.617251162500004</v>
      </c>
      <c r="K265">
        <v>5.31</v>
      </c>
      <c r="M265">
        <f t="shared" si="42"/>
        <v>0</v>
      </c>
      <c r="N265">
        <f t="shared" si="36"/>
        <v>-5.31</v>
      </c>
      <c r="O265" t="s">
        <v>180</v>
      </c>
      <c r="P265">
        <v>101.37949999999999</v>
      </c>
      <c r="S265">
        <f t="shared" si="38"/>
        <v>98.711399999999998</v>
      </c>
      <c r="T265">
        <f t="shared" si="39"/>
        <v>-2.6680999999999999</v>
      </c>
      <c r="U265">
        <f t="shared" si="40"/>
        <v>31</v>
      </c>
      <c r="V265">
        <f t="shared" si="41"/>
        <v>-8.6067741935483874E-2</v>
      </c>
      <c r="W265">
        <f t="shared" si="37"/>
        <v>-860.67741935483878</v>
      </c>
      <c r="AC265" t="s">
        <v>175</v>
      </c>
    </row>
    <row r="266" spans="1:29" x14ac:dyDescent="0.3">
      <c r="A266" t="s">
        <v>63</v>
      </c>
      <c r="B266" t="s">
        <v>51</v>
      </c>
      <c r="C266">
        <v>2</v>
      </c>
      <c r="D266">
        <v>0.5</v>
      </c>
      <c r="E266" t="s">
        <v>31</v>
      </c>
      <c r="F266">
        <v>0.45937</v>
      </c>
      <c r="G266" s="1">
        <v>45875</v>
      </c>
      <c r="H266">
        <v>2.6933099999999999</v>
      </c>
      <c r="I266" s="1">
        <v>45906</v>
      </c>
      <c r="J266">
        <f t="shared" si="35"/>
        <v>63.617251162500004</v>
      </c>
      <c r="K266">
        <v>5.31</v>
      </c>
      <c r="M266">
        <f t="shared" si="42"/>
        <v>0</v>
      </c>
      <c r="N266">
        <f t="shared" si="36"/>
        <v>-5.31</v>
      </c>
      <c r="O266" t="s">
        <v>180</v>
      </c>
      <c r="P266">
        <v>77.093900000000005</v>
      </c>
      <c r="S266">
        <f t="shared" si="38"/>
        <v>74.400590000000008</v>
      </c>
      <c r="T266">
        <f t="shared" si="39"/>
        <v>-2.6933099999999999</v>
      </c>
      <c r="U266">
        <f t="shared" si="40"/>
        <v>31</v>
      </c>
      <c r="V266">
        <f t="shared" si="41"/>
        <v>-8.6880967741935475E-2</v>
      </c>
      <c r="W266">
        <f t="shared" si="37"/>
        <v>-868.80967741935478</v>
      </c>
      <c r="AC266" t="s">
        <v>175</v>
      </c>
    </row>
    <row r="267" spans="1:29" x14ac:dyDescent="0.3">
      <c r="A267" t="s">
        <v>63</v>
      </c>
      <c r="B267" t="s">
        <v>51</v>
      </c>
      <c r="C267">
        <v>2</v>
      </c>
      <c r="D267">
        <v>2</v>
      </c>
      <c r="E267" t="s">
        <v>64</v>
      </c>
      <c r="F267">
        <v>0.45445999999999998</v>
      </c>
      <c r="G267" s="1">
        <v>45875</v>
      </c>
      <c r="H267">
        <v>2.6722100000000002</v>
      </c>
      <c r="I267" s="1">
        <v>45906</v>
      </c>
      <c r="J267">
        <f t="shared" si="35"/>
        <v>63.617251162500004</v>
      </c>
      <c r="K267">
        <v>5.31</v>
      </c>
      <c r="M267">
        <f t="shared" si="42"/>
        <v>0</v>
      </c>
      <c r="N267">
        <f t="shared" si="36"/>
        <v>-5.31</v>
      </c>
      <c r="O267" t="s">
        <v>180</v>
      </c>
      <c r="P267">
        <v>99.925899999999999</v>
      </c>
      <c r="S267">
        <f t="shared" si="38"/>
        <v>97.253689999999992</v>
      </c>
      <c r="T267">
        <f t="shared" si="39"/>
        <v>-2.6722100000000002</v>
      </c>
      <c r="U267">
        <f t="shared" si="40"/>
        <v>31</v>
      </c>
      <c r="V267">
        <f t="shared" si="41"/>
        <v>-8.6200322580645167E-2</v>
      </c>
      <c r="W267">
        <f t="shared" si="37"/>
        <v>-862.00322580645172</v>
      </c>
      <c r="AC267" t="s">
        <v>175</v>
      </c>
    </row>
    <row r="268" spans="1:29" s="7" customFormat="1" x14ac:dyDescent="0.3">
      <c r="A268" s="7" t="s">
        <v>63</v>
      </c>
      <c r="B268" s="7" t="s">
        <v>51</v>
      </c>
      <c r="C268" s="7">
        <v>2</v>
      </c>
      <c r="D268" s="7">
        <v>2</v>
      </c>
      <c r="E268" s="7" t="s">
        <v>30</v>
      </c>
      <c r="F268" s="7">
        <v>0.45948</v>
      </c>
      <c r="G268" s="10">
        <v>45875</v>
      </c>
      <c r="H268" s="7">
        <v>2.6869000000000001</v>
      </c>
      <c r="I268" s="10">
        <v>45906</v>
      </c>
      <c r="J268" s="7">
        <f t="shared" si="35"/>
        <v>63.617251162500004</v>
      </c>
      <c r="K268" s="7">
        <v>5.31</v>
      </c>
      <c r="M268" s="7">
        <f t="shared" si="42"/>
        <v>0</v>
      </c>
      <c r="N268" s="7">
        <f t="shared" si="36"/>
        <v>-5.31</v>
      </c>
      <c r="O268" t="s">
        <v>180</v>
      </c>
      <c r="P268" s="7" t="s">
        <v>66</v>
      </c>
      <c r="S268" s="7" t="e">
        <f t="shared" si="38"/>
        <v>#VALUE!</v>
      </c>
      <c r="T268" s="7">
        <f t="shared" si="39"/>
        <v>-2.6869000000000001</v>
      </c>
      <c r="U268" s="7">
        <f t="shared" si="40"/>
        <v>31</v>
      </c>
      <c r="V268" s="7">
        <f t="shared" si="41"/>
        <v>-8.6674193548387096E-2</v>
      </c>
      <c r="W268" s="7">
        <f t="shared" si="37"/>
        <v>-866.74193548387098</v>
      </c>
      <c r="AC268" t="s">
        <v>175</v>
      </c>
    </row>
    <row r="269" spans="1:29" s="7" customFormat="1" x14ac:dyDescent="0.3">
      <c r="A269" s="7" t="s">
        <v>63</v>
      </c>
      <c r="B269" s="7" t="s">
        <v>51</v>
      </c>
      <c r="C269" s="7">
        <v>2</v>
      </c>
      <c r="D269" s="7">
        <v>2</v>
      </c>
      <c r="E269" s="7" t="s">
        <v>31</v>
      </c>
      <c r="F269" s="7">
        <v>0.45695999999999998</v>
      </c>
      <c r="G269" s="10">
        <v>45875</v>
      </c>
      <c r="H269" s="7">
        <v>2.6733199999999999</v>
      </c>
      <c r="I269" s="10">
        <v>45906</v>
      </c>
      <c r="J269" s="7">
        <f t="shared" si="35"/>
        <v>63.617251162500004</v>
      </c>
      <c r="K269" s="7">
        <v>5.31</v>
      </c>
      <c r="M269" s="7">
        <f t="shared" si="42"/>
        <v>0</v>
      </c>
      <c r="N269" s="7">
        <f t="shared" si="36"/>
        <v>-5.31</v>
      </c>
      <c r="O269" t="s">
        <v>180</v>
      </c>
      <c r="P269" s="7" t="s">
        <v>66</v>
      </c>
      <c r="S269" s="7" t="e">
        <f t="shared" si="38"/>
        <v>#VALUE!</v>
      </c>
      <c r="T269" s="7">
        <f t="shared" si="39"/>
        <v>-2.6733199999999999</v>
      </c>
      <c r="U269" s="7">
        <f t="shared" si="40"/>
        <v>31</v>
      </c>
      <c r="V269" s="7">
        <f t="shared" si="41"/>
        <v>-8.6236129032258066E-2</v>
      </c>
      <c r="W269" s="7">
        <f t="shared" si="37"/>
        <v>-862.36129032258066</v>
      </c>
      <c r="AC269" t="s">
        <v>175</v>
      </c>
    </row>
    <row r="270" spans="1:29" x14ac:dyDescent="0.3">
      <c r="A270" t="s">
        <v>63</v>
      </c>
      <c r="B270" t="s">
        <v>51</v>
      </c>
      <c r="C270">
        <v>2</v>
      </c>
      <c r="D270">
        <v>6</v>
      </c>
      <c r="E270" t="s">
        <v>64</v>
      </c>
      <c r="F270">
        <v>0.45596999999999999</v>
      </c>
      <c r="G270" s="1">
        <v>45875</v>
      </c>
      <c r="H270">
        <v>2.66126</v>
      </c>
      <c r="I270" s="1">
        <v>45906</v>
      </c>
      <c r="J270">
        <f t="shared" si="35"/>
        <v>63.617251162500004</v>
      </c>
      <c r="K270">
        <v>5.31</v>
      </c>
      <c r="M270">
        <f t="shared" si="42"/>
        <v>0</v>
      </c>
      <c r="N270">
        <f t="shared" si="36"/>
        <v>-5.31</v>
      </c>
      <c r="O270" t="s">
        <v>180</v>
      </c>
      <c r="P270">
        <v>5.6324699999999996</v>
      </c>
      <c r="S270">
        <f t="shared" si="38"/>
        <v>2.9712099999999997</v>
      </c>
      <c r="T270">
        <f t="shared" si="39"/>
        <v>-2.66126</v>
      </c>
      <c r="U270">
        <f t="shared" si="40"/>
        <v>31</v>
      </c>
      <c r="V270">
        <f t="shared" si="41"/>
        <v>-8.584709677419354E-2</v>
      </c>
      <c r="W270">
        <f t="shared" si="37"/>
        <v>-858.4709677419354</v>
      </c>
    </row>
    <row r="271" spans="1:29" x14ac:dyDescent="0.3">
      <c r="A271" t="s">
        <v>63</v>
      </c>
      <c r="B271" t="s">
        <v>51</v>
      </c>
      <c r="C271">
        <v>2</v>
      </c>
      <c r="D271">
        <v>6</v>
      </c>
      <c r="E271" t="s">
        <v>30</v>
      </c>
      <c r="F271">
        <v>0.45680999999999999</v>
      </c>
      <c r="G271" s="1">
        <v>45875</v>
      </c>
      <c r="H271">
        <v>2.7137199999999999</v>
      </c>
      <c r="I271" s="1">
        <v>45906</v>
      </c>
      <c r="J271">
        <f t="shared" si="35"/>
        <v>63.617251162500004</v>
      </c>
      <c r="K271">
        <v>5.31</v>
      </c>
      <c r="M271">
        <f t="shared" si="42"/>
        <v>0</v>
      </c>
      <c r="N271">
        <f t="shared" si="36"/>
        <v>-5.31</v>
      </c>
      <c r="O271" t="s">
        <v>180</v>
      </c>
      <c r="P271">
        <v>5.4107799999999999</v>
      </c>
      <c r="S271">
        <f t="shared" si="38"/>
        <v>2.69706</v>
      </c>
      <c r="T271">
        <f t="shared" si="39"/>
        <v>-2.7137199999999999</v>
      </c>
      <c r="U271">
        <f t="shared" si="40"/>
        <v>31</v>
      </c>
      <c r="V271">
        <f t="shared" si="41"/>
        <v>-8.7539354838709671E-2</v>
      </c>
      <c r="W271">
        <f t="shared" si="37"/>
        <v>-875.39354838709676</v>
      </c>
    </row>
    <row r="272" spans="1:29" x14ac:dyDescent="0.3">
      <c r="A272" t="s">
        <v>63</v>
      </c>
      <c r="B272" t="s">
        <v>51</v>
      </c>
      <c r="C272">
        <v>2</v>
      </c>
      <c r="D272">
        <v>6</v>
      </c>
      <c r="E272" t="s">
        <v>31</v>
      </c>
      <c r="F272">
        <v>0.45373999999999998</v>
      </c>
      <c r="G272" s="1">
        <v>45875</v>
      </c>
      <c r="H272">
        <v>2.70322</v>
      </c>
      <c r="I272" s="1">
        <v>45906</v>
      </c>
      <c r="J272">
        <f t="shared" si="35"/>
        <v>63.617251162500004</v>
      </c>
      <c r="K272">
        <v>5.31</v>
      </c>
      <c r="M272">
        <f t="shared" si="42"/>
        <v>0</v>
      </c>
      <c r="N272">
        <f t="shared" si="36"/>
        <v>-5.31</v>
      </c>
      <c r="O272" t="s">
        <v>180</v>
      </c>
      <c r="P272">
        <v>5.1237700000000004</v>
      </c>
      <c r="S272">
        <f t="shared" si="38"/>
        <v>2.4205500000000004</v>
      </c>
      <c r="T272">
        <f t="shared" si="39"/>
        <v>-2.70322</v>
      </c>
      <c r="U272">
        <f t="shared" si="40"/>
        <v>31</v>
      </c>
      <c r="V272">
        <f t="shared" si="41"/>
        <v>-8.7200645161290322E-2</v>
      </c>
      <c r="W272">
        <f t="shared" si="37"/>
        <v>-872.00645161290322</v>
      </c>
    </row>
    <row r="273" spans="1:29" x14ac:dyDescent="0.3">
      <c r="A273" t="s">
        <v>63</v>
      </c>
      <c r="B273" t="s">
        <v>51</v>
      </c>
      <c r="C273">
        <v>2</v>
      </c>
      <c r="D273">
        <v>12</v>
      </c>
      <c r="E273" t="s">
        <v>64</v>
      </c>
      <c r="F273">
        <v>0.45594000000000001</v>
      </c>
      <c r="G273" s="1">
        <v>45875</v>
      </c>
      <c r="H273">
        <v>2.6819600000000001</v>
      </c>
      <c r="I273" s="1">
        <v>45906</v>
      </c>
      <c r="J273">
        <f t="shared" si="35"/>
        <v>63.617251162500004</v>
      </c>
      <c r="K273">
        <v>5.31</v>
      </c>
      <c r="M273">
        <f t="shared" si="42"/>
        <v>0</v>
      </c>
      <c r="N273">
        <f t="shared" si="36"/>
        <v>-5.31</v>
      </c>
      <c r="O273" t="s">
        <v>180</v>
      </c>
      <c r="P273">
        <v>3.8437899999999998</v>
      </c>
      <c r="S273">
        <f t="shared" si="38"/>
        <v>1.1618299999999997</v>
      </c>
      <c r="T273">
        <f t="shared" si="39"/>
        <v>-2.6819600000000001</v>
      </c>
      <c r="U273">
        <f t="shared" si="40"/>
        <v>31</v>
      </c>
      <c r="V273">
        <f t="shared" si="41"/>
        <v>-8.6514838709677425E-2</v>
      </c>
      <c r="W273">
        <f t="shared" si="37"/>
        <v>-865.14838709677429</v>
      </c>
    </row>
    <row r="274" spans="1:29" x14ac:dyDescent="0.3">
      <c r="A274" t="s">
        <v>63</v>
      </c>
      <c r="B274" t="s">
        <v>51</v>
      </c>
      <c r="C274">
        <v>2</v>
      </c>
      <c r="D274">
        <v>12</v>
      </c>
      <c r="E274" t="s">
        <v>30</v>
      </c>
      <c r="F274">
        <v>0.45634000000000002</v>
      </c>
      <c r="G274" s="1">
        <v>45875</v>
      </c>
      <c r="H274">
        <v>2.6985800000000002</v>
      </c>
      <c r="I274" s="1">
        <v>45906</v>
      </c>
      <c r="J274">
        <f t="shared" si="35"/>
        <v>63.617251162500004</v>
      </c>
      <c r="K274">
        <v>5.31</v>
      </c>
      <c r="M274">
        <f t="shared" si="42"/>
        <v>0</v>
      </c>
      <c r="N274">
        <f t="shared" si="36"/>
        <v>-5.31</v>
      </c>
      <c r="O274" t="s">
        <v>180</v>
      </c>
      <c r="P274">
        <v>3.8944000000000001</v>
      </c>
      <c r="S274">
        <f t="shared" si="38"/>
        <v>1.1958199999999999</v>
      </c>
      <c r="T274">
        <f t="shared" si="39"/>
        <v>-2.6985800000000002</v>
      </c>
      <c r="U274">
        <f t="shared" si="40"/>
        <v>31</v>
      </c>
      <c r="V274">
        <f t="shared" si="41"/>
        <v>-8.7050967741935492E-2</v>
      </c>
      <c r="W274">
        <f t="shared" si="37"/>
        <v>-870.50967741935494</v>
      </c>
    </row>
    <row r="275" spans="1:29" x14ac:dyDescent="0.3">
      <c r="A275" t="s">
        <v>63</v>
      </c>
      <c r="B275" t="s">
        <v>51</v>
      </c>
      <c r="C275">
        <v>2</v>
      </c>
      <c r="D275">
        <v>12</v>
      </c>
      <c r="E275" t="s">
        <v>31</v>
      </c>
      <c r="F275">
        <v>0.45488000000000001</v>
      </c>
      <c r="G275" s="1">
        <v>45875</v>
      </c>
      <c r="H275">
        <v>2.7089699999999999</v>
      </c>
      <c r="I275" s="1">
        <v>45906</v>
      </c>
      <c r="J275">
        <f t="shared" si="35"/>
        <v>63.617251162500004</v>
      </c>
      <c r="K275">
        <v>5.31</v>
      </c>
      <c r="M275">
        <f t="shared" si="42"/>
        <v>0</v>
      </c>
      <c r="N275">
        <f t="shared" si="36"/>
        <v>-5.31</v>
      </c>
      <c r="O275" t="s">
        <v>180</v>
      </c>
      <c r="P275">
        <v>3.9276200000000001</v>
      </c>
      <c r="S275">
        <f t="shared" si="38"/>
        <v>1.2186500000000002</v>
      </c>
      <c r="T275">
        <f t="shared" si="39"/>
        <v>-2.7089699999999999</v>
      </c>
      <c r="U275">
        <f t="shared" si="40"/>
        <v>31</v>
      </c>
      <c r="V275">
        <f t="shared" si="41"/>
        <v>-8.7386129032258064E-2</v>
      </c>
      <c r="W275">
        <f t="shared" si="37"/>
        <v>-873.86129032258066</v>
      </c>
    </row>
    <row r="276" spans="1:29" x14ac:dyDescent="0.3">
      <c r="A276" t="s">
        <v>63</v>
      </c>
      <c r="B276" t="s">
        <v>51</v>
      </c>
      <c r="C276">
        <v>2</v>
      </c>
      <c r="D276">
        <v>24</v>
      </c>
      <c r="E276" t="s">
        <v>28</v>
      </c>
      <c r="F276">
        <v>0.45550000000000002</v>
      </c>
      <c r="G276" s="1">
        <v>45875</v>
      </c>
      <c r="H276">
        <v>2.7139099999999998</v>
      </c>
      <c r="I276" s="1">
        <v>45906</v>
      </c>
      <c r="J276">
        <f t="shared" si="35"/>
        <v>63.617251162500004</v>
      </c>
      <c r="K276">
        <v>5.31</v>
      </c>
      <c r="M276">
        <f t="shared" si="42"/>
        <v>0</v>
      </c>
      <c r="N276">
        <f t="shared" si="36"/>
        <v>-5.31</v>
      </c>
      <c r="O276" t="s">
        <v>180</v>
      </c>
      <c r="P276">
        <v>3.4358900000000001</v>
      </c>
      <c r="S276">
        <f t="shared" si="38"/>
        <v>0.72198000000000029</v>
      </c>
      <c r="T276">
        <f t="shared" si="39"/>
        <v>-2.7139099999999998</v>
      </c>
      <c r="U276">
        <f t="shared" si="40"/>
        <v>31</v>
      </c>
      <c r="V276">
        <f t="shared" si="41"/>
        <v>-8.7545483870967736E-2</v>
      </c>
      <c r="W276">
        <f t="shared" si="37"/>
        <v>-875.45483870967735</v>
      </c>
    </row>
    <row r="277" spans="1:29" x14ac:dyDescent="0.3">
      <c r="A277" t="s">
        <v>63</v>
      </c>
      <c r="B277" t="s">
        <v>51</v>
      </c>
      <c r="C277">
        <v>2</v>
      </c>
      <c r="D277">
        <v>24</v>
      </c>
      <c r="E277" t="s">
        <v>30</v>
      </c>
      <c r="F277">
        <v>0.45434000000000002</v>
      </c>
      <c r="G277" s="1">
        <v>45875</v>
      </c>
      <c r="H277">
        <v>2.6877300000000002</v>
      </c>
      <c r="I277" s="1">
        <v>45906</v>
      </c>
      <c r="J277">
        <f t="shared" si="35"/>
        <v>63.617251162500004</v>
      </c>
      <c r="K277">
        <v>5.31</v>
      </c>
      <c r="M277">
        <f t="shared" si="42"/>
        <v>0</v>
      </c>
      <c r="N277">
        <f t="shared" si="36"/>
        <v>-5.31</v>
      </c>
      <c r="O277" t="s">
        <v>180</v>
      </c>
      <c r="P277">
        <v>3.3796499999999998</v>
      </c>
      <c r="S277">
        <f t="shared" si="38"/>
        <v>0.69191999999999965</v>
      </c>
      <c r="T277">
        <f t="shared" si="39"/>
        <v>-2.6877300000000002</v>
      </c>
      <c r="U277">
        <f t="shared" si="40"/>
        <v>31</v>
      </c>
      <c r="V277">
        <f t="shared" si="41"/>
        <v>-8.6700967741935489E-2</v>
      </c>
      <c r="W277">
        <f t="shared" si="37"/>
        <v>-867.00967741935494</v>
      </c>
    </row>
    <row r="278" spans="1:29" x14ac:dyDescent="0.3">
      <c r="A278" t="s">
        <v>63</v>
      </c>
      <c r="B278" t="s">
        <v>51</v>
      </c>
      <c r="C278">
        <v>2</v>
      </c>
      <c r="D278">
        <v>24</v>
      </c>
      <c r="E278" t="s">
        <v>31</v>
      </c>
      <c r="F278">
        <v>0.45622000000000001</v>
      </c>
      <c r="G278" s="1">
        <v>45875</v>
      </c>
      <c r="H278">
        <v>2.7386200000000001</v>
      </c>
      <c r="I278" s="1">
        <v>45906</v>
      </c>
      <c r="J278">
        <f t="shared" si="35"/>
        <v>63.617251162500004</v>
      </c>
      <c r="K278">
        <v>5.31</v>
      </c>
      <c r="M278">
        <f t="shared" si="42"/>
        <v>0</v>
      </c>
      <c r="N278">
        <f t="shared" si="36"/>
        <v>-5.31</v>
      </c>
      <c r="O278" t="s">
        <v>180</v>
      </c>
      <c r="P278">
        <v>3.43764</v>
      </c>
      <c r="S278">
        <f t="shared" si="38"/>
        <v>0.69901999999999997</v>
      </c>
      <c r="T278">
        <f t="shared" si="39"/>
        <v>-2.7386200000000001</v>
      </c>
      <c r="U278">
        <f t="shared" si="40"/>
        <v>31</v>
      </c>
      <c r="V278">
        <f t="shared" si="41"/>
        <v>-8.8342580645161289E-2</v>
      </c>
      <c r="W278">
        <f t="shared" si="37"/>
        <v>-883.42580645161286</v>
      </c>
    </row>
    <row r="279" spans="1:29" x14ac:dyDescent="0.3">
      <c r="A279" t="s">
        <v>63</v>
      </c>
      <c r="B279" t="s">
        <v>51</v>
      </c>
      <c r="C279">
        <v>2</v>
      </c>
      <c r="D279">
        <v>48</v>
      </c>
      <c r="E279" t="s">
        <v>64</v>
      </c>
      <c r="F279">
        <v>0.45590000000000003</v>
      </c>
      <c r="G279" s="1">
        <v>45875</v>
      </c>
      <c r="H279">
        <v>2.7107000000000001</v>
      </c>
      <c r="I279" s="1">
        <v>45906</v>
      </c>
      <c r="J279">
        <f t="shared" si="35"/>
        <v>63.617251162500004</v>
      </c>
      <c r="K279">
        <v>5.31</v>
      </c>
      <c r="M279">
        <f t="shared" si="42"/>
        <v>0</v>
      </c>
      <c r="N279">
        <f t="shared" si="36"/>
        <v>-5.31</v>
      </c>
      <c r="O279" t="s">
        <v>180</v>
      </c>
      <c r="P279">
        <v>3.39147</v>
      </c>
      <c r="S279">
        <f t="shared" si="38"/>
        <v>0.68076999999999988</v>
      </c>
      <c r="T279">
        <f t="shared" si="39"/>
        <v>-2.7107000000000001</v>
      </c>
      <c r="U279">
        <f t="shared" si="40"/>
        <v>31</v>
      </c>
      <c r="V279">
        <f t="shared" si="41"/>
        <v>-8.7441935483870969E-2</v>
      </c>
      <c r="W279">
        <f t="shared" si="37"/>
        <v>-874.41935483870975</v>
      </c>
    </row>
    <row r="280" spans="1:29" x14ac:dyDescent="0.3">
      <c r="A280" t="s">
        <v>63</v>
      </c>
      <c r="B280" t="s">
        <v>51</v>
      </c>
      <c r="C280">
        <v>2</v>
      </c>
      <c r="D280">
        <v>48</v>
      </c>
      <c r="E280" t="s">
        <v>30</v>
      </c>
      <c r="F280">
        <v>0.45713999999999999</v>
      </c>
      <c r="G280" s="1">
        <v>45875</v>
      </c>
      <c r="H280">
        <v>2.7470599999999998</v>
      </c>
      <c r="I280" s="1">
        <v>45906</v>
      </c>
      <c r="J280">
        <f t="shared" si="35"/>
        <v>63.617251162500004</v>
      </c>
      <c r="K280">
        <v>5.31</v>
      </c>
      <c r="M280">
        <f t="shared" si="42"/>
        <v>0</v>
      </c>
      <c r="N280">
        <f t="shared" si="36"/>
        <v>-5.31</v>
      </c>
      <c r="O280" t="s">
        <v>180</v>
      </c>
      <c r="P280">
        <v>3.3867699999999998</v>
      </c>
      <c r="S280">
        <f t="shared" si="38"/>
        <v>0.63971</v>
      </c>
      <c r="T280">
        <f t="shared" si="39"/>
        <v>-2.7470599999999998</v>
      </c>
      <c r="U280">
        <f t="shared" si="40"/>
        <v>31</v>
      </c>
      <c r="V280">
        <f t="shared" si="41"/>
        <v>-8.8614838709677415E-2</v>
      </c>
      <c r="W280">
        <f t="shared" si="37"/>
        <v>-886.14838709677417</v>
      </c>
    </row>
    <row r="281" spans="1:29" x14ac:dyDescent="0.3">
      <c r="A281" t="s">
        <v>63</v>
      </c>
      <c r="B281" t="s">
        <v>51</v>
      </c>
      <c r="C281">
        <v>2</v>
      </c>
      <c r="D281">
        <v>48</v>
      </c>
      <c r="E281" t="s">
        <v>31</v>
      </c>
      <c r="F281">
        <v>0.45704</v>
      </c>
      <c r="G281" s="1">
        <v>45875</v>
      </c>
      <c r="H281">
        <v>2.7191399999999999</v>
      </c>
      <c r="I281" s="1">
        <v>45906</v>
      </c>
      <c r="J281">
        <f t="shared" si="35"/>
        <v>63.617251162500004</v>
      </c>
      <c r="K281">
        <v>5.31</v>
      </c>
      <c r="M281">
        <f t="shared" si="42"/>
        <v>0</v>
      </c>
      <c r="N281">
        <f t="shared" si="36"/>
        <v>-5.31</v>
      </c>
      <c r="O281" t="s">
        <v>180</v>
      </c>
      <c r="P281">
        <v>3.4302600000000001</v>
      </c>
      <c r="S281">
        <f t="shared" si="38"/>
        <v>0.7111200000000002</v>
      </c>
      <c r="T281">
        <f t="shared" si="39"/>
        <v>-2.7191399999999999</v>
      </c>
      <c r="U281">
        <f t="shared" si="40"/>
        <v>31</v>
      </c>
      <c r="V281">
        <f t="shared" si="41"/>
        <v>-8.7714193548387095E-2</v>
      </c>
      <c r="W281">
        <f t="shared" si="37"/>
        <v>-877.14193548387095</v>
      </c>
    </row>
    <row r="282" spans="1:29" x14ac:dyDescent="0.3">
      <c r="A282" t="s">
        <v>63</v>
      </c>
      <c r="B282" t="s">
        <v>51</v>
      </c>
      <c r="E282" t="s">
        <v>67</v>
      </c>
      <c r="F282">
        <v>0.45168000000000003</v>
      </c>
      <c r="G282" t="s">
        <v>56</v>
      </c>
      <c r="H282">
        <v>2.7411300000000001</v>
      </c>
      <c r="I282" t="s">
        <v>56</v>
      </c>
      <c r="J282">
        <f t="shared" si="35"/>
        <v>63.617251162500004</v>
      </c>
      <c r="K282">
        <v>5.31</v>
      </c>
      <c r="M282">
        <f t="shared" si="42"/>
        <v>0</v>
      </c>
      <c r="N282">
        <f t="shared" si="36"/>
        <v>-5.31</v>
      </c>
      <c r="P282" t="s">
        <v>56</v>
      </c>
      <c r="S282" t="e">
        <f t="shared" si="38"/>
        <v>#VALUE!</v>
      </c>
      <c r="T282">
        <f t="shared" si="39"/>
        <v>-2.7411300000000001</v>
      </c>
      <c r="U282" t="e">
        <f t="shared" si="40"/>
        <v>#VALUE!</v>
      </c>
      <c r="V282" t="e">
        <f t="shared" si="41"/>
        <v>#VALUE!</v>
      </c>
      <c r="W282" t="e">
        <f t="shared" si="37"/>
        <v>#VALUE!</v>
      </c>
    </row>
    <row r="283" spans="1:29" x14ac:dyDescent="0.3">
      <c r="A283" t="s">
        <v>63</v>
      </c>
      <c r="B283" t="s">
        <v>51</v>
      </c>
      <c r="E283" t="s">
        <v>68</v>
      </c>
      <c r="F283">
        <v>0.45390999999999998</v>
      </c>
      <c r="G283" t="s">
        <v>56</v>
      </c>
      <c r="H283">
        <v>2.7230400000000001</v>
      </c>
      <c r="I283" t="s">
        <v>56</v>
      </c>
      <c r="J283">
        <f t="shared" si="35"/>
        <v>63.617251162500004</v>
      </c>
      <c r="K283">
        <v>5.31</v>
      </c>
      <c r="M283">
        <f t="shared" si="42"/>
        <v>0</v>
      </c>
      <c r="N283">
        <f t="shared" si="36"/>
        <v>-5.31</v>
      </c>
      <c r="P283" t="s">
        <v>56</v>
      </c>
      <c r="S283" t="e">
        <f t="shared" si="38"/>
        <v>#VALUE!</v>
      </c>
      <c r="T283">
        <f t="shared" si="39"/>
        <v>-2.7230400000000001</v>
      </c>
      <c r="U283" t="e">
        <f t="shared" si="40"/>
        <v>#VALUE!</v>
      </c>
      <c r="V283" t="e">
        <f t="shared" si="41"/>
        <v>#VALUE!</v>
      </c>
      <c r="W283" t="e">
        <f t="shared" si="37"/>
        <v>#VALUE!</v>
      </c>
    </row>
    <row r="284" spans="1:29" x14ac:dyDescent="0.3">
      <c r="A284" t="s">
        <v>63</v>
      </c>
      <c r="B284" t="s">
        <v>51</v>
      </c>
      <c r="E284" t="s">
        <v>69</v>
      </c>
      <c r="F284">
        <v>0.45330999999999999</v>
      </c>
      <c r="G284" t="s">
        <v>56</v>
      </c>
      <c r="H284">
        <v>2.7252000000000001</v>
      </c>
      <c r="I284" t="s">
        <v>56</v>
      </c>
      <c r="J284">
        <f t="shared" si="35"/>
        <v>63.617251162500004</v>
      </c>
      <c r="K284">
        <v>5.31</v>
      </c>
      <c r="M284">
        <f t="shared" si="42"/>
        <v>0</v>
      </c>
      <c r="N284">
        <f t="shared" si="36"/>
        <v>-5.31</v>
      </c>
      <c r="P284" t="s">
        <v>56</v>
      </c>
      <c r="S284" t="e">
        <f t="shared" si="38"/>
        <v>#VALUE!</v>
      </c>
      <c r="T284">
        <f t="shared" si="39"/>
        <v>-2.7252000000000001</v>
      </c>
      <c r="U284" t="e">
        <f t="shared" si="40"/>
        <v>#VALUE!</v>
      </c>
      <c r="V284" t="e">
        <f t="shared" si="41"/>
        <v>#VALUE!</v>
      </c>
      <c r="W284" t="e">
        <f t="shared" si="37"/>
        <v>#VALUE!</v>
      </c>
    </row>
    <row r="285" spans="1:29" x14ac:dyDescent="0.3">
      <c r="A285" t="s">
        <v>63</v>
      </c>
      <c r="B285" t="s">
        <v>51</v>
      </c>
      <c r="E285" t="s">
        <v>70</v>
      </c>
      <c r="F285">
        <v>0.45262000000000002</v>
      </c>
      <c r="G285" t="s">
        <v>56</v>
      </c>
      <c r="H285">
        <v>2.7111999999999998</v>
      </c>
      <c r="I285" t="s">
        <v>56</v>
      </c>
      <c r="J285">
        <f t="shared" si="35"/>
        <v>63.617251162500004</v>
      </c>
      <c r="K285">
        <v>5.31</v>
      </c>
      <c r="M285">
        <f t="shared" si="42"/>
        <v>0</v>
      </c>
      <c r="N285">
        <f t="shared" si="36"/>
        <v>-5.31</v>
      </c>
      <c r="P285" t="s">
        <v>56</v>
      </c>
      <c r="S285" t="e">
        <f t="shared" si="38"/>
        <v>#VALUE!</v>
      </c>
      <c r="T285">
        <f t="shared" si="39"/>
        <v>-2.7111999999999998</v>
      </c>
      <c r="U285" t="e">
        <f t="shared" si="40"/>
        <v>#VALUE!</v>
      </c>
      <c r="V285" t="e">
        <f t="shared" si="41"/>
        <v>#VALUE!</v>
      </c>
      <c r="W285" t="e">
        <f t="shared" si="37"/>
        <v>#VALUE!</v>
      </c>
    </row>
    <row r="286" spans="1:29" x14ac:dyDescent="0.3">
      <c r="A286" t="s">
        <v>63</v>
      </c>
      <c r="B286" t="s">
        <v>54</v>
      </c>
      <c r="C286">
        <v>1</v>
      </c>
      <c r="D286">
        <v>0.5</v>
      </c>
      <c r="E286" t="s">
        <v>64</v>
      </c>
      <c r="F286">
        <v>0.45387</v>
      </c>
      <c r="G286" s="1">
        <v>45876</v>
      </c>
      <c r="H286">
        <v>2.71427</v>
      </c>
      <c r="I286" s="1">
        <v>45905</v>
      </c>
      <c r="J286">
        <f t="shared" si="35"/>
        <v>63.617251162500004</v>
      </c>
      <c r="K286">
        <v>5.31</v>
      </c>
      <c r="M286">
        <f t="shared" si="42"/>
        <v>0</v>
      </c>
      <c r="N286">
        <f t="shared" si="36"/>
        <v>-5.31</v>
      </c>
      <c r="O286" t="s">
        <v>181</v>
      </c>
      <c r="P286">
        <v>2.7135600000000002</v>
      </c>
      <c r="S286">
        <f t="shared" si="38"/>
        <v>-7.0999999999976637E-4</v>
      </c>
      <c r="T286" t="e">
        <f>AC286-M286-H286</f>
        <v>#VALUE!</v>
      </c>
      <c r="U286" s="1">
        <f>I286-G286</f>
        <v>29</v>
      </c>
      <c r="V286" t="e">
        <f t="shared" si="41"/>
        <v>#VALUE!</v>
      </c>
      <c r="W286" t="e">
        <f t="shared" si="37"/>
        <v>#VALUE!</v>
      </c>
      <c r="AC286" s="7" t="s">
        <v>183</v>
      </c>
    </row>
    <row r="287" spans="1:29" x14ac:dyDescent="0.3">
      <c r="A287" t="s">
        <v>63</v>
      </c>
      <c r="B287" t="s">
        <v>54</v>
      </c>
      <c r="C287">
        <v>1</v>
      </c>
      <c r="D287">
        <v>0.5</v>
      </c>
      <c r="E287" t="s">
        <v>30</v>
      </c>
      <c r="F287">
        <v>0.44625999999999999</v>
      </c>
      <c r="G287" s="1">
        <v>45876</v>
      </c>
      <c r="H287">
        <v>2.7445300000000001</v>
      </c>
      <c r="I287" s="1">
        <v>45905</v>
      </c>
      <c r="J287">
        <f t="shared" si="35"/>
        <v>63.617251162500004</v>
      </c>
      <c r="K287">
        <v>5.31</v>
      </c>
      <c r="M287">
        <f t="shared" si="42"/>
        <v>0</v>
      </c>
      <c r="N287">
        <f t="shared" si="36"/>
        <v>-5.31</v>
      </c>
      <c r="O287" t="s">
        <v>181</v>
      </c>
      <c r="P287">
        <v>2.9370799999999999</v>
      </c>
      <c r="S287">
        <f t="shared" si="38"/>
        <v>0.19254999999999978</v>
      </c>
      <c r="T287">
        <f t="shared" ref="T287:T318" si="43">Q287-M287-H287</f>
        <v>-2.7445300000000001</v>
      </c>
      <c r="U287">
        <f t="shared" si="40"/>
        <v>29</v>
      </c>
      <c r="V287">
        <f t="shared" si="41"/>
        <v>-9.463896551724138E-2</v>
      </c>
      <c r="W287">
        <f t="shared" si="37"/>
        <v>-946.38965517241377</v>
      </c>
      <c r="AC287" s="7" t="s">
        <v>184</v>
      </c>
    </row>
    <row r="288" spans="1:29" x14ac:dyDescent="0.3">
      <c r="A288" t="s">
        <v>63</v>
      </c>
      <c r="B288" t="s">
        <v>54</v>
      </c>
      <c r="C288">
        <v>1</v>
      </c>
      <c r="D288">
        <v>0.5</v>
      </c>
      <c r="E288" t="s">
        <v>31</v>
      </c>
      <c r="F288">
        <v>0.45174999999999998</v>
      </c>
      <c r="G288" s="1">
        <v>45876</v>
      </c>
      <c r="H288">
        <v>2.7254700000000001</v>
      </c>
      <c r="I288" s="1">
        <v>45905</v>
      </c>
      <c r="J288">
        <f t="shared" si="35"/>
        <v>63.617251162500004</v>
      </c>
      <c r="K288">
        <v>5.31</v>
      </c>
      <c r="M288">
        <f t="shared" si="42"/>
        <v>0</v>
      </c>
      <c r="N288">
        <f t="shared" si="36"/>
        <v>-5.31</v>
      </c>
      <c r="O288" t="s">
        <v>181</v>
      </c>
      <c r="P288">
        <v>3.1825399999999999</v>
      </c>
      <c r="S288">
        <f t="shared" si="38"/>
        <v>0.45706999999999987</v>
      </c>
      <c r="T288">
        <f t="shared" si="43"/>
        <v>-2.7254700000000001</v>
      </c>
      <c r="U288">
        <f t="shared" si="40"/>
        <v>29</v>
      </c>
      <c r="V288">
        <f t="shared" si="41"/>
        <v>-9.398172413793103E-2</v>
      </c>
      <c r="W288">
        <f t="shared" si="37"/>
        <v>-939.8172413793103</v>
      </c>
      <c r="AC288" s="7" t="s">
        <v>185</v>
      </c>
    </row>
    <row r="289" spans="1:29" x14ac:dyDescent="0.3">
      <c r="A289" t="s">
        <v>63</v>
      </c>
      <c r="B289" t="s">
        <v>54</v>
      </c>
      <c r="C289">
        <v>1</v>
      </c>
      <c r="D289">
        <v>2</v>
      </c>
      <c r="E289" t="s">
        <v>64</v>
      </c>
      <c r="F289">
        <v>0.44774000000000003</v>
      </c>
      <c r="G289" s="1">
        <v>45876</v>
      </c>
      <c r="H289">
        <v>2.7183099999999998</v>
      </c>
      <c r="I289" s="1">
        <v>45905</v>
      </c>
      <c r="J289">
        <f t="shared" si="35"/>
        <v>63.617251162500004</v>
      </c>
      <c r="K289">
        <v>5.31</v>
      </c>
      <c r="M289">
        <f t="shared" si="42"/>
        <v>0</v>
      </c>
      <c r="N289">
        <f t="shared" si="36"/>
        <v>-5.31</v>
      </c>
      <c r="O289" t="s">
        <v>181</v>
      </c>
      <c r="P289">
        <v>3.0776699999999999</v>
      </c>
      <c r="S289">
        <f t="shared" si="38"/>
        <v>0.35936000000000012</v>
      </c>
      <c r="T289">
        <f t="shared" si="43"/>
        <v>-2.7183099999999998</v>
      </c>
      <c r="U289">
        <f t="shared" si="40"/>
        <v>29</v>
      </c>
      <c r="V289">
        <f t="shared" si="41"/>
        <v>-9.3734827586206895E-2</v>
      </c>
      <c r="W289">
        <f t="shared" si="37"/>
        <v>-937.34827586206893</v>
      </c>
      <c r="AC289" s="7" t="s">
        <v>186</v>
      </c>
    </row>
    <row r="290" spans="1:29" x14ac:dyDescent="0.3">
      <c r="A290" t="s">
        <v>63</v>
      </c>
      <c r="B290" t="s">
        <v>54</v>
      </c>
      <c r="C290">
        <v>1</v>
      </c>
      <c r="D290">
        <v>2</v>
      </c>
      <c r="E290" t="s">
        <v>30</v>
      </c>
      <c r="F290">
        <v>0.45093</v>
      </c>
      <c r="G290" s="1">
        <v>45876</v>
      </c>
      <c r="H290">
        <v>2.74593</v>
      </c>
      <c r="I290" s="1">
        <v>45905</v>
      </c>
      <c r="J290">
        <f t="shared" si="35"/>
        <v>63.617251162500004</v>
      </c>
      <c r="K290">
        <v>5.31</v>
      </c>
      <c r="M290">
        <f t="shared" si="42"/>
        <v>0</v>
      </c>
      <c r="N290">
        <f t="shared" si="36"/>
        <v>-5.31</v>
      </c>
      <c r="O290" t="s">
        <v>181</v>
      </c>
      <c r="P290">
        <v>3.44034</v>
      </c>
      <c r="S290">
        <f t="shared" si="38"/>
        <v>0.69440999999999997</v>
      </c>
      <c r="T290">
        <f t="shared" si="43"/>
        <v>-2.74593</v>
      </c>
      <c r="U290">
        <f t="shared" si="40"/>
        <v>29</v>
      </c>
      <c r="V290">
        <f t="shared" si="41"/>
        <v>-9.4687241379310338E-2</v>
      </c>
      <c r="W290">
        <f t="shared" si="37"/>
        <v>-946.87241379310342</v>
      </c>
      <c r="AC290" s="7" t="s">
        <v>187</v>
      </c>
    </row>
    <row r="291" spans="1:29" x14ac:dyDescent="0.3">
      <c r="A291" t="s">
        <v>63</v>
      </c>
      <c r="B291" t="s">
        <v>54</v>
      </c>
      <c r="C291">
        <v>1</v>
      </c>
      <c r="D291">
        <v>2</v>
      </c>
      <c r="E291" t="s">
        <v>31</v>
      </c>
      <c r="F291">
        <v>0.44579999999999997</v>
      </c>
      <c r="G291" s="1">
        <v>45876</v>
      </c>
      <c r="H291">
        <v>2.7389199999999998</v>
      </c>
      <c r="I291" s="1">
        <v>45905</v>
      </c>
      <c r="J291">
        <f t="shared" si="35"/>
        <v>63.617251162500004</v>
      </c>
      <c r="K291">
        <v>5.31</v>
      </c>
      <c r="M291">
        <f t="shared" si="42"/>
        <v>0</v>
      </c>
      <c r="N291">
        <f t="shared" si="36"/>
        <v>-5.31</v>
      </c>
      <c r="O291" t="s">
        <v>181</v>
      </c>
      <c r="P291">
        <v>3.38361</v>
      </c>
      <c r="S291">
        <f t="shared" si="38"/>
        <v>0.64469000000000021</v>
      </c>
      <c r="T291">
        <f t="shared" si="43"/>
        <v>-2.7389199999999998</v>
      </c>
      <c r="U291">
        <f t="shared" si="40"/>
        <v>29</v>
      </c>
      <c r="V291">
        <f t="shared" si="41"/>
        <v>-9.4445517241379298E-2</v>
      </c>
      <c r="W291">
        <f t="shared" si="37"/>
        <v>-944.45517241379298</v>
      </c>
      <c r="AC291" s="7" t="s">
        <v>188</v>
      </c>
    </row>
    <row r="292" spans="1:29" x14ac:dyDescent="0.3">
      <c r="A292" t="s">
        <v>63</v>
      </c>
      <c r="B292" t="s">
        <v>54</v>
      </c>
      <c r="C292">
        <v>1</v>
      </c>
      <c r="D292">
        <v>6</v>
      </c>
      <c r="E292" t="s">
        <v>64</v>
      </c>
      <c r="F292">
        <v>0.45145000000000002</v>
      </c>
      <c r="G292" s="1">
        <v>45876</v>
      </c>
      <c r="H292">
        <v>2.7328800000000002</v>
      </c>
      <c r="I292" s="1">
        <v>45905</v>
      </c>
      <c r="J292">
        <f t="shared" si="35"/>
        <v>63.617251162500004</v>
      </c>
      <c r="K292">
        <v>5.31</v>
      </c>
      <c r="M292">
        <f t="shared" si="42"/>
        <v>0</v>
      </c>
      <c r="N292">
        <f t="shared" si="36"/>
        <v>-5.31</v>
      </c>
      <c r="O292" t="s">
        <v>181</v>
      </c>
      <c r="P292">
        <v>3.51484</v>
      </c>
      <c r="S292">
        <f t="shared" si="38"/>
        <v>0.78195999999999977</v>
      </c>
      <c r="T292">
        <f t="shared" si="43"/>
        <v>-2.7328800000000002</v>
      </c>
      <c r="U292">
        <f t="shared" si="40"/>
        <v>29</v>
      </c>
      <c r="V292">
        <f t="shared" si="41"/>
        <v>-9.4237241379310346E-2</v>
      </c>
      <c r="W292">
        <f t="shared" si="37"/>
        <v>-942.37241379310342</v>
      </c>
      <c r="AC292" s="7" t="s">
        <v>189</v>
      </c>
    </row>
    <row r="293" spans="1:29" x14ac:dyDescent="0.3">
      <c r="A293" t="s">
        <v>63</v>
      </c>
      <c r="B293" t="s">
        <v>54</v>
      </c>
      <c r="C293">
        <v>1</v>
      </c>
      <c r="D293">
        <v>6</v>
      </c>
      <c r="E293" t="s">
        <v>30</v>
      </c>
      <c r="F293">
        <v>0.44721</v>
      </c>
      <c r="G293" s="1">
        <v>45876</v>
      </c>
      <c r="H293">
        <v>2.6835599999999999</v>
      </c>
      <c r="I293" s="1">
        <v>45905</v>
      </c>
      <c r="J293">
        <f t="shared" si="35"/>
        <v>63.617251162500004</v>
      </c>
      <c r="K293">
        <v>5.31</v>
      </c>
      <c r="M293">
        <f t="shared" si="42"/>
        <v>0</v>
      </c>
      <c r="N293">
        <f t="shared" si="36"/>
        <v>-5.31</v>
      </c>
      <c r="O293" t="s">
        <v>181</v>
      </c>
      <c r="P293">
        <v>3.0265599999999999</v>
      </c>
      <c r="S293">
        <f t="shared" si="38"/>
        <v>0.34299999999999997</v>
      </c>
      <c r="T293">
        <f t="shared" si="43"/>
        <v>-2.6835599999999999</v>
      </c>
      <c r="U293">
        <f t="shared" si="40"/>
        <v>29</v>
      </c>
      <c r="V293">
        <f t="shared" si="41"/>
        <v>-9.2536551724137925E-2</v>
      </c>
      <c r="W293">
        <f t="shared" si="37"/>
        <v>-925.36551724137928</v>
      </c>
      <c r="AC293" s="7" t="s">
        <v>190</v>
      </c>
    </row>
    <row r="294" spans="1:29" x14ac:dyDescent="0.3">
      <c r="A294" t="s">
        <v>63</v>
      </c>
      <c r="B294" t="s">
        <v>54</v>
      </c>
      <c r="C294">
        <v>1</v>
      </c>
      <c r="D294">
        <v>6</v>
      </c>
      <c r="E294" t="s">
        <v>31</v>
      </c>
      <c r="F294">
        <v>0.44801999999999997</v>
      </c>
      <c r="G294" s="1">
        <v>45876</v>
      </c>
      <c r="H294">
        <v>2.6886199999999998</v>
      </c>
      <c r="I294" s="1">
        <v>45905</v>
      </c>
      <c r="J294">
        <f t="shared" si="35"/>
        <v>63.617251162500004</v>
      </c>
      <c r="K294">
        <v>5.31</v>
      </c>
      <c r="M294">
        <f t="shared" si="42"/>
        <v>0</v>
      </c>
      <c r="N294">
        <f t="shared" si="36"/>
        <v>-5.31</v>
      </c>
      <c r="O294" t="s">
        <v>181</v>
      </c>
      <c r="P294">
        <v>3.1379600000000001</v>
      </c>
      <c r="S294">
        <f t="shared" si="38"/>
        <v>0.44934000000000029</v>
      </c>
      <c r="T294">
        <f t="shared" si="43"/>
        <v>-2.6886199999999998</v>
      </c>
      <c r="U294">
        <f t="shared" si="40"/>
        <v>29</v>
      </c>
      <c r="V294">
        <f t="shared" si="41"/>
        <v>-9.2711034482758609E-2</v>
      </c>
      <c r="W294">
        <f t="shared" si="37"/>
        <v>-927.11034482758612</v>
      </c>
      <c r="AC294" s="7" t="s">
        <v>191</v>
      </c>
    </row>
    <row r="295" spans="1:29" x14ac:dyDescent="0.3">
      <c r="A295" t="s">
        <v>63</v>
      </c>
      <c r="B295" t="s">
        <v>54</v>
      </c>
      <c r="C295">
        <v>1</v>
      </c>
      <c r="D295">
        <v>12</v>
      </c>
      <c r="E295" t="s">
        <v>64</v>
      </c>
      <c r="F295">
        <v>0.45202999999999999</v>
      </c>
      <c r="G295" s="1">
        <v>45876</v>
      </c>
      <c r="H295">
        <v>2.6959499999999998</v>
      </c>
      <c r="I295" s="1">
        <v>45905</v>
      </c>
      <c r="J295">
        <f t="shared" si="35"/>
        <v>63.617251162500004</v>
      </c>
      <c r="K295">
        <v>5.31</v>
      </c>
      <c r="M295">
        <f t="shared" si="42"/>
        <v>0</v>
      </c>
      <c r="N295">
        <f t="shared" si="36"/>
        <v>-5.31</v>
      </c>
      <c r="O295" t="s">
        <v>181</v>
      </c>
      <c r="P295">
        <v>4.2626900000000001</v>
      </c>
      <c r="S295">
        <f t="shared" si="38"/>
        <v>1.5667400000000002</v>
      </c>
      <c r="T295">
        <f t="shared" si="43"/>
        <v>-2.6959499999999998</v>
      </c>
      <c r="U295">
        <f t="shared" si="40"/>
        <v>29</v>
      </c>
      <c r="V295">
        <f t="shared" si="41"/>
        <v>-9.2963793103448267E-2</v>
      </c>
      <c r="W295">
        <f t="shared" si="37"/>
        <v>-929.63793103448268</v>
      </c>
      <c r="AC295" s="7" t="s">
        <v>192</v>
      </c>
    </row>
    <row r="296" spans="1:29" x14ac:dyDescent="0.3">
      <c r="A296" t="s">
        <v>63</v>
      </c>
      <c r="B296" t="s">
        <v>54</v>
      </c>
      <c r="C296">
        <v>1</v>
      </c>
      <c r="D296">
        <v>12</v>
      </c>
      <c r="E296" t="s">
        <v>30</v>
      </c>
      <c r="F296">
        <v>0.44824000000000003</v>
      </c>
      <c r="G296" s="1">
        <v>45876</v>
      </c>
      <c r="H296">
        <v>2.6996699999999998</v>
      </c>
      <c r="I296" s="1">
        <v>45905</v>
      </c>
      <c r="J296">
        <f t="shared" si="35"/>
        <v>63.617251162500004</v>
      </c>
      <c r="K296">
        <v>5.31</v>
      </c>
      <c r="M296">
        <f t="shared" si="42"/>
        <v>0</v>
      </c>
      <c r="N296">
        <f t="shared" si="36"/>
        <v>-5.31</v>
      </c>
      <c r="O296" t="s">
        <v>181</v>
      </c>
      <c r="P296">
        <v>3.3406600000000002</v>
      </c>
      <c r="S296">
        <f t="shared" si="38"/>
        <v>0.64099000000000039</v>
      </c>
      <c r="T296">
        <f t="shared" si="43"/>
        <v>-2.6996699999999998</v>
      </c>
      <c r="U296">
        <f t="shared" si="40"/>
        <v>29</v>
      </c>
      <c r="V296">
        <f t="shared" si="41"/>
        <v>-9.3092068965517236E-2</v>
      </c>
      <c r="W296">
        <f t="shared" si="37"/>
        <v>-930.9206896551724</v>
      </c>
      <c r="AC296" s="7" t="s">
        <v>193</v>
      </c>
    </row>
    <row r="297" spans="1:29" x14ac:dyDescent="0.3">
      <c r="A297" t="s">
        <v>63</v>
      </c>
      <c r="B297" t="s">
        <v>54</v>
      </c>
      <c r="C297">
        <v>1</v>
      </c>
      <c r="D297">
        <v>12</v>
      </c>
      <c r="E297" t="s">
        <v>31</v>
      </c>
      <c r="F297">
        <v>0.45023000000000002</v>
      </c>
      <c r="G297" s="1">
        <v>45876</v>
      </c>
      <c r="H297">
        <v>2.7046399999999999</v>
      </c>
      <c r="I297" s="1">
        <v>45905</v>
      </c>
      <c r="J297">
        <f t="shared" si="35"/>
        <v>63.617251162500004</v>
      </c>
      <c r="K297">
        <v>5.31</v>
      </c>
      <c r="M297">
        <f t="shared" si="42"/>
        <v>0</v>
      </c>
      <c r="N297">
        <f t="shared" si="36"/>
        <v>-5.31</v>
      </c>
      <c r="O297" t="s">
        <v>181</v>
      </c>
      <c r="P297">
        <v>3.6779600000000001</v>
      </c>
      <c r="S297">
        <f t="shared" si="38"/>
        <v>0.97332000000000019</v>
      </c>
      <c r="T297">
        <f t="shared" si="43"/>
        <v>-2.7046399999999999</v>
      </c>
      <c r="U297">
        <f t="shared" si="40"/>
        <v>29</v>
      </c>
      <c r="V297">
        <f t="shared" si="41"/>
        <v>-9.3263448275862068E-2</v>
      </c>
      <c r="W297">
        <f t="shared" si="37"/>
        <v>-932.63448275862072</v>
      </c>
      <c r="AC297" s="7" t="s">
        <v>194</v>
      </c>
    </row>
    <row r="298" spans="1:29" x14ac:dyDescent="0.3">
      <c r="A298" t="s">
        <v>63</v>
      </c>
      <c r="B298" t="s">
        <v>54</v>
      </c>
      <c r="C298">
        <v>1</v>
      </c>
      <c r="D298">
        <v>24</v>
      </c>
      <c r="E298" t="s">
        <v>28</v>
      </c>
      <c r="F298">
        <v>0.44745000000000001</v>
      </c>
      <c r="G298" s="1">
        <v>45876</v>
      </c>
      <c r="H298">
        <v>2.7056300000000002</v>
      </c>
      <c r="I298" s="1">
        <v>45905</v>
      </c>
      <c r="J298">
        <f t="shared" si="35"/>
        <v>63.617251162500004</v>
      </c>
      <c r="K298">
        <v>5.31</v>
      </c>
      <c r="M298">
        <f t="shared" si="42"/>
        <v>0</v>
      </c>
      <c r="N298">
        <f t="shared" si="36"/>
        <v>-5.31</v>
      </c>
      <c r="O298" t="s">
        <v>181</v>
      </c>
      <c r="P298">
        <v>3.71726</v>
      </c>
      <c r="S298">
        <f t="shared" si="38"/>
        <v>1.0116299999999998</v>
      </c>
      <c r="T298">
        <f t="shared" si="43"/>
        <v>-2.7056300000000002</v>
      </c>
      <c r="U298">
        <f t="shared" si="40"/>
        <v>29</v>
      </c>
      <c r="V298">
        <f t="shared" si="41"/>
        <v>-9.3297586206896557E-2</v>
      </c>
      <c r="W298">
        <f t="shared" si="37"/>
        <v>-932.97586206896563</v>
      </c>
      <c r="AC298" s="7" t="s">
        <v>195</v>
      </c>
    </row>
    <row r="299" spans="1:29" x14ac:dyDescent="0.3">
      <c r="A299" t="s">
        <v>63</v>
      </c>
      <c r="B299" t="s">
        <v>54</v>
      </c>
      <c r="C299">
        <v>1</v>
      </c>
      <c r="D299">
        <v>24</v>
      </c>
      <c r="E299" t="s">
        <v>30</v>
      </c>
      <c r="F299">
        <v>0.44858999999999999</v>
      </c>
      <c r="G299" s="1">
        <v>45876</v>
      </c>
      <c r="H299">
        <v>2.68669</v>
      </c>
      <c r="I299" s="1">
        <v>45905</v>
      </c>
      <c r="J299">
        <f t="shared" si="35"/>
        <v>63.617251162500004</v>
      </c>
      <c r="K299">
        <v>5.31</v>
      </c>
      <c r="M299">
        <f t="shared" si="42"/>
        <v>0</v>
      </c>
      <c r="N299">
        <f t="shared" si="36"/>
        <v>-5.31</v>
      </c>
      <c r="O299" t="s">
        <v>181</v>
      </c>
      <c r="P299">
        <v>3.7914099999999999</v>
      </c>
      <c r="S299">
        <f t="shared" si="38"/>
        <v>1.1047199999999999</v>
      </c>
      <c r="T299">
        <f t="shared" si="43"/>
        <v>-2.68669</v>
      </c>
      <c r="U299">
        <f t="shared" si="40"/>
        <v>29</v>
      </c>
      <c r="V299">
        <f t="shared" si="41"/>
        <v>-9.2644482758620694E-2</v>
      </c>
      <c r="W299">
        <f t="shared" si="37"/>
        <v>-926.444827586207</v>
      </c>
      <c r="AC299" s="7" t="s">
        <v>196</v>
      </c>
    </row>
    <row r="300" spans="1:29" x14ac:dyDescent="0.3">
      <c r="A300" t="s">
        <v>63</v>
      </c>
      <c r="B300" t="s">
        <v>54</v>
      </c>
      <c r="C300">
        <v>1</v>
      </c>
      <c r="D300">
        <v>24</v>
      </c>
      <c r="E300" t="s">
        <v>31</v>
      </c>
      <c r="F300">
        <v>0.45339000000000002</v>
      </c>
      <c r="G300" s="1">
        <v>45876</v>
      </c>
      <c r="H300">
        <v>2.6914500000000001</v>
      </c>
      <c r="I300" s="1">
        <v>45905</v>
      </c>
      <c r="J300">
        <f t="shared" ref="J300:J363" si="44">4.5*4.5*3.14159265</f>
        <v>63.617251162500004</v>
      </c>
      <c r="K300">
        <v>5.31</v>
      </c>
      <c r="M300">
        <f t="shared" si="42"/>
        <v>0</v>
      </c>
      <c r="N300">
        <f t="shared" ref="N300:N363" si="45">L300*J300-K300</f>
        <v>-5.31</v>
      </c>
      <c r="O300" t="s">
        <v>181</v>
      </c>
      <c r="P300">
        <v>3.7765200000000001</v>
      </c>
      <c r="S300">
        <f t="shared" si="38"/>
        <v>1.08507</v>
      </c>
      <c r="T300">
        <f t="shared" si="43"/>
        <v>-2.6914500000000001</v>
      </c>
      <c r="U300">
        <f t="shared" si="40"/>
        <v>29</v>
      </c>
      <c r="V300">
        <f t="shared" si="41"/>
        <v>-9.2808620689655175E-2</v>
      </c>
      <c r="W300">
        <f t="shared" ref="W300:W363" si="46">V300*10000</f>
        <v>-928.08620689655174</v>
      </c>
      <c r="AC300" s="7" t="s">
        <v>197</v>
      </c>
    </row>
    <row r="301" spans="1:29" x14ac:dyDescent="0.3">
      <c r="A301" t="s">
        <v>63</v>
      </c>
      <c r="B301" t="s">
        <v>54</v>
      </c>
      <c r="C301">
        <v>1</v>
      </c>
      <c r="D301">
        <v>48</v>
      </c>
      <c r="E301" t="s">
        <v>64</v>
      </c>
      <c r="F301">
        <v>0.44924999999999998</v>
      </c>
      <c r="G301" s="1">
        <v>45876</v>
      </c>
      <c r="H301">
        <v>2.7003499999999998</v>
      </c>
      <c r="I301" s="1">
        <v>45905</v>
      </c>
      <c r="J301">
        <f t="shared" si="44"/>
        <v>63.617251162500004</v>
      </c>
      <c r="K301">
        <v>5.31</v>
      </c>
      <c r="M301">
        <f t="shared" si="42"/>
        <v>0</v>
      </c>
      <c r="N301">
        <f t="shared" si="45"/>
        <v>-5.31</v>
      </c>
      <c r="O301" t="s">
        <v>181</v>
      </c>
      <c r="P301">
        <v>3.3981699999999999</v>
      </c>
      <c r="S301">
        <f t="shared" si="38"/>
        <v>0.69782000000000011</v>
      </c>
      <c r="T301">
        <f t="shared" si="43"/>
        <v>-2.7003499999999998</v>
      </c>
      <c r="U301">
        <f t="shared" si="40"/>
        <v>29</v>
      </c>
      <c r="V301">
        <f t="shared" si="41"/>
        <v>-9.31155172413793E-2</v>
      </c>
      <c r="W301">
        <f t="shared" si="46"/>
        <v>-931.15517241379303</v>
      </c>
      <c r="AC301" s="7" t="s">
        <v>198</v>
      </c>
    </row>
    <row r="302" spans="1:29" x14ac:dyDescent="0.3">
      <c r="A302" t="s">
        <v>63</v>
      </c>
      <c r="B302" t="s">
        <v>54</v>
      </c>
      <c r="C302">
        <v>1</v>
      </c>
      <c r="D302">
        <v>48</v>
      </c>
      <c r="E302" t="s">
        <v>30</v>
      </c>
      <c r="F302">
        <v>0.4541</v>
      </c>
      <c r="G302" s="1">
        <v>45876</v>
      </c>
      <c r="H302">
        <v>2.6855500000000001</v>
      </c>
      <c r="I302" s="1">
        <v>45905</v>
      </c>
      <c r="J302">
        <f t="shared" si="44"/>
        <v>63.617251162500004</v>
      </c>
      <c r="K302">
        <v>5.31</v>
      </c>
      <c r="M302">
        <f t="shared" si="42"/>
        <v>0</v>
      </c>
      <c r="N302">
        <f t="shared" si="45"/>
        <v>-5.31</v>
      </c>
      <c r="O302" t="s">
        <v>181</v>
      </c>
      <c r="P302">
        <v>3.73082</v>
      </c>
      <c r="S302">
        <f t="shared" si="38"/>
        <v>1.0452699999999999</v>
      </c>
      <c r="T302">
        <f t="shared" si="43"/>
        <v>-2.6855500000000001</v>
      </c>
      <c r="U302">
        <f t="shared" si="40"/>
        <v>29</v>
      </c>
      <c r="V302">
        <f t="shared" si="41"/>
        <v>-9.260517241379311E-2</v>
      </c>
      <c r="W302">
        <f t="shared" si="46"/>
        <v>-926.05172413793116</v>
      </c>
      <c r="AC302" s="7" t="s">
        <v>199</v>
      </c>
    </row>
    <row r="303" spans="1:29" x14ac:dyDescent="0.3">
      <c r="A303" t="s">
        <v>63</v>
      </c>
      <c r="B303" t="s">
        <v>54</v>
      </c>
      <c r="C303">
        <v>1</v>
      </c>
      <c r="D303">
        <v>48</v>
      </c>
      <c r="E303" t="s">
        <v>31</v>
      </c>
      <c r="F303">
        <v>0.45011000000000001</v>
      </c>
      <c r="G303" s="1">
        <v>45876</v>
      </c>
      <c r="H303">
        <v>2.71584</v>
      </c>
      <c r="I303" s="1">
        <v>45905</v>
      </c>
      <c r="J303">
        <f t="shared" si="44"/>
        <v>63.617251162500004</v>
      </c>
      <c r="K303">
        <v>5.31</v>
      </c>
      <c r="M303">
        <f t="shared" si="42"/>
        <v>0</v>
      </c>
      <c r="N303">
        <f t="shared" si="45"/>
        <v>-5.31</v>
      </c>
      <c r="O303" t="s">
        <v>181</v>
      </c>
      <c r="P303">
        <v>3.39777</v>
      </c>
      <c r="S303">
        <f t="shared" si="38"/>
        <v>0.68192999999999993</v>
      </c>
      <c r="T303">
        <f t="shared" si="43"/>
        <v>-2.71584</v>
      </c>
      <c r="U303">
        <f t="shared" si="40"/>
        <v>29</v>
      </c>
      <c r="V303">
        <f t="shared" si="41"/>
        <v>-9.364965517241379E-2</v>
      </c>
      <c r="W303">
        <f t="shared" si="46"/>
        <v>-936.49655172413793</v>
      </c>
      <c r="AC303" s="7" t="s">
        <v>200</v>
      </c>
    </row>
    <row r="304" spans="1:29" x14ac:dyDescent="0.3">
      <c r="A304" t="s">
        <v>63</v>
      </c>
      <c r="B304" t="s">
        <v>54</v>
      </c>
      <c r="C304">
        <v>2</v>
      </c>
      <c r="D304">
        <v>0.5</v>
      </c>
      <c r="E304" t="s">
        <v>64</v>
      </c>
      <c r="F304">
        <v>0.45308999999999999</v>
      </c>
      <c r="G304" s="1">
        <v>45876</v>
      </c>
      <c r="H304">
        <v>2.7454100000000001</v>
      </c>
      <c r="I304" s="1">
        <v>45905</v>
      </c>
      <c r="J304">
        <f t="shared" si="44"/>
        <v>63.617251162500004</v>
      </c>
      <c r="K304">
        <v>5.31</v>
      </c>
      <c r="M304">
        <f t="shared" si="42"/>
        <v>0</v>
      </c>
      <c r="N304">
        <f t="shared" si="45"/>
        <v>-5.31</v>
      </c>
      <c r="O304" t="s">
        <v>182</v>
      </c>
      <c r="P304">
        <v>3.6289799999999999</v>
      </c>
      <c r="S304">
        <f t="shared" si="38"/>
        <v>0.88356999999999974</v>
      </c>
      <c r="T304">
        <f t="shared" si="43"/>
        <v>-2.7454100000000001</v>
      </c>
      <c r="U304">
        <f t="shared" si="40"/>
        <v>29</v>
      </c>
      <c r="V304">
        <f t="shared" si="41"/>
        <v>-9.466931034482759E-2</v>
      </c>
      <c r="W304">
        <f t="shared" si="46"/>
        <v>-946.69310344827591</v>
      </c>
      <c r="AC304" s="7" t="s">
        <v>201</v>
      </c>
    </row>
    <row r="305" spans="1:29" x14ac:dyDescent="0.3">
      <c r="A305" t="s">
        <v>63</v>
      </c>
      <c r="B305" t="s">
        <v>54</v>
      </c>
      <c r="C305">
        <v>2</v>
      </c>
      <c r="D305">
        <v>0.5</v>
      </c>
      <c r="E305" t="s">
        <v>30</v>
      </c>
      <c r="F305">
        <v>0.44692999999999999</v>
      </c>
      <c r="G305" s="1">
        <v>45876</v>
      </c>
      <c r="H305">
        <v>2.7355999999999998</v>
      </c>
      <c r="I305" s="1">
        <v>45905</v>
      </c>
      <c r="J305">
        <f t="shared" si="44"/>
        <v>63.617251162500004</v>
      </c>
      <c r="K305">
        <v>5.31</v>
      </c>
      <c r="M305">
        <f t="shared" si="42"/>
        <v>0</v>
      </c>
      <c r="N305">
        <f t="shared" si="45"/>
        <v>-5.31</v>
      </c>
      <c r="P305">
        <v>3.4033099999999998</v>
      </c>
      <c r="S305">
        <f t="shared" si="38"/>
        <v>0.66771000000000003</v>
      </c>
      <c r="T305">
        <f t="shared" si="43"/>
        <v>-2.7355999999999998</v>
      </c>
      <c r="U305">
        <f t="shared" si="40"/>
        <v>29</v>
      </c>
      <c r="V305">
        <f t="shared" si="41"/>
        <v>-9.4331034482758619E-2</v>
      </c>
      <c r="W305">
        <f t="shared" si="46"/>
        <v>-943.31034482758616</v>
      </c>
      <c r="AC305" s="7" t="s">
        <v>202</v>
      </c>
    </row>
    <row r="306" spans="1:29" x14ac:dyDescent="0.3">
      <c r="A306" t="s">
        <v>63</v>
      </c>
      <c r="B306" t="s">
        <v>54</v>
      </c>
      <c r="C306">
        <v>2</v>
      </c>
      <c r="D306">
        <v>0.5</v>
      </c>
      <c r="E306" t="s">
        <v>31</v>
      </c>
      <c r="F306">
        <v>0.45362999999999998</v>
      </c>
      <c r="G306" s="1">
        <v>45876</v>
      </c>
      <c r="H306">
        <v>2.7290000000000001</v>
      </c>
      <c r="I306" s="1">
        <v>45905</v>
      </c>
      <c r="J306">
        <f t="shared" si="44"/>
        <v>63.617251162500004</v>
      </c>
      <c r="K306">
        <v>5.31</v>
      </c>
      <c r="M306">
        <f t="shared" si="42"/>
        <v>0</v>
      </c>
      <c r="N306">
        <f t="shared" si="45"/>
        <v>-5.31</v>
      </c>
      <c r="P306">
        <v>3.1331199999999999</v>
      </c>
      <c r="S306">
        <f t="shared" si="38"/>
        <v>0.40411999999999981</v>
      </c>
      <c r="T306">
        <f t="shared" si="43"/>
        <v>-2.7290000000000001</v>
      </c>
      <c r="U306">
        <f t="shared" si="40"/>
        <v>29</v>
      </c>
      <c r="V306">
        <f t="shared" si="41"/>
        <v>-9.4103448275862076E-2</v>
      </c>
      <c r="W306">
        <f t="shared" si="46"/>
        <v>-941.03448275862081</v>
      </c>
      <c r="AC306" s="7" t="s">
        <v>203</v>
      </c>
    </row>
    <row r="307" spans="1:29" x14ac:dyDescent="0.3">
      <c r="A307" t="s">
        <v>63</v>
      </c>
      <c r="B307" t="s">
        <v>54</v>
      </c>
      <c r="C307">
        <v>2</v>
      </c>
      <c r="D307">
        <v>2</v>
      </c>
      <c r="E307" t="s">
        <v>64</v>
      </c>
      <c r="F307">
        <v>0.44627</v>
      </c>
      <c r="G307" s="1">
        <v>45876</v>
      </c>
      <c r="H307">
        <v>2.7301700000000002</v>
      </c>
      <c r="I307" s="1">
        <v>45905</v>
      </c>
      <c r="J307">
        <f t="shared" si="44"/>
        <v>63.617251162500004</v>
      </c>
      <c r="K307">
        <v>5.31</v>
      </c>
      <c r="M307">
        <f t="shared" si="42"/>
        <v>0</v>
      </c>
      <c r="N307">
        <f t="shared" si="45"/>
        <v>-5.31</v>
      </c>
      <c r="P307">
        <v>3.3258000000000001</v>
      </c>
      <c r="S307">
        <f t="shared" si="38"/>
        <v>0.59562999999999988</v>
      </c>
      <c r="T307">
        <f t="shared" si="43"/>
        <v>-2.7301700000000002</v>
      </c>
      <c r="U307">
        <f t="shared" si="40"/>
        <v>29</v>
      </c>
      <c r="V307">
        <f t="shared" si="41"/>
        <v>-9.4143793103448281E-2</v>
      </c>
      <c r="W307">
        <f t="shared" si="46"/>
        <v>-941.43793103448286</v>
      </c>
      <c r="AC307" s="7" t="s">
        <v>204</v>
      </c>
    </row>
    <row r="308" spans="1:29" x14ac:dyDescent="0.3">
      <c r="A308" t="s">
        <v>63</v>
      </c>
      <c r="B308" t="s">
        <v>54</v>
      </c>
      <c r="C308">
        <v>2</v>
      </c>
      <c r="D308">
        <v>2</v>
      </c>
      <c r="E308" t="s">
        <v>30</v>
      </c>
      <c r="F308">
        <v>0.42764000000000002</v>
      </c>
      <c r="G308" s="1">
        <v>45876</v>
      </c>
      <c r="H308">
        <v>2.75752</v>
      </c>
      <c r="I308" s="1">
        <v>45905</v>
      </c>
      <c r="J308">
        <f t="shared" si="44"/>
        <v>63.617251162500004</v>
      </c>
      <c r="K308">
        <v>5.31</v>
      </c>
      <c r="M308">
        <f t="shared" si="42"/>
        <v>0</v>
      </c>
      <c r="N308">
        <f t="shared" si="45"/>
        <v>-5.31</v>
      </c>
      <c r="P308">
        <v>3.2896999999999998</v>
      </c>
      <c r="S308">
        <f t="shared" si="38"/>
        <v>0.53217999999999988</v>
      </c>
      <c r="T308">
        <f t="shared" si="43"/>
        <v>-2.75752</v>
      </c>
      <c r="U308">
        <f t="shared" si="40"/>
        <v>29</v>
      </c>
      <c r="V308">
        <f t="shared" si="41"/>
        <v>-9.5086896551724143E-2</v>
      </c>
      <c r="W308">
        <f t="shared" si="46"/>
        <v>-950.86896551724146</v>
      </c>
      <c r="AC308" s="7" t="s">
        <v>205</v>
      </c>
    </row>
    <row r="309" spans="1:29" x14ac:dyDescent="0.3">
      <c r="A309" t="s">
        <v>63</v>
      </c>
      <c r="B309" t="s">
        <v>54</v>
      </c>
      <c r="C309">
        <v>2</v>
      </c>
      <c r="D309">
        <v>2</v>
      </c>
      <c r="E309" t="s">
        <v>31</v>
      </c>
      <c r="F309">
        <v>0.43385000000000001</v>
      </c>
      <c r="G309" s="1">
        <v>45876</v>
      </c>
      <c r="H309">
        <v>2.74254</v>
      </c>
      <c r="I309" s="1">
        <v>45905</v>
      </c>
      <c r="J309">
        <f t="shared" si="44"/>
        <v>63.617251162500004</v>
      </c>
      <c r="K309">
        <v>5.31</v>
      </c>
      <c r="M309">
        <f t="shared" si="42"/>
        <v>0</v>
      </c>
      <c r="N309">
        <f t="shared" si="45"/>
        <v>-5.31</v>
      </c>
      <c r="P309">
        <v>3.41045</v>
      </c>
      <c r="S309">
        <f t="shared" si="38"/>
        <v>0.66791</v>
      </c>
      <c r="T309">
        <f t="shared" si="43"/>
        <v>-2.74254</v>
      </c>
      <c r="U309">
        <f t="shared" si="40"/>
        <v>29</v>
      </c>
      <c r="V309">
        <f t="shared" si="41"/>
        <v>-9.4570344827586209E-2</v>
      </c>
      <c r="W309">
        <f t="shared" si="46"/>
        <v>-945.70344827586212</v>
      </c>
      <c r="AC309" s="7" t="s">
        <v>206</v>
      </c>
    </row>
    <row r="310" spans="1:29" x14ac:dyDescent="0.3">
      <c r="A310" t="s">
        <v>63</v>
      </c>
      <c r="B310" t="s">
        <v>54</v>
      </c>
      <c r="C310">
        <v>2</v>
      </c>
      <c r="D310">
        <v>6</v>
      </c>
      <c r="E310" t="s">
        <v>64</v>
      </c>
      <c r="F310">
        <v>0.43415999999999999</v>
      </c>
      <c r="G310" s="1">
        <v>45876</v>
      </c>
      <c r="H310">
        <v>2.7252100000000001</v>
      </c>
      <c r="I310" s="1">
        <v>45905</v>
      </c>
      <c r="J310">
        <f t="shared" si="44"/>
        <v>63.617251162500004</v>
      </c>
      <c r="K310">
        <v>5.31</v>
      </c>
      <c r="M310">
        <f t="shared" si="42"/>
        <v>0</v>
      </c>
      <c r="N310">
        <f t="shared" si="45"/>
        <v>-5.31</v>
      </c>
      <c r="O310" t="s">
        <v>32</v>
      </c>
      <c r="P310">
        <v>3.4297300000000002</v>
      </c>
      <c r="S310">
        <f t="shared" si="38"/>
        <v>0.70452000000000004</v>
      </c>
      <c r="T310">
        <f t="shared" si="43"/>
        <v>-2.7252100000000001</v>
      </c>
      <c r="U310">
        <f t="shared" si="40"/>
        <v>29</v>
      </c>
      <c r="V310">
        <f t="shared" si="41"/>
        <v>-9.3972758620689656E-2</v>
      </c>
      <c r="W310">
        <f t="shared" si="46"/>
        <v>-939.7275862068966</v>
      </c>
      <c r="AC310" s="7" t="s">
        <v>207</v>
      </c>
    </row>
    <row r="311" spans="1:29" x14ac:dyDescent="0.3">
      <c r="A311" t="s">
        <v>63</v>
      </c>
      <c r="B311" t="s">
        <v>54</v>
      </c>
      <c r="C311">
        <v>2</v>
      </c>
      <c r="D311">
        <v>6</v>
      </c>
      <c r="E311" t="s">
        <v>30</v>
      </c>
      <c r="F311">
        <v>0.43099999999999999</v>
      </c>
      <c r="G311" s="1">
        <v>45876</v>
      </c>
      <c r="H311">
        <v>2.7136300000000002</v>
      </c>
      <c r="I311" s="1">
        <v>45905</v>
      </c>
      <c r="J311">
        <f t="shared" si="44"/>
        <v>63.617251162500004</v>
      </c>
      <c r="K311">
        <v>5.31</v>
      </c>
      <c r="M311">
        <f t="shared" si="42"/>
        <v>0</v>
      </c>
      <c r="N311">
        <f t="shared" si="45"/>
        <v>-5.31</v>
      </c>
      <c r="P311">
        <v>3.3440799999999999</v>
      </c>
      <c r="S311">
        <f t="shared" si="38"/>
        <v>0.63044999999999973</v>
      </c>
      <c r="T311">
        <f t="shared" si="43"/>
        <v>-2.7136300000000002</v>
      </c>
      <c r="U311">
        <f t="shared" si="40"/>
        <v>29</v>
      </c>
      <c r="V311">
        <f t="shared" si="41"/>
        <v>-9.3573448275862073E-2</v>
      </c>
      <c r="W311">
        <f t="shared" si="46"/>
        <v>-935.73448275862074</v>
      </c>
      <c r="AC311" s="7" t="s">
        <v>208</v>
      </c>
    </row>
    <row r="312" spans="1:29" x14ac:dyDescent="0.3">
      <c r="A312" t="s">
        <v>63</v>
      </c>
      <c r="B312" t="s">
        <v>54</v>
      </c>
      <c r="C312">
        <v>2</v>
      </c>
      <c r="D312">
        <v>6</v>
      </c>
      <c r="E312" t="s">
        <v>31</v>
      </c>
      <c r="F312">
        <v>0.42952000000000001</v>
      </c>
      <c r="G312" s="1">
        <v>45876</v>
      </c>
      <c r="H312">
        <v>2.7467199999999998</v>
      </c>
      <c r="I312" s="1">
        <v>45905</v>
      </c>
      <c r="J312">
        <f t="shared" si="44"/>
        <v>63.617251162500004</v>
      </c>
      <c r="K312">
        <v>5.31</v>
      </c>
      <c r="M312">
        <f t="shared" si="42"/>
        <v>0</v>
      </c>
      <c r="N312">
        <f t="shared" si="45"/>
        <v>-5.31</v>
      </c>
      <c r="P312">
        <v>3.4477199999999999</v>
      </c>
      <c r="S312">
        <f t="shared" si="38"/>
        <v>0.70100000000000007</v>
      </c>
      <c r="T312">
        <f t="shared" si="43"/>
        <v>-2.7467199999999998</v>
      </c>
      <c r="U312">
        <f t="shared" si="40"/>
        <v>29</v>
      </c>
      <c r="V312">
        <f t="shared" si="41"/>
        <v>-9.4714482758620683E-2</v>
      </c>
      <c r="W312">
        <f t="shared" si="46"/>
        <v>-947.14482758620682</v>
      </c>
      <c r="AC312" s="7" t="s">
        <v>209</v>
      </c>
    </row>
    <row r="313" spans="1:29" x14ac:dyDescent="0.3">
      <c r="A313" t="s">
        <v>63</v>
      </c>
      <c r="B313" t="s">
        <v>54</v>
      </c>
      <c r="C313">
        <v>2</v>
      </c>
      <c r="D313">
        <v>12</v>
      </c>
      <c r="E313" t="s">
        <v>64</v>
      </c>
      <c r="F313">
        <v>0.43353000000000003</v>
      </c>
      <c r="G313" s="1">
        <v>45876</v>
      </c>
      <c r="H313">
        <v>2.7444700000000002</v>
      </c>
      <c r="I313" s="1">
        <v>45905</v>
      </c>
      <c r="J313">
        <f t="shared" si="44"/>
        <v>63.617251162500004</v>
      </c>
      <c r="K313">
        <v>5.31</v>
      </c>
      <c r="M313">
        <f t="shared" si="42"/>
        <v>0</v>
      </c>
      <c r="N313">
        <f t="shared" si="45"/>
        <v>-5.31</v>
      </c>
      <c r="P313">
        <v>3.4278200000000001</v>
      </c>
      <c r="S313">
        <f t="shared" si="38"/>
        <v>0.6833499999999999</v>
      </c>
      <c r="T313">
        <f t="shared" si="43"/>
        <v>-2.7444700000000002</v>
      </c>
      <c r="U313">
        <f t="shared" si="40"/>
        <v>29</v>
      </c>
      <c r="V313">
        <f t="shared" si="41"/>
        <v>-9.4636896551724151E-2</v>
      </c>
      <c r="W313">
        <f t="shared" si="46"/>
        <v>-946.36896551724146</v>
      </c>
      <c r="AC313" s="7" t="s">
        <v>210</v>
      </c>
    </row>
    <row r="314" spans="1:29" x14ac:dyDescent="0.3">
      <c r="A314" t="s">
        <v>63</v>
      </c>
      <c r="B314" t="s">
        <v>54</v>
      </c>
      <c r="C314">
        <v>2</v>
      </c>
      <c r="D314">
        <v>12</v>
      </c>
      <c r="E314" t="s">
        <v>30</v>
      </c>
      <c r="F314">
        <v>0.43386999999999998</v>
      </c>
      <c r="G314" s="1">
        <v>45876</v>
      </c>
      <c r="H314">
        <v>2.7488199999999998</v>
      </c>
      <c r="I314" s="1">
        <v>45905</v>
      </c>
      <c r="J314">
        <f t="shared" si="44"/>
        <v>63.617251162500004</v>
      </c>
      <c r="K314">
        <v>5.31</v>
      </c>
      <c r="M314">
        <f t="shared" si="42"/>
        <v>0</v>
      </c>
      <c r="N314">
        <f t="shared" si="45"/>
        <v>-5.31</v>
      </c>
      <c r="P314">
        <v>3.4350000000000001</v>
      </c>
      <c r="S314">
        <f t="shared" si="38"/>
        <v>0.68618000000000023</v>
      </c>
      <c r="T314">
        <f t="shared" si="43"/>
        <v>-2.7488199999999998</v>
      </c>
      <c r="U314">
        <f t="shared" si="40"/>
        <v>29</v>
      </c>
      <c r="V314">
        <f t="shared" si="41"/>
        <v>-9.4786896551724134E-2</v>
      </c>
      <c r="W314">
        <f t="shared" si="46"/>
        <v>-947.86896551724135</v>
      </c>
      <c r="AC314" s="7" t="s">
        <v>211</v>
      </c>
    </row>
    <row r="315" spans="1:29" x14ac:dyDescent="0.3">
      <c r="A315" t="s">
        <v>63</v>
      </c>
      <c r="B315" t="s">
        <v>54</v>
      </c>
      <c r="C315">
        <v>2</v>
      </c>
      <c r="D315">
        <v>12</v>
      </c>
      <c r="E315" t="s">
        <v>31</v>
      </c>
      <c r="F315">
        <v>0.43481999999999998</v>
      </c>
      <c r="G315" s="1">
        <v>45876</v>
      </c>
      <c r="H315">
        <v>2.7416399999999999</v>
      </c>
      <c r="I315" s="1">
        <v>45905</v>
      </c>
      <c r="J315">
        <f t="shared" si="44"/>
        <v>63.617251162500004</v>
      </c>
      <c r="K315">
        <v>5.31</v>
      </c>
      <c r="M315">
        <f t="shared" si="42"/>
        <v>0</v>
      </c>
      <c r="N315">
        <f t="shared" si="45"/>
        <v>-5.31</v>
      </c>
      <c r="P315">
        <v>3.43797</v>
      </c>
      <c r="S315">
        <f t="shared" si="38"/>
        <v>0.69633000000000012</v>
      </c>
      <c r="T315">
        <f t="shared" si="43"/>
        <v>-2.7416399999999999</v>
      </c>
      <c r="U315">
        <f t="shared" si="40"/>
        <v>29</v>
      </c>
      <c r="V315">
        <f t="shared" si="41"/>
        <v>-9.4539310344827585E-2</v>
      </c>
      <c r="W315">
        <f t="shared" si="46"/>
        <v>-945.39310344827584</v>
      </c>
      <c r="AC315" s="7" t="s">
        <v>212</v>
      </c>
    </row>
    <row r="316" spans="1:29" x14ac:dyDescent="0.3">
      <c r="A316" t="s">
        <v>63</v>
      </c>
      <c r="B316" t="s">
        <v>54</v>
      </c>
      <c r="C316">
        <v>2</v>
      </c>
      <c r="D316">
        <v>24</v>
      </c>
      <c r="E316" t="s">
        <v>28</v>
      </c>
      <c r="F316">
        <v>0.43547999999999998</v>
      </c>
      <c r="G316" s="1">
        <v>45876</v>
      </c>
      <c r="H316">
        <v>2.74715</v>
      </c>
      <c r="I316" s="1">
        <v>45905</v>
      </c>
      <c r="J316">
        <f t="shared" si="44"/>
        <v>63.617251162500004</v>
      </c>
      <c r="K316">
        <v>5.31</v>
      </c>
      <c r="M316">
        <f t="shared" si="42"/>
        <v>0</v>
      </c>
      <c r="N316">
        <f t="shared" si="45"/>
        <v>-5.31</v>
      </c>
      <c r="P316">
        <v>4.0581500000000004</v>
      </c>
      <c r="S316">
        <f t="shared" si="38"/>
        <v>1.3110000000000004</v>
      </c>
      <c r="T316">
        <f t="shared" si="43"/>
        <v>-2.74715</v>
      </c>
      <c r="U316">
        <f t="shared" si="40"/>
        <v>29</v>
      </c>
      <c r="V316">
        <f t="shared" si="41"/>
        <v>-9.472931034482758E-2</v>
      </c>
      <c r="W316">
        <f t="shared" si="46"/>
        <v>-947.29310344827582</v>
      </c>
      <c r="AC316" s="7" t="s">
        <v>213</v>
      </c>
    </row>
    <row r="317" spans="1:29" x14ac:dyDescent="0.3">
      <c r="A317" t="s">
        <v>63</v>
      </c>
      <c r="B317" t="s">
        <v>54</v>
      </c>
      <c r="C317">
        <v>2</v>
      </c>
      <c r="D317">
        <v>24</v>
      </c>
      <c r="E317" t="s">
        <v>30</v>
      </c>
      <c r="F317">
        <v>0.45790999999999998</v>
      </c>
      <c r="G317" s="1">
        <v>45876</v>
      </c>
      <c r="H317">
        <v>2.7107600000000001</v>
      </c>
      <c r="I317" s="1">
        <v>45905</v>
      </c>
      <c r="J317">
        <f t="shared" si="44"/>
        <v>63.617251162500004</v>
      </c>
      <c r="K317">
        <v>5.31</v>
      </c>
      <c r="M317">
        <f t="shared" si="42"/>
        <v>0</v>
      </c>
      <c r="N317">
        <f t="shared" si="45"/>
        <v>-5.31</v>
      </c>
      <c r="P317">
        <v>4.2028299999999996</v>
      </c>
      <c r="S317">
        <f t="shared" ref="S317:S380" si="47">P317-M317-H317</f>
        <v>1.4920699999999996</v>
      </c>
      <c r="T317">
        <f t="shared" si="43"/>
        <v>-2.7107600000000001</v>
      </c>
      <c r="U317">
        <f t="shared" si="40"/>
        <v>29</v>
      </c>
      <c r="V317">
        <f t="shared" si="41"/>
        <v>-9.3474482758620692E-2</v>
      </c>
      <c r="W317">
        <f t="shared" si="46"/>
        <v>-934.74482758620695</v>
      </c>
      <c r="AC317" s="7" t="s">
        <v>214</v>
      </c>
    </row>
    <row r="318" spans="1:29" x14ac:dyDescent="0.3">
      <c r="A318" t="s">
        <v>63</v>
      </c>
      <c r="B318" t="s">
        <v>54</v>
      </c>
      <c r="C318">
        <v>2</v>
      </c>
      <c r="D318">
        <v>24</v>
      </c>
      <c r="E318" t="s">
        <v>31</v>
      </c>
      <c r="F318">
        <v>0.43440000000000001</v>
      </c>
      <c r="G318" s="1">
        <v>45876</v>
      </c>
      <c r="H318">
        <v>2.72438</v>
      </c>
      <c r="I318" s="1">
        <v>45905</v>
      </c>
      <c r="J318">
        <f t="shared" si="44"/>
        <v>63.617251162500004</v>
      </c>
      <c r="K318">
        <v>5.31</v>
      </c>
      <c r="M318">
        <f t="shared" si="42"/>
        <v>0</v>
      </c>
      <c r="N318">
        <f t="shared" si="45"/>
        <v>-5.31</v>
      </c>
      <c r="P318">
        <v>4.0413899999999998</v>
      </c>
      <c r="S318">
        <f t="shared" si="47"/>
        <v>1.3170099999999998</v>
      </c>
      <c r="T318">
        <f t="shared" si="43"/>
        <v>-2.72438</v>
      </c>
      <c r="U318">
        <f t="shared" ref="U318:U381" si="48">I318-G318</f>
        <v>29</v>
      </c>
      <c r="V318">
        <f t="shared" si="41"/>
        <v>-9.3944137931034483E-2</v>
      </c>
      <c r="W318">
        <f t="shared" si="46"/>
        <v>-939.44137931034481</v>
      </c>
      <c r="AC318" s="7" t="s">
        <v>215</v>
      </c>
    </row>
    <row r="319" spans="1:29" x14ac:dyDescent="0.3">
      <c r="A319" t="s">
        <v>63</v>
      </c>
      <c r="B319" t="s">
        <v>54</v>
      </c>
      <c r="C319">
        <v>2</v>
      </c>
      <c r="D319">
        <v>48</v>
      </c>
      <c r="E319" t="s">
        <v>64</v>
      </c>
      <c r="F319">
        <v>0.45832000000000001</v>
      </c>
      <c r="G319" s="1">
        <v>45876</v>
      </c>
      <c r="H319">
        <v>2.7260900000000001</v>
      </c>
      <c r="I319" s="1">
        <v>45905</v>
      </c>
      <c r="J319">
        <f t="shared" si="44"/>
        <v>63.617251162500004</v>
      </c>
      <c r="K319">
        <v>5.31</v>
      </c>
      <c r="M319">
        <f t="shared" si="42"/>
        <v>0</v>
      </c>
      <c r="N319">
        <f t="shared" si="45"/>
        <v>-5.31</v>
      </c>
      <c r="P319">
        <v>3.6712699999999998</v>
      </c>
      <c r="S319">
        <f t="shared" si="47"/>
        <v>0.94517999999999969</v>
      </c>
      <c r="T319">
        <f t="shared" ref="T319:T350" si="49">Q319-M319-H319</f>
        <v>-2.7260900000000001</v>
      </c>
      <c r="U319">
        <f t="shared" si="48"/>
        <v>29</v>
      </c>
      <c r="V319">
        <f t="shared" ref="V319:V382" si="50">T319/U319</f>
        <v>-9.4003103448275865E-2</v>
      </c>
      <c r="W319">
        <f t="shared" si="46"/>
        <v>-940.03103448275863</v>
      </c>
      <c r="AC319" s="7" t="s">
        <v>216</v>
      </c>
    </row>
    <row r="320" spans="1:29" x14ac:dyDescent="0.3">
      <c r="A320" t="s">
        <v>63</v>
      </c>
      <c r="B320" t="s">
        <v>54</v>
      </c>
      <c r="C320">
        <v>2</v>
      </c>
      <c r="D320">
        <v>48</v>
      </c>
      <c r="E320" t="s">
        <v>30</v>
      </c>
      <c r="F320">
        <v>0.43765999999999999</v>
      </c>
      <c r="G320" s="1">
        <v>45876</v>
      </c>
      <c r="H320">
        <v>2.7351299999999998</v>
      </c>
      <c r="I320" s="1">
        <v>45905</v>
      </c>
      <c r="J320">
        <f t="shared" si="44"/>
        <v>63.617251162500004</v>
      </c>
      <c r="K320">
        <v>5.31</v>
      </c>
      <c r="M320">
        <f t="shared" si="42"/>
        <v>0</v>
      </c>
      <c r="N320">
        <f t="shared" si="45"/>
        <v>-5.31</v>
      </c>
      <c r="P320">
        <v>4.4345800000000004</v>
      </c>
      <c r="S320">
        <f t="shared" si="47"/>
        <v>1.6994500000000006</v>
      </c>
      <c r="T320">
        <f t="shared" si="49"/>
        <v>-2.7351299999999998</v>
      </c>
      <c r="U320">
        <f t="shared" si="48"/>
        <v>29</v>
      </c>
      <c r="V320">
        <f t="shared" si="50"/>
        <v>-9.4314827586206892E-2</v>
      </c>
      <c r="W320">
        <f t="shared" si="46"/>
        <v>-943.14827586206889</v>
      </c>
      <c r="AC320" s="7" t="s">
        <v>217</v>
      </c>
    </row>
    <row r="321" spans="1:29" x14ac:dyDescent="0.3">
      <c r="A321" t="s">
        <v>63</v>
      </c>
      <c r="B321" t="s">
        <v>54</v>
      </c>
      <c r="C321">
        <v>2</v>
      </c>
      <c r="D321">
        <v>48</v>
      </c>
      <c r="E321" t="s">
        <v>31</v>
      </c>
      <c r="F321">
        <v>0.43614999999999998</v>
      </c>
      <c r="G321" s="1">
        <v>45876</v>
      </c>
      <c r="H321">
        <v>2.6892499999999999</v>
      </c>
      <c r="I321" s="1">
        <v>45905</v>
      </c>
      <c r="J321">
        <f t="shared" si="44"/>
        <v>63.617251162500004</v>
      </c>
      <c r="K321">
        <v>5.31</v>
      </c>
      <c r="M321">
        <f t="shared" si="42"/>
        <v>0</v>
      </c>
      <c r="N321">
        <f t="shared" si="45"/>
        <v>-5.31</v>
      </c>
      <c r="P321">
        <v>3.8301500000000002</v>
      </c>
      <c r="S321">
        <f t="shared" si="47"/>
        <v>1.1409000000000002</v>
      </c>
      <c r="T321">
        <f t="shared" si="49"/>
        <v>-2.6892499999999999</v>
      </c>
      <c r="U321">
        <f t="shared" si="48"/>
        <v>29</v>
      </c>
      <c r="V321">
        <f t="shared" si="50"/>
        <v>-9.2732758620689651E-2</v>
      </c>
      <c r="W321">
        <f t="shared" si="46"/>
        <v>-927.32758620689651</v>
      </c>
      <c r="AC321" s="7" t="s">
        <v>218</v>
      </c>
    </row>
    <row r="322" spans="1:29" x14ac:dyDescent="0.3">
      <c r="A322" t="s">
        <v>63</v>
      </c>
      <c r="B322" t="s">
        <v>54</v>
      </c>
      <c r="E322" t="s">
        <v>67</v>
      </c>
      <c r="F322">
        <v>0.45841999999999999</v>
      </c>
      <c r="G322" t="s">
        <v>56</v>
      </c>
      <c r="H322">
        <v>2.71841</v>
      </c>
      <c r="I322" t="s">
        <v>56</v>
      </c>
      <c r="J322">
        <f t="shared" si="44"/>
        <v>63.617251162500004</v>
      </c>
      <c r="K322">
        <v>5.31</v>
      </c>
      <c r="M322">
        <f t="shared" si="42"/>
        <v>0</v>
      </c>
      <c r="N322">
        <f t="shared" si="45"/>
        <v>-5.31</v>
      </c>
      <c r="P322" t="s">
        <v>56</v>
      </c>
      <c r="S322" t="e">
        <f t="shared" si="47"/>
        <v>#VALUE!</v>
      </c>
      <c r="T322">
        <f t="shared" si="49"/>
        <v>-2.71841</v>
      </c>
      <c r="U322" t="e">
        <f t="shared" si="48"/>
        <v>#VALUE!</v>
      </c>
      <c r="V322" t="e">
        <f t="shared" si="50"/>
        <v>#VALUE!</v>
      </c>
      <c r="W322" t="e">
        <f t="shared" si="46"/>
        <v>#VALUE!</v>
      </c>
    </row>
    <row r="323" spans="1:29" x14ac:dyDescent="0.3">
      <c r="A323" t="s">
        <v>63</v>
      </c>
      <c r="B323" t="s">
        <v>54</v>
      </c>
      <c r="E323" t="s">
        <v>68</v>
      </c>
      <c r="F323">
        <v>0.45824999999999999</v>
      </c>
      <c r="G323" t="s">
        <v>56</v>
      </c>
      <c r="H323">
        <v>2.6989899999999998</v>
      </c>
      <c r="I323" t="s">
        <v>56</v>
      </c>
      <c r="J323">
        <f t="shared" si="44"/>
        <v>63.617251162500004</v>
      </c>
      <c r="K323">
        <v>5.31</v>
      </c>
      <c r="M323">
        <f t="shared" si="42"/>
        <v>0</v>
      </c>
      <c r="N323">
        <f t="shared" si="45"/>
        <v>-5.31</v>
      </c>
      <c r="P323" t="s">
        <v>56</v>
      </c>
      <c r="S323" t="e">
        <f t="shared" si="47"/>
        <v>#VALUE!</v>
      </c>
      <c r="T323">
        <f t="shared" si="49"/>
        <v>-2.6989899999999998</v>
      </c>
      <c r="U323" t="e">
        <f t="shared" si="48"/>
        <v>#VALUE!</v>
      </c>
      <c r="V323" t="e">
        <f t="shared" si="50"/>
        <v>#VALUE!</v>
      </c>
      <c r="W323" t="e">
        <f t="shared" si="46"/>
        <v>#VALUE!</v>
      </c>
    </row>
    <row r="324" spans="1:29" x14ac:dyDescent="0.3">
      <c r="A324" t="s">
        <v>63</v>
      </c>
      <c r="B324" t="s">
        <v>54</v>
      </c>
      <c r="E324" t="s">
        <v>69</v>
      </c>
      <c r="F324">
        <v>0.43564999999999998</v>
      </c>
      <c r="G324" t="s">
        <v>56</v>
      </c>
      <c r="H324">
        <v>2.7180599999999999</v>
      </c>
      <c r="I324" t="s">
        <v>56</v>
      </c>
      <c r="J324">
        <f t="shared" si="44"/>
        <v>63.617251162500004</v>
      </c>
      <c r="K324">
        <v>5.31</v>
      </c>
      <c r="M324">
        <f t="shared" ref="M324:M387" si="51">L324*F324</f>
        <v>0</v>
      </c>
      <c r="N324">
        <f t="shared" si="45"/>
        <v>-5.31</v>
      </c>
      <c r="P324" t="s">
        <v>56</v>
      </c>
      <c r="S324" t="e">
        <f t="shared" si="47"/>
        <v>#VALUE!</v>
      </c>
      <c r="T324">
        <f t="shared" si="49"/>
        <v>-2.7180599999999999</v>
      </c>
      <c r="U324" t="e">
        <f t="shared" si="48"/>
        <v>#VALUE!</v>
      </c>
      <c r="V324" t="e">
        <f t="shared" si="50"/>
        <v>#VALUE!</v>
      </c>
      <c r="W324" t="e">
        <f t="shared" si="46"/>
        <v>#VALUE!</v>
      </c>
    </row>
    <row r="325" spans="1:29" x14ac:dyDescent="0.3">
      <c r="A325" t="s">
        <v>63</v>
      </c>
      <c r="B325" t="s">
        <v>54</v>
      </c>
      <c r="E325" t="s">
        <v>70</v>
      </c>
      <c r="F325">
        <v>0.45684000000000002</v>
      </c>
      <c r="G325" s="1">
        <v>45877</v>
      </c>
      <c r="H325">
        <v>2.7189899999999998</v>
      </c>
      <c r="I325" s="1">
        <v>45908</v>
      </c>
      <c r="J325">
        <f t="shared" si="44"/>
        <v>63.617251162500004</v>
      </c>
      <c r="K325">
        <v>5.31</v>
      </c>
      <c r="M325">
        <f t="shared" si="51"/>
        <v>0</v>
      </c>
      <c r="N325">
        <f t="shared" si="45"/>
        <v>-5.31</v>
      </c>
      <c r="P325" t="s">
        <v>56</v>
      </c>
      <c r="S325" t="e">
        <f t="shared" si="47"/>
        <v>#VALUE!</v>
      </c>
      <c r="T325">
        <f t="shared" si="49"/>
        <v>-2.7189899999999998</v>
      </c>
      <c r="U325">
        <f t="shared" si="48"/>
        <v>31</v>
      </c>
      <c r="V325">
        <f t="shared" si="50"/>
        <v>-8.7709354838709674E-2</v>
      </c>
      <c r="W325">
        <f t="shared" si="46"/>
        <v>-877.09354838709669</v>
      </c>
    </row>
    <row r="326" spans="1:29" x14ac:dyDescent="0.3">
      <c r="A326" t="s">
        <v>63</v>
      </c>
      <c r="B326" t="s">
        <v>57</v>
      </c>
      <c r="C326">
        <v>1</v>
      </c>
      <c r="D326">
        <v>0.5</v>
      </c>
      <c r="E326" t="s">
        <v>64</v>
      </c>
      <c r="F326">
        <v>0.43609999999999999</v>
      </c>
      <c r="G326" s="1">
        <v>45877</v>
      </c>
      <c r="H326">
        <v>2.6911900000000002</v>
      </c>
      <c r="I326" s="1">
        <v>45908</v>
      </c>
      <c r="J326">
        <f t="shared" si="44"/>
        <v>63.617251162500004</v>
      </c>
      <c r="K326">
        <v>5.31</v>
      </c>
      <c r="M326">
        <f t="shared" si="51"/>
        <v>0</v>
      </c>
      <c r="N326">
        <f t="shared" si="45"/>
        <v>-5.31</v>
      </c>
      <c r="P326">
        <v>8.9243199999999998</v>
      </c>
      <c r="S326">
        <f t="shared" si="47"/>
        <v>6.2331299999999992</v>
      </c>
      <c r="T326">
        <f t="shared" si="49"/>
        <v>-2.6911900000000002</v>
      </c>
      <c r="U326">
        <f t="shared" si="48"/>
        <v>31</v>
      </c>
      <c r="V326">
        <f t="shared" si="50"/>
        <v>-8.68125806451613E-2</v>
      </c>
      <c r="W326">
        <f t="shared" si="46"/>
        <v>-868.12580645161302</v>
      </c>
    </row>
    <row r="327" spans="1:29" x14ac:dyDescent="0.3">
      <c r="A327" t="s">
        <v>63</v>
      </c>
      <c r="B327" t="s">
        <v>57</v>
      </c>
      <c r="C327">
        <v>1</v>
      </c>
      <c r="D327">
        <v>0.5</v>
      </c>
      <c r="E327" t="s">
        <v>30</v>
      </c>
      <c r="F327">
        <v>0.45851999999999998</v>
      </c>
      <c r="G327" s="1">
        <v>45877</v>
      </c>
      <c r="H327">
        <v>2.7026300000000001</v>
      </c>
      <c r="I327" s="1">
        <v>45908</v>
      </c>
      <c r="J327">
        <f t="shared" si="44"/>
        <v>63.617251162500004</v>
      </c>
      <c r="K327">
        <v>5.31</v>
      </c>
      <c r="M327">
        <f t="shared" si="51"/>
        <v>0</v>
      </c>
      <c r="N327">
        <f t="shared" si="45"/>
        <v>-5.31</v>
      </c>
      <c r="P327">
        <v>3.7434699999999999</v>
      </c>
      <c r="S327">
        <f t="shared" si="47"/>
        <v>1.0408399999999998</v>
      </c>
      <c r="T327">
        <f t="shared" si="49"/>
        <v>-2.7026300000000001</v>
      </c>
      <c r="U327">
        <f t="shared" si="48"/>
        <v>31</v>
      </c>
      <c r="V327">
        <f t="shared" si="50"/>
        <v>-8.7181612903225805E-2</v>
      </c>
      <c r="W327">
        <f t="shared" si="46"/>
        <v>-871.816129032258</v>
      </c>
      <c r="AC327" t="s">
        <v>170</v>
      </c>
    </row>
    <row r="328" spans="1:29" x14ac:dyDescent="0.3">
      <c r="A328" t="s">
        <v>63</v>
      </c>
      <c r="B328" t="s">
        <v>57</v>
      </c>
      <c r="C328">
        <v>1</v>
      </c>
      <c r="D328">
        <v>0.5</v>
      </c>
      <c r="E328" t="s">
        <v>31</v>
      </c>
      <c r="F328">
        <v>0.43648999999999999</v>
      </c>
      <c r="G328" s="1">
        <v>45877</v>
      </c>
      <c r="H328">
        <v>2.7073</v>
      </c>
      <c r="I328" s="1">
        <v>45908</v>
      </c>
      <c r="J328">
        <f t="shared" si="44"/>
        <v>63.617251162500004</v>
      </c>
      <c r="K328">
        <v>5.31</v>
      </c>
      <c r="M328">
        <f t="shared" si="51"/>
        <v>0</v>
      </c>
      <c r="N328">
        <f t="shared" si="45"/>
        <v>-5.31</v>
      </c>
      <c r="P328">
        <v>2.7052</v>
      </c>
      <c r="S328">
        <f t="shared" si="47"/>
        <v>-2.0999999999999908E-3</v>
      </c>
      <c r="T328">
        <f t="shared" si="49"/>
        <v>-2.7073</v>
      </c>
      <c r="U328">
        <f t="shared" si="48"/>
        <v>31</v>
      </c>
      <c r="V328">
        <f t="shared" si="50"/>
        <v>-8.7332258064516124E-2</v>
      </c>
      <c r="W328">
        <f t="shared" si="46"/>
        <v>-873.32258064516122</v>
      </c>
      <c r="AC328" t="s">
        <v>171</v>
      </c>
    </row>
    <row r="329" spans="1:29" x14ac:dyDescent="0.3">
      <c r="A329" t="s">
        <v>63</v>
      </c>
      <c r="B329" t="s">
        <v>57</v>
      </c>
      <c r="C329">
        <v>1</v>
      </c>
      <c r="D329">
        <v>2</v>
      </c>
      <c r="E329" t="s">
        <v>64</v>
      </c>
      <c r="F329">
        <v>0.44136999999999998</v>
      </c>
      <c r="G329" s="1">
        <v>45877</v>
      </c>
      <c r="H329">
        <v>2.7223099999999998</v>
      </c>
      <c r="I329" s="1">
        <v>45908</v>
      </c>
      <c r="J329">
        <f t="shared" si="44"/>
        <v>63.617251162500004</v>
      </c>
      <c r="K329">
        <v>5.31</v>
      </c>
      <c r="M329">
        <f t="shared" si="51"/>
        <v>0</v>
      </c>
      <c r="N329">
        <f t="shared" si="45"/>
        <v>-5.31</v>
      </c>
      <c r="P329">
        <v>5.5878399999999999</v>
      </c>
      <c r="S329">
        <f t="shared" si="47"/>
        <v>2.8655300000000001</v>
      </c>
      <c r="T329">
        <f t="shared" si="49"/>
        <v>-2.7223099999999998</v>
      </c>
      <c r="U329">
        <f t="shared" si="48"/>
        <v>31</v>
      </c>
      <c r="V329">
        <f t="shared" si="50"/>
        <v>-8.7816451612903218E-2</v>
      </c>
      <c r="W329">
        <f t="shared" si="46"/>
        <v>-878.16451612903222</v>
      </c>
      <c r="AC329" t="s">
        <v>172</v>
      </c>
    </row>
    <row r="330" spans="1:29" x14ac:dyDescent="0.3">
      <c r="A330" t="s">
        <v>63</v>
      </c>
      <c r="B330" t="s">
        <v>57</v>
      </c>
      <c r="C330">
        <v>1</v>
      </c>
      <c r="D330">
        <v>2</v>
      </c>
      <c r="E330" t="s">
        <v>30</v>
      </c>
      <c r="F330">
        <v>0.44128000000000001</v>
      </c>
      <c r="G330" s="1">
        <v>45877</v>
      </c>
      <c r="H330">
        <v>2.7227600000000001</v>
      </c>
      <c r="I330" s="1">
        <v>45908</v>
      </c>
      <c r="J330">
        <f t="shared" si="44"/>
        <v>63.617251162500004</v>
      </c>
      <c r="K330">
        <v>5.31</v>
      </c>
      <c r="M330">
        <f t="shared" si="51"/>
        <v>0</v>
      </c>
      <c r="N330">
        <f t="shared" si="45"/>
        <v>-5.31</v>
      </c>
      <c r="P330">
        <v>8.8032299999999992</v>
      </c>
      <c r="S330">
        <f t="shared" si="47"/>
        <v>6.0804699999999992</v>
      </c>
      <c r="T330">
        <f t="shared" si="49"/>
        <v>-2.7227600000000001</v>
      </c>
      <c r="U330">
        <f t="shared" si="48"/>
        <v>31</v>
      </c>
      <c r="V330">
        <f t="shared" si="50"/>
        <v>-8.7830967741935481E-2</v>
      </c>
      <c r="W330">
        <f t="shared" si="46"/>
        <v>-878.30967741935478</v>
      </c>
      <c r="AC330" t="s">
        <v>173</v>
      </c>
    </row>
    <row r="331" spans="1:29" x14ac:dyDescent="0.3">
      <c r="A331" t="s">
        <v>63</v>
      </c>
      <c r="B331" t="s">
        <v>57</v>
      </c>
      <c r="C331">
        <v>1</v>
      </c>
      <c r="D331">
        <v>2</v>
      </c>
      <c r="E331" t="s">
        <v>31</v>
      </c>
      <c r="F331">
        <v>0.45101999999999998</v>
      </c>
      <c r="G331" s="1">
        <v>45877</v>
      </c>
      <c r="H331">
        <v>2.70533</v>
      </c>
      <c r="I331" s="1">
        <v>45908</v>
      </c>
      <c r="J331">
        <f t="shared" si="44"/>
        <v>63.617251162500004</v>
      </c>
      <c r="K331">
        <v>5.31</v>
      </c>
      <c r="M331">
        <f t="shared" si="51"/>
        <v>0</v>
      </c>
      <c r="N331">
        <f t="shared" si="45"/>
        <v>-5.31</v>
      </c>
      <c r="P331">
        <v>8.0926200000000001</v>
      </c>
      <c r="S331">
        <f t="shared" si="47"/>
        <v>5.3872900000000001</v>
      </c>
      <c r="T331">
        <f t="shared" si="49"/>
        <v>-2.70533</v>
      </c>
      <c r="U331">
        <f t="shared" si="48"/>
        <v>31</v>
      </c>
      <c r="V331">
        <f t="shared" si="50"/>
        <v>-8.7268709677419357E-2</v>
      </c>
      <c r="W331">
        <f t="shared" si="46"/>
        <v>-872.68709677419361</v>
      </c>
      <c r="AC331" t="s">
        <v>174</v>
      </c>
    </row>
    <row r="332" spans="1:29" x14ac:dyDescent="0.3">
      <c r="A332" t="s">
        <v>63</v>
      </c>
      <c r="B332" t="s">
        <v>57</v>
      </c>
      <c r="C332">
        <v>1</v>
      </c>
      <c r="D332">
        <v>6</v>
      </c>
      <c r="E332" t="s">
        <v>64</v>
      </c>
      <c r="F332">
        <v>0.45247999999999999</v>
      </c>
      <c r="G332" s="1">
        <v>45877</v>
      </c>
      <c r="H332">
        <v>2.7265999999999999</v>
      </c>
      <c r="I332" s="1">
        <v>45908</v>
      </c>
      <c r="J332">
        <f t="shared" si="44"/>
        <v>63.617251162500004</v>
      </c>
      <c r="K332">
        <v>5.31</v>
      </c>
      <c r="M332">
        <f t="shared" si="51"/>
        <v>0</v>
      </c>
      <c r="N332">
        <f t="shared" si="45"/>
        <v>-5.31</v>
      </c>
      <c r="P332">
        <v>3.9706100000000002</v>
      </c>
      <c r="S332">
        <f t="shared" si="47"/>
        <v>1.2440100000000003</v>
      </c>
      <c r="T332">
        <f t="shared" si="49"/>
        <v>-2.7265999999999999</v>
      </c>
      <c r="U332">
        <f t="shared" si="48"/>
        <v>31</v>
      </c>
      <c r="V332">
        <f t="shared" si="50"/>
        <v>-8.7954838709677421E-2</v>
      </c>
      <c r="W332">
        <f t="shared" si="46"/>
        <v>-879.54838709677426</v>
      </c>
    </row>
    <row r="333" spans="1:29" x14ac:dyDescent="0.3">
      <c r="A333" t="s">
        <v>63</v>
      </c>
      <c r="B333" t="s">
        <v>57</v>
      </c>
      <c r="C333">
        <v>1</v>
      </c>
      <c r="D333">
        <v>6</v>
      </c>
      <c r="E333" t="s">
        <v>30</v>
      </c>
      <c r="F333">
        <v>0.44128000000000001</v>
      </c>
      <c r="G333" s="1">
        <v>45877</v>
      </c>
      <c r="H333">
        <v>2.7047400000000001</v>
      </c>
      <c r="I333" s="1">
        <v>45908</v>
      </c>
      <c r="J333">
        <f t="shared" si="44"/>
        <v>63.617251162500004</v>
      </c>
      <c r="K333">
        <v>5.31</v>
      </c>
      <c r="M333">
        <f t="shared" si="51"/>
        <v>0</v>
      </c>
      <c r="N333">
        <f t="shared" si="45"/>
        <v>-5.31</v>
      </c>
      <c r="P333">
        <v>3.8465799999999999</v>
      </c>
      <c r="S333">
        <f t="shared" si="47"/>
        <v>1.1418399999999997</v>
      </c>
      <c r="T333">
        <f t="shared" si="49"/>
        <v>-2.7047400000000001</v>
      </c>
      <c r="U333">
        <f t="shared" si="48"/>
        <v>31</v>
      </c>
      <c r="V333">
        <f t="shared" si="50"/>
        <v>-8.724967741935484E-2</v>
      </c>
      <c r="W333">
        <f t="shared" si="46"/>
        <v>-872.49677419354839</v>
      </c>
    </row>
    <row r="334" spans="1:29" x14ac:dyDescent="0.3">
      <c r="A334" t="s">
        <v>63</v>
      </c>
      <c r="B334" t="s">
        <v>57</v>
      </c>
      <c r="C334">
        <v>1</v>
      </c>
      <c r="D334">
        <v>6</v>
      </c>
      <c r="E334" t="s">
        <v>31</v>
      </c>
      <c r="F334">
        <v>0.45341999999999999</v>
      </c>
      <c r="G334" s="1">
        <v>45877</v>
      </c>
      <c r="H334">
        <v>2.7230500000000002</v>
      </c>
      <c r="I334" s="1">
        <v>45908</v>
      </c>
      <c r="J334">
        <f t="shared" si="44"/>
        <v>63.617251162500004</v>
      </c>
      <c r="K334">
        <v>5.31</v>
      </c>
      <c r="M334">
        <f t="shared" si="51"/>
        <v>0</v>
      </c>
      <c r="N334">
        <f t="shared" si="45"/>
        <v>-5.31</v>
      </c>
      <c r="P334">
        <v>3.5745200000000001</v>
      </c>
      <c r="S334">
        <f t="shared" si="47"/>
        <v>0.85146999999999995</v>
      </c>
      <c r="T334">
        <f t="shared" si="49"/>
        <v>-2.7230500000000002</v>
      </c>
      <c r="U334">
        <f t="shared" si="48"/>
        <v>31</v>
      </c>
      <c r="V334">
        <f t="shared" si="50"/>
        <v>-8.7840322580645169E-2</v>
      </c>
      <c r="W334">
        <f t="shared" si="46"/>
        <v>-878.4032258064517</v>
      </c>
    </row>
    <row r="335" spans="1:29" x14ac:dyDescent="0.3">
      <c r="A335" t="s">
        <v>63</v>
      </c>
      <c r="B335" t="s">
        <v>57</v>
      </c>
      <c r="C335">
        <v>1</v>
      </c>
      <c r="D335">
        <v>12</v>
      </c>
      <c r="E335" t="s">
        <v>64</v>
      </c>
      <c r="F335">
        <v>0.43847000000000003</v>
      </c>
      <c r="G335" s="1">
        <v>45877</v>
      </c>
      <c r="H335">
        <v>2.6973799999999999</v>
      </c>
      <c r="I335" s="1">
        <v>45908</v>
      </c>
      <c r="J335">
        <f t="shared" si="44"/>
        <v>63.617251162500004</v>
      </c>
      <c r="K335">
        <v>5.31</v>
      </c>
      <c r="M335">
        <f t="shared" si="51"/>
        <v>0</v>
      </c>
      <c r="N335">
        <f t="shared" si="45"/>
        <v>-5.31</v>
      </c>
      <c r="P335">
        <v>3.5259800000000001</v>
      </c>
      <c r="S335">
        <f t="shared" si="47"/>
        <v>0.82860000000000023</v>
      </c>
      <c r="T335">
        <f t="shared" si="49"/>
        <v>-2.6973799999999999</v>
      </c>
      <c r="U335">
        <f t="shared" si="48"/>
        <v>31</v>
      </c>
      <c r="V335">
        <f t="shared" si="50"/>
        <v>-8.7012258064516124E-2</v>
      </c>
      <c r="W335">
        <f t="shared" si="46"/>
        <v>-870.12258064516129</v>
      </c>
    </row>
    <row r="336" spans="1:29" x14ac:dyDescent="0.3">
      <c r="A336" t="s">
        <v>63</v>
      </c>
      <c r="B336" t="s">
        <v>57</v>
      </c>
      <c r="C336">
        <v>1</v>
      </c>
      <c r="D336">
        <v>12</v>
      </c>
      <c r="E336" t="s">
        <v>30</v>
      </c>
      <c r="F336">
        <v>0.43691000000000002</v>
      </c>
      <c r="G336" s="1">
        <v>45877</v>
      </c>
      <c r="H336">
        <v>2.7234799999999999</v>
      </c>
      <c r="I336" s="1">
        <v>45908</v>
      </c>
      <c r="J336">
        <f t="shared" si="44"/>
        <v>63.617251162500004</v>
      </c>
      <c r="K336">
        <v>5.31</v>
      </c>
      <c r="M336">
        <f t="shared" si="51"/>
        <v>0</v>
      </c>
      <c r="N336">
        <f t="shared" si="45"/>
        <v>-5.31</v>
      </c>
      <c r="P336">
        <v>5.5349399999999997</v>
      </c>
      <c r="S336">
        <f t="shared" si="47"/>
        <v>2.8114599999999998</v>
      </c>
      <c r="T336">
        <f t="shared" si="49"/>
        <v>-2.7234799999999999</v>
      </c>
      <c r="U336">
        <f t="shared" si="48"/>
        <v>31</v>
      </c>
      <c r="V336">
        <f t="shared" si="50"/>
        <v>-8.7854193548387097E-2</v>
      </c>
      <c r="W336">
        <f t="shared" si="46"/>
        <v>-878.54193548387093</v>
      </c>
    </row>
    <row r="337" spans="1:29" x14ac:dyDescent="0.3">
      <c r="A337" t="s">
        <v>63</v>
      </c>
      <c r="B337" t="s">
        <v>57</v>
      </c>
      <c r="C337">
        <v>1</v>
      </c>
      <c r="D337">
        <v>12</v>
      </c>
      <c r="E337" t="s">
        <v>31</v>
      </c>
      <c r="F337">
        <v>0.45883000000000002</v>
      </c>
      <c r="G337" s="1">
        <v>45877</v>
      </c>
      <c r="H337">
        <v>2.6997499999999999</v>
      </c>
      <c r="I337" s="1">
        <v>45908</v>
      </c>
      <c r="J337">
        <f t="shared" si="44"/>
        <v>63.617251162500004</v>
      </c>
      <c r="K337">
        <v>5.31</v>
      </c>
      <c r="M337">
        <f t="shared" si="51"/>
        <v>0</v>
      </c>
      <c r="N337">
        <f t="shared" si="45"/>
        <v>-5.31</v>
      </c>
      <c r="P337">
        <v>3.5974300000000001</v>
      </c>
      <c r="S337">
        <f t="shared" si="47"/>
        <v>0.89768000000000026</v>
      </c>
      <c r="T337">
        <f t="shared" si="49"/>
        <v>-2.6997499999999999</v>
      </c>
      <c r="U337">
        <f t="shared" si="48"/>
        <v>31</v>
      </c>
      <c r="V337">
        <f t="shared" si="50"/>
        <v>-8.7088709677419357E-2</v>
      </c>
      <c r="W337">
        <f t="shared" si="46"/>
        <v>-870.88709677419354</v>
      </c>
    </row>
    <row r="338" spans="1:29" x14ac:dyDescent="0.3">
      <c r="A338" t="s">
        <v>63</v>
      </c>
      <c r="B338" t="s">
        <v>57</v>
      </c>
      <c r="C338">
        <v>1</v>
      </c>
      <c r="D338">
        <v>24</v>
      </c>
      <c r="E338" t="s">
        <v>28</v>
      </c>
      <c r="F338">
        <v>0.43507000000000001</v>
      </c>
      <c r="G338" s="1">
        <v>45877</v>
      </c>
      <c r="H338">
        <v>2.7022400000000002</v>
      </c>
      <c r="I338" s="1">
        <v>45908</v>
      </c>
      <c r="J338">
        <f t="shared" si="44"/>
        <v>63.617251162500004</v>
      </c>
      <c r="K338">
        <v>5.31</v>
      </c>
      <c r="M338">
        <f t="shared" si="51"/>
        <v>0</v>
      </c>
      <c r="N338">
        <f t="shared" si="45"/>
        <v>-5.31</v>
      </c>
      <c r="P338">
        <v>3.53721</v>
      </c>
      <c r="S338">
        <f t="shared" si="47"/>
        <v>0.83496999999999977</v>
      </c>
      <c r="T338">
        <f t="shared" si="49"/>
        <v>-2.7022400000000002</v>
      </c>
      <c r="U338">
        <f t="shared" si="48"/>
        <v>31</v>
      </c>
      <c r="V338">
        <f t="shared" si="50"/>
        <v>-8.7169032258064522E-2</v>
      </c>
      <c r="W338">
        <f t="shared" si="46"/>
        <v>-871.69032258064522</v>
      </c>
    </row>
    <row r="339" spans="1:29" x14ac:dyDescent="0.3">
      <c r="A339" t="s">
        <v>63</v>
      </c>
      <c r="B339" t="s">
        <v>57</v>
      </c>
      <c r="C339">
        <v>1</v>
      </c>
      <c r="D339">
        <v>24</v>
      </c>
      <c r="E339" t="s">
        <v>30</v>
      </c>
      <c r="F339">
        <v>0.45862999999999998</v>
      </c>
      <c r="G339" s="1">
        <v>45877</v>
      </c>
      <c r="H339">
        <v>2.72498</v>
      </c>
      <c r="I339" s="1">
        <v>45908</v>
      </c>
      <c r="J339">
        <f t="shared" si="44"/>
        <v>63.617251162500004</v>
      </c>
      <c r="K339">
        <v>5.31</v>
      </c>
      <c r="M339">
        <f t="shared" si="51"/>
        <v>0</v>
      </c>
      <c r="N339">
        <f t="shared" si="45"/>
        <v>-5.31</v>
      </c>
      <c r="P339">
        <v>3.6084299999999998</v>
      </c>
      <c r="S339">
        <f t="shared" si="47"/>
        <v>0.88344999999999985</v>
      </c>
      <c r="T339">
        <f t="shared" si="49"/>
        <v>-2.72498</v>
      </c>
      <c r="U339">
        <f t="shared" si="48"/>
        <v>31</v>
      </c>
      <c r="V339">
        <f t="shared" si="50"/>
        <v>-8.7902580645161293E-2</v>
      </c>
      <c r="W339">
        <f t="shared" si="46"/>
        <v>-879.02580645161288</v>
      </c>
    </row>
    <row r="340" spans="1:29" x14ac:dyDescent="0.3">
      <c r="A340" t="s">
        <v>63</v>
      </c>
      <c r="B340" t="s">
        <v>57</v>
      </c>
      <c r="C340">
        <v>1</v>
      </c>
      <c r="D340">
        <v>24</v>
      </c>
      <c r="E340" t="s">
        <v>31</v>
      </c>
      <c r="F340">
        <v>0.43634000000000001</v>
      </c>
      <c r="G340" s="1">
        <v>45877</v>
      </c>
      <c r="H340">
        <v>2.7109299999999998</v>
      </c>
      <c r="I340" s="1">
        <v>45908</v>
      </c>
      <c r="J340">
        <f t="shared" si="44"/>
        <v>63.617251162500004</v>
      </c>
      <c r="K340">
        <v>5.31</v>
      </c>
      <c r="M340">
        <f t="shared" si="51"/>
        <v>0</v>
      </c>
      <c r="N340">
        <f t="shared" si="45"/>
        <v>-5.31</v>
      </c>
      <c r="P340">
        <v>3.40971</v>
      </c>
      <c r="S340">
        <f t="shared" si="47"/>
        <v>0.69878000000000018</v>
      </c>
      <c r="T340">
        <f t="shared" si="49"/>
        <v>-2.7109299999999998</v>
      </c>
      <c r="U340">
        <f t="shared" si="48"/>
        <v>31</v>
      </c>
      <c r="V340">
        <f t="shared" si="50"/>
        <v>-8.7449354838709678E-2</v>
      </c>
      <c r="W340">
        <f t="shared" si="46"/>
        <v>-874.49354838709678</v>
      </c>
    </row>
    <row r="341" spans="1:29" x14ac:dyDescent="0.3">
      <c r="A341" t="s">
        <v>63</v>
      </c>
      <c r="B341" t="s">
        <v>57</v>
      </c>
      <c r="C341">
        <v>1</v>
      </c>
      <c r="D341">
        <v>48</v>
      </c>
      <c r="E341" t="s">
        <v>64</v>
      </c>
      <c r="F341">
        <v>0.45835999999999999</v>
      </c>
      <c r="G341" s="1">
        <v>45877</v>
      </c>
      <c r="H341">
        <v>2.7050299999999998</v>
      </c>
      <c r="I341" s="1">
        <v>45908</v>
      </c>
      <c r="J341">
        <f t="shared" si="44"/>
        <v>63.617251162500004</v>
      </c>
      <c r="K341">
        <v>5.31</v>
      </c>
      <c r="M341">
        <f t="shared" si="51"/>
        <v>0</v>
      </c>
      <c r="N341">
        <f t="shared" si="45"/>
        <v>-5.31</v>
      </c>
      <c r="P341">
        <v>3.3242600000000002</v>
      </c>
      <c r="S341">
        <f t="shared" si="47"/>
        <v>0.61923000000000039</v>
      </c>
      <c r="T341">
        <f t="shared" si="49"/>
        <v>-2.7050299999999998</v>
      </c>
      <c r="U341">
        <f t="shared" si="48"/>
        <v>31</v>
      </c>
      <c r="V341">
        <f t="shared" si="50"/>
        <v>-8.7259032258064514E-2</v>
      </c>
      <c r="W341">
        <f t="shared" si="46"/>
        <v>-872.59032258064519</v>
      </c>
    </row>
    <row r="342" spans="1:29" x14ac:dyDescent="0.3">
      <c r="A342" t="s">
        <v>63</v>
      </c>
      <c r="B342" t="s">
        <v>57</v>
      </c>
      <c r="C342">
        <v>1</v>
      </c>
      <c r="D342">
        <v>48</v>
      </c>
      <c r="E342" t="s">
        <v>30</v>
      </c>
      <c r="F342">
        <v>0.43541000000000002</v>
      </c>
      <c r="G342" s="1">
        <v>45877</v>
      </c>
      <c r="H342">
        <v>2.7063999999999999</v>
      </c>
      <c r="I342" s="1">
        <v>45908</v>
      </c>
      <c r="J342">
        <f t="shared" si="44"/>
        <v>63.617251162500004</v>
      </c>
      <c r="K342">
        <v>5.31</v>
      </c>
      <c r="M342">
        <f t="shared" si="51"/>
        <v>0</v>
      </c>
      <c r="N342">
        <f t="shared" si="45"/>
        <v>-5.31</v>
      </c>
      <c r="P342">
        <v>3.5309400000000002</v>
      </c>
      <c r="S342">
        <f t="shared" si="47"/>
        <v>0.82454000000000027</v>
      </c>
      <c r="T342">
        <f t="shared" si="49"/>
        <v>-2.7063999999999999</v>
      </c>
      <c r="U342">
        <f t="shared" si="48"/>
        <v>31</v>
      </c>
      <c r="V342">
        <f t="shared" si="50"/>
        <v>-8.7303225806451612E-2</v>
      </c>
      <c r="W342">
        <f t="shared" si="46"/>
        <v>-873.0322580645161</v>
      </c>
    </row>
    <row r="343" spans="1:29" x14ac:dyDescent="0.3">
      <c r="A343" t="s">
        <v>63</v>
      </c>
      <c r="B343" t="s">
        <v>57</v>
      </c>
      <c r="C343">
        <v>1</v>
      </c>
      <c r="D343">
        <v>48</v>
      </c>
      <c r="E343" t="s">
        <v>31</v>
      </c>
      <c r="F343">
        <v>0.43795000000000001</v>
      </c>
      <c r="G343" s="1">
        <v>45877</v>
      </c>
      <c r="H343">
        <v>2.7134900000000002</v>
      </c>
      <c r="I343" s="1">
        <v>45908</v>
      </c>
      <c r="J343">
        <f t="shared" si="44"/>
        <v>63.617251162500004</v>
      </c>
      <c r="K343">
        <v>5.31</v>
      </c>
      <c r="M343">
        <f t="shared" si="51"/>
        <v>0</v>
      </c>
      <c r="N343">
        <f t="shared" si="45"/>
        <v>-5.31</v>
      </c>
      <c r="P343">
        <v>3.36327</v>
      </c>
      <c r="S343">
        <f t="shared" si="47"/>
        <v>0.6497799999999998</v>
      </c>
      <c r="T343">
        <f t="shared" si="49"/>
        <v>-2.7134900000000002</v>
      </c>
      <c r="U343">
        <f t="shared" si="48"/>
        <v>31</v>
      </c>
      <c r="V343">
        <f t="shared" si="50"/>
        <v>-8.7531935483870976E-2</v>
      </c>
      <c r="W343">
        <f t="shared" si="46"/>
        <v>-875.31935483870973</v>
      </c>
    </row>
    <row r="344" spans="1:29" x14ac:dyDescent="0.3">
      <c r="A344" t="s">
        <v>63</v>
      </c>
      <c r="B344" t="s">
        <v>57</v>
      </c>
      <c r="C344">
        <v>2</v>
      </c>
      <c r="D344">
        <v>0.5</v>
      </c>
      <c r="E344" t="s">
        <v>64</v>
      </c>
      <c r="F344">
        <v>0.45873000000000003</v>
      </c>
      <c r="G344" s="1">
        <v>45877</v>
      </c>
      <c r="H344">
        <v>2.7340399999999998</v>
      </c>
      <c r="I344" s="1">
        <v>45908</v>
      </c>
      <c r="J344">
        <f t="shared" si="44"/>
        <v>63.617251162500004</v>
      </c>
      <c r="K344">
        <v>5.31</v>
      </c>
      <c r="M344">
        <f t="shared" si="51"/>
        <v>0</v>
      </c>
      <c r="N344">
        <f t="shared" si="45"/>
        <v>-5.31</v>
      </c>
      <c r="P344">
        <v>3.36327</v>
      </c>
      <c r="S344">
        <f t="shared" si="47"/>
        <v>0.62923000000000018</v>
      </c>
      <c r="T344">
        <f t="shared" si="49"/>
        <v>-2.7340399999999998</v>
      </c>
      <c r="U344">
        <f t="shared" si="48"/>
        <v>31</v>
      </c>
      <c r="V344">
        <f t="shared" si="50"/>
        <v>-8.8194838709677412E-2</v>
      </c>
      <c r="W344">
        <f t="shared" si="46"/>
        <v>-881.94838709677413</v>
      </c>
      <c r="AC344" t="s">
        <v>170</v>
      </c>
    </row>
    <row r="345" spans="1:29" x14ac:dyDescent="0.3">
      <c r="A345" t="s">
        <v>63</v>
      </c>
      <c r="B345" t="s">
        <v>57</v>
      </c>
      <c r="C345">
        <v>2</v>
      </c>
      <c r="D345">
        <v>0.5</v>
      </c>
      <c r="E345" t="s">
        <v>30</v>
      </c>
      <c r="F345">
        <v>0.43486999999999998</v>
      </c>
      <c r="G345" s="1">
        <v>45877</v>
      </c>
      <c r="H345">
        <v>2.7327599999999999</v>
      </c>
      <c r="I345" s="1">
        <v>45908</v>
      </c>
      <c r="J345">
        <f t="shared" si="44"/>
        <v>63.617251162500004</v>
      </c>
      <c r="K345">
        <v>5.31</v>
      </c>
      <c r="M345">
        <f t="shared" si="51"/>
        <v>0</v>
      </c>
      <c r="N345">
        <f t="shared" si="45"/>
        <v>-5.31</v>
      </c>
      <c r="P345">
        <v>3.0725199999999999</v>
      </c>
      <c r="S345">
        <f t="shared" si="47"/>
        <v>0.33976000000000006</v>
      </c>
      <c r="T345">
        <f t="shared" si="49"/>
        <v>-2.7327599999999999</v>
      </c>
      <c r="U345">
        <f t="shared" si="48"/>
        <v>31</v>
      </c>
      <c r="V345">
        <f t="shared" si="50"/>
        <v>-8.815354838709677E-2</v>
      </c>
      <c r="W345">
        <f t="shared" si="46"/>
        <v>-881.53548387096771</v>
      </c>
    </row>
    <row r="346" spans="1:29" x14ac:dyDescent="0.3">
      <c r="A346" t="s">
        <v>63</v>
      </c>
      <c r="B346" t="s">
        <v>57</v>
      </c>
      <c r="C346">
        <v>2</v>
      </c>
      <c r="D346">
        <v>0.5</v>
      </c>
      <c r="E346" t="s">
        <v>31</v>
      </c>
      <c r="F346">
        <v>0.43528</v>
      </c>
      <c r="G346" s="1">
        <v>45877</v>
      </c>
      <c r="H346">
        <v>2.6816</v>
      </c>
      <c r="I346" s="1">
        <v>45908</v>
      </c>
      <c r="J346">
        <f t="shared" si="44"/>
        <v>63.617251162500004</v>
      </c>
      <c r="K346">
        <v>5.31</v>
      </c>
      <c r="M346">
        <f t="shared" si="51"/>
        <v>0</v>
      </c>
      <c r="N346">
        <f t="shared" si="45"/>
        <v>-5.31</v>
      </c>
      <c r="P346">
        <v>4.7463199999999999</v>
      </c>
      <c r="S346">
        <f t="shared" si="47"/>
        <v>2.0647199999999999</v>
      </c>
      <c r="T346">
        <f t="shared" si="49"/>
        <v>-2.6816</v>
      </c>
      <c r="U346">
        <f t="shared" si="48"/>
        <v>31</v>
      </c>
      <c r="V346">
        <f t="shared" si="50"/>
        <v>-8.6503225806451617E-2</v>
      </c>
      <c r="W346">
        <f t="shared" si="46"/>
        <v>-865.03225806451621</v>
      </c>
    </row>
    <row r="347" spans="1:29" x14ac:dyDescent="0.3">
      <c r="A347" t="s">
        <v>63</v>
      </c>
      <c r="B347" t="s">
        <v>57</v>
      </c>
      <c r="C347">
        <v>2</v>
      </c>
      <c r="D347">
        <v>2</v>
      </c>
      <c r="E347" t="s">
        <v>64</v>
      </c>
      <c r="F347">
        <v>0.45671</v>
      </c>
      <c r="G347" s="1">
        <v>45877</v>
      </c>
      <c r="H347">
        <v>2.7143999999999999</v>
      </c>
      <c r="I347" s="1">
        <v>45908</v>
      </c>
      <c r="J347">
        <f t="shared" si="44"/>
        <v>63.617251162500004</v>
      </c>
      <c r="K347">
        <v>5.31</v>
      </c>
      <c r="M347">
        <f t="shared" si="51"/>
        <v>0</v>
      </c>
      <c r="N347">
        <f t="shared" si="45"/>
        <v>-5.31</v>
      </c>
      <c r="P347">
        <v>3.7936999999999999</v>
      </c>
      <c r="S347">
        <f t="shared" si="47"/>
        <v>1.0792999999999999</v>
      </c>
      <c r="T347">
        <f t="shared" si="49"/>
        <v>-2.7143999999999999</v>
      </c>
      <c r="U347">
        <f t="shared" si="48"/>
        <v>31</v>
      </c>
      <c r="V347">
        <f t="shared" si="50"/>
        <v>-8.7561290322580643E-2</v>
      </c>
      <c r="W347">
        <f t="shared" si="46"/>
        <v>-875.61290322580646</v>
      </c>
    </row>
    <row r="348" spans="1:29" x14ac:dyDescent="0.3">
      <c r="A348" t="s">
        <v>63</v>
      </c>
      <c r="B348" t="s">
        <v>57</v>
      </c>
      <c r="C348">
        <v>2</v>
      </c>
      <c r="D348">
        <v>2</v>
      </c>
      <c r="E348" t="s">
        <v>30</v>
      </c>
      <c r="F348">
        <v>0.43561</v>
      </c>
      <c r="G348" s="1">
        <v>45877</v>
      </c>
      <c r="H348">
        <v>2.6773500000000001</v>
      </c>
      <c r="I348" s="1">
        <v>45908</v>
      </c>
      <c r="J348">
        <f t="shared" si="44"/>
        <v>63.617251162500004</v>
      </c>
      <c r="K348">
        <v>5.31</v>
      </c>
      <c r="M348">
        <f t="shared" si="51"/>
        <v>0</v>
      </c>
      <c r="N348">
        <f t="shared" si="45"/>
        <v>-5.31</v>
      </c>
      <c r="P348">
        <v>15.213039999999999</v>
      </c>
      <c r="S348">
        <f t="shared" si="47"/>
        <v>12.535689999999999</v>
      </c>
      <c r="T348">
        <f t="shared" si="49"/>
        <v>-2.6773500000000001</v>
      </c>
      <c r="U348">
        <f t="shared" si="48"/>
        <v>31</v>
      </c>
      <c r="V348">
        <f t="shared" si="50"/>
        <v>-8.6366129032258071E-2</v>
      </c>
      <c r="W348">
        <f t="shared" si="46"/>
        <v>-863.66129032258073</v>
      </c>
    </row>
    <row r="349" spans="1:29" x14ac:dyDescent="0.3">
      <c r="A349" t="s">
        <v>63</v>
      </c>
      <c r="B349" t="s">
        <v>57</v>
      </c>
      <c r="C349">
        <v>2</v>
      </c>
      <c r="D349">
        <v>2</v>
      </c>
      <c r="E349" t="s">
        <v>31</v>
      </c>
      <c r="F349">
        <v>0.45680999999999999</v>
      </c>
      <c r="G349" s="1">
        <v>45877</v>
      </c>
      <c r="H349">
        <v>2.6844399999999999</v>
      </c>
      <c r="I349" s="1">
        <v>45908</v>
      </c>
      <c r="J349">
        <f t="shared" si="44"/>
        <v>63.617251162500004</v>
      </c>
      <c r="K349">
        <v>5.31</v>
      </c>
      <c r="M349">
        <f t="shared" si="51"/>
        <v>0</v>
      </c>
      <c r="N349">
        <f t="shared" si="45"/>
        <v>-5.31</v>
      </c>
      <c r="P349">
        <v>9.1604600000000005</v>
      </c>
      <c r="S349">
        <f t="shared" si="47"/>
        <v>6.4760200000000001</v>
      </c>
      <c r="T349">
        <f t="shared" si="49"/>
        <v>-2.6844399999999999</v>
      </c>
      <c r="U349">
        <f t="shared" si="48"/>
        <v>31</v>
      </c>
      <c r="V349">
        <f t="shared" si="50"/>
        <v>-8.6594838709677421E-2</v>
      </c>
      <c r="W349">
        <f t="shared" si="46"/>
        <v>-865.94838709677424</v>
      </c>
    </row>
    <row r="350" spans="1:29" x14ac:dyDescent="0.3">
      <c r="A350" t="s">
        <v>63</v>
      </c>
      <c r="B350" t="s">
        <v>57</v>
      </c>
      <c r="C350">
        <v>2</v>
      </c>
      <c r="D350">
        <v>6</v>
      </c>
      <c r="E350" t="s">
        <v>64</v>
      </c>
      <c r="F350">
        <v>0.43590000000000001</v>
      </c>
      <c r="G350" s="1">
        <v>45877</v>
      </c>
      <c r="H350">
        <v>2.6589800000000001</v>
      </c>
      <c r="I350" s="1">
        <v>45908</v>
      </c>
      <c r="J350">
        <f t="shared" si="44"/>
        <v>63.617251162500004</v>
      </c>
      <c r="K350">
        <v>5.31</v>
      </c>
      <c r="M350">
        <f t="shared" si="51"/>
        <v>0</v>
      </c>
      <c r="N350">
        <f t="shared" si="45"/>
        <v>-5.31</v>
      </c>
      <c r="P350">
        <v>7.9500599999999997</v>
      </c>
      <c r="S350">
        <f t="shared" si="47"/>
        <v>5.2910799999999991</v>
      </c>
      <c r="T350">
        <f t="shared" si="49"/>
        <v>-2.6589800000000001</v>
      </c>
      <c r="U350">
        <f t="shared" si="48"/>
        <v>31</v>
      </c>
      <c r="V350">
        <f t="shared" si="50"/>
        <v>-8.5773548387096776E-2</v>
      </c>
      <c r="W350">
        <f t="shared" si="46"/>
        <v>-857.73548387096776</v>
      </c>
    </row>
    <row r="351" spans="1:29" x14ac:dyDescent="0.3">
      <c r="A351" t="s">
        <v>63</v>
      </c>
      <c r="B351" t="s">
        <v>57</v>
      </c>
      <c r="C351">
        <v>2</v>
      </c>
      <c r="D351">
        <v>6</v>
      </c>
      <c r="E351" t="s">
        <v>30</v>
      </c>
      <c r="F351">
        <v>0.43609999999999999</v>
      </c>
      <c r="G351" s="1">
        <v>45877</v>
      </c>
      <c r="H351">
        <v>2.6513399999999998</v>
      </c>
      <c r="I351" s="1">
        <v>45908</v>
      </c>
      <c r="J351">
        <f t="shared" si="44"/>
        <v>63.617251162500004</v>
      </c>
      <c r="K351">
        <v>5.31</v>
      </c>
      <c r="M351">
        <f t="shared" si="51"/>
        <v>0</v>
      </c>
      <c r="N351">
        <f t="shared" si="45"/>
        <v>-5.31</v>
      </c>
      <c r="P351">
        <v>3.3102499999999999</v>
      </c>
      <c r="S351">
        <f t="shared" si="47"/>
        <v>0.65891000000000011</v>
      </c>
      <c r="T351">
        <f t="shared" ref="T351:T366" si="52">Q351-M351-H351</f>
        <v>-2.6513399999999998</v>
      </c>
      <c r="U351">
        <f t="shared" si="48"/>
        <v>31</v>
      </c>
      <c r="V351">
        <f t="shared" si="50"/>
        <v>-8.552709677419354E-2</v>
      </c>
      <c r="W351">
        <f t="shared" si="46"/>
        <v>-855.27096774193535</v>
      </c>
      <c r="AC351" t="s">
        <v>169</v>
      </c>
    </row>
    <row r="352" spans="1:29" x14ac:dyDescent="0.3">
      <c r="A352" t="s">
        <v>63</v>
      </c>
      <c r="B352" t="s">
        <v>57</v>
      </c>
      <c r="C352">
        <v>2</v>
      </c>
      <c r="D352">
        <v>6</v>
      </c>
      <c r="E352" t="s">
        <v>31</v>
      </c>
      <c r="F352">
        <v>0.45818999999999999</v>
      </c>
      <c r="G352" s="1">
        <v>45877</v>
      </c>
      <c r="H352">
        <v>2.6929099999999999</v>
      </c>
      <c r="I352" s="1">
        <v>45908</v>
      </c>
      <c r="J352">
        <f t="shared" si="44"/>
        <v>63.617251162500004</v>
      </c>
      <c r="K352">
        <v>5.31</v>
      </c>
      <c r="M352">
        <f t="shared" si="51"/>
        <v>0</v>
      </c>
      <c r="N352">
        <f t="shared" si="45"/>
        <v>-5.31</v>
      </c>
      <c r="P352">
        <v>3.3054000000000001</v>
      </c>
      <c r="S352">
        <f t="shared" si="47"/>
        <v>0.6124900000000002</v>
      </c>
      <c r="T352">
        <f t="shared" si="52"/>
        <v>-2.6929099999999999</v>
      </c>
      <c r="U352">
        <f t="shared" si="48"/>
        <v>31</v>
      </c>
      <c r="V352">
        <f t="shared" si="50"/>
        <v>-8.6868064516129023E-2</v>
      </c>
      <c r="W352">
        <f t="shared" si="46"/>
        <v>-868.68064516129027</v>
      </c>
    </row>
    <row r="353" spans="1:29" x14ac:dyDescent="0.3">
      <c r="A353" t="s">
        <v>63</v>
      </c>
      <c r="B353" t="s">
        <v>57</v>
      </c>
      <c r="C353">
        <v>2</v>
      </c>
      <c r="D353">
        <v>12</v>
      </c>
      <c r="E353" t="s">
        <v>64</v>
      </c>
      <c r="F353">
        <v>0.43398999999999999</v>
      </c>
      <c r="G353" s="1">
        <v>45877</v>
      </c>
      <c r="H353">
        <v>2.6891400000000001</v>
      </c>
      <c r="I353" s="1">
        <v>45908</v>
      </c>
      <c r="J353">
        <f t="shared" si="44"/>
        <v>63.617251162500004</v>
      </c>
      <c r="K353">
        <v>5.31</v>
      </c>
      <c r="M353">
        <f t="shared" si="51"/>
        <v>0</v>
      </c>
      <c r="N353">
        <f t="shared" si="45"/>
        <v>-5.31</v>
      </c>
      <c r="P353">
        <v>4.4328599999999998</v>
      </c>
      <c r="S353">
        <f t="shared" si="47"/>
        <v>1.7437199999999997</v>
      </c>
      <c r="T353">
        <f t="shared" si="52"/>
        <v>-2.6891400000000001</v>
      </c>
      <c r="U353">
        <f t="shared" si="48"/>
        <v>31</v>
      </c>
      <c r="V353">
        <f t="shared" si="50"/>
        <v>-8.674645161290323E-2</v>
      </c>
      <c r="W353">
        <f t="shared" si="46"/>
        <v>-867.46451612903229</v>
      </c>
    </row>
    <row r="354" spans="1:29" x14ac:dyDescent="0.3">
      <c r="A354" t="s">
        <v>63</v>
      </c>
      <c r="B354" t="s">
        <v>57</v>
      </c>
      <c r="C354">
        <v>2</v>
      </c>
      <c r="D354">
        <v>12</v>
      </c>
      <c r="E354" t="s">
        <v>30</v>
      </c>
      <c r="F354">
        <v>0.43579000000000001</v>
      </c>
      <c r="G354" s="1">
        <v>45877</v>
      </c>
      <c r="H354">
        <v>2.7095799999999999</v>
      </c>
      <c r="I354" s="1">
        <v>45908</v>
      </c>
      <c r="J354">
        <f t="shared" si="44"/>
        <v>63.617251162500004</v>
      </c>
      <c r="K354">
        <v>5.31</v>
      </c>
      <c r="M354">
        <f t="shared" si="51"/>
        <v>0</v>
      </c>
      <c r="N354">
        <f t="shared" si="45"/>
        <v>-5.31</v>
      </c>
      <c r="P354">
        <v>3.7332200000000002</v>
      </c>
      <c r="S354">
        <f t="shared" si="47"/>
        <v>1.0236400000000003</v>
      </c>
      <c r="T354">
        <f t="shared" si="52"/>
        <v>-2.7095799999999999</v>
      </c>
      <c r="U354">
        <f t="shared" si="48"/>
        <v>31</v>
      </c>
      <c r="V354">
        <f t="shared" si="50"/>
        <v>-8.7405806451612902E-2</v>
      </c>
      <c r="W354">
        <f t="shared" si="46"/>
        <v>-874.05806451612898</v>
      </c>
    </row>
    <row r="355" spans="1:29" x14ac:dyDescent="0.3">
      <c r="A355" t="s">
        <v>63</v>
      </c>
      <c r="B355" t="s">
        <v>57</v>
      </c>
      <c r="C355">
        <v>2</v>
      </c>
      <c r="D355">
        <v>12</v>
      </c>
      <c r="E355" t="s">
        <v>31</v>
      </c>
      <c r="F355">
        <v>0.45939000000000002</v>
      </c>
      <c r="G355" s="1">
        <v>45877</v>
      </c>
      <c r="H355">
        <v>2.69957</v>
      </c>
      <c r="I355" s="1">
        <v>45908</v>
      </c>
      <c r="J355">
        <f t="shared" si="44"/>
        <v>63.617251162500004</v>
      </c>
      <c r="K355">
        <v>5.31</v>
      </c>
      <c r="M355">
        <f t="shared" si="51"/>
        <v>0</v>
      </c>
      <c r="N355">
        <f t="shared" si="45"/>
        <v>-5.31</v>
      </c>
      <c r="P355">
        <v>3.9141300000000001</v>
      </c>
      <c r="S355">
        <f t="shared" si="47"/>
        <v>1.2145600000000001</v>
      </c>
      <c r="T355">
        <f t="shared" si="52"/>
        <v>-2.69957</v>
      </c>
      <c r="U355">
        <f t="shared" si="48"/>
        <v>31</v>
      </c>
      <c r="V355">
        <f t="shared" si="50"/>
        <v>-8.7082903225806446E-2</v>
      </c>
      <c r="W355">
        <f t="shared" si="46"/>
        <v>-870.82903225806444</v>
      </c>
    </row>
    <row r="356" spans="1:29" x14ac:dyDescent="0.3">
      <c r="A356" t="s">
        <v>63</v>
      </c>
      <c r="B356" t="s">
        <v>57</v>
      </c>
      <c r="C356">
        <v>2</v>
      </c>
      <c r="D356">
        <v>24</v>
      </c>
      <c r="E356" t="s">
        <v>28</v>
      </c>
      <c r="F356">
        <v>0.436</v>
      </c>
      <c r="G356" s="1">
        <v>45877</v>
      </c>
      <c r="H356">
        <v>2.69815</v>
      </c>
      <c r="I356" s="1">
        <v>45908</v>
      </c>
      <c r="J356">
        <f t="shared" si="44"/>
        <v>63.617251162500004</v>
      </c>
      <c r="K356">
        <v>5.31</v>
      </c>
      <c r="M356">
        <f t="shared" si="51"/>
        <v>0</v>
      </c>
      <c r="N356">
        <f t="shared" si="45"/>
        <v>-5.31</v>
      </c>
      <c r="P356">
        <v>3.4820700000000002</v>
      </c>
      <c r="S356">
        <f t="shared" si="47"/>
        <v>0.78392000000000017</v>
      </c>
      <c r="T356">
        <f t="shared" si="52"/>
        <v>-2.69815</v>
      </c>
      <c r="U356">
        <f t="shared" si="48"/>
        <v>31</v>
      </c>
      <c r="V356">
        <f t="shared" si="50"/>
        <v>-8.7037096774193551E-2</v>
      </c>
      <c r="W356">
        <f t="shared" si="46"/>
        <v>-870.37096774193549</v>
      </c>
    </row>
    <row r="357" spans="1:29" x14ac:dyDescent="0.3">
      <c r="A357" t="s">
        <v>63</v>
      </c>
      <c r="B357" t="s">
        <v>57</v>
      </c>
      <c r="C357">
        <v>2</v>
      </c>
      <c r="D357">
        <v>24</v>
      </c>
      <c r="E357" t="s">
        <v>30</v>
      </c>
      <c r="F357">
        <v>0.45894000000000001</v>
      </c>
      <c r="G357" s="1">
        <v>45877</v>
      </c>
      <c r="H357">
        <v>2.7324000000000002</v>
      </c>
      <c r="I357" s="1">
        <v>45908</v>
      </c>
      <c r="J357">
        <f t="shared" si="44"/>
        <v>63.617251162500004</v>
      </c>
      <c r="K357">
        <v>5.31</v>
      </c>
      <c r="M357">
        <f t="shared" si="51"/>
        <v>0</v>
      </c>
      <c r="N357">
        <f t="shared" si="45"/>
        <v>-5.31</v>
      </c>
      <c r="P357">
        <v>3.5205700000000002</v>
      </c>
      <c r="S357">
        <f t="shared" si="47"/>
        <v>0.78817000000000004</v>
      </c>
      <c r="T357">
        <f t="shared" si="52"/>
        <v>-2.7324000000000002</v>
      </c>
      <c r="U357">
        <f t="shared" si="48"/>
        <v>31</v>
      </c>
      <c r="V357">
        <f t="shared" si="50"/>
        <v>-8.8141935483870976E-2</v>
      </c>
      <c r="W357">
        <f t="shared" si="46"/>
        <v>-881.41935483870975</v>
      </c>
    </row>
    <row r="358" spans="1:29" x14ac:dyDescent="0.3">
      <c r="A358" t="s">
        <v>63</v>
      </c>
      <c r="B358" t="s">
        <v>57</v>
      </c>
      <c r="C358">
        <v>2</v>
      </c>
      <c r="D358">
        <v>24</v>
      </c>
      <c r="E358" t="s">
        <v>31</v>
      </c>
      <c r="F358">
        <v>0.43474000000000002</v>
      </c>
      <c r="G358" s="1">
        <v>45877</v>
      </c>
      <c r="H358">
        <v>2.6865100000000002</v>
      </c>
      <c r="I358" s="1">
        <v>45908</v>
      </c>
      <c r="J358">
        <f t="shared" si="44"/>
        <v>63.617251162500004</v>
      </c>
      <c r="K358">
        <v>5.31</v>
      </c>
      <c r="M358">
        <f t="shared" si="51"/>
        <v>0</v>
      </c>
      <c r="N358">
        <f t="shared" si="45"/>
        <v>-5.31</v>
      </c>
      <c r="P358">
        <v>3.9552999999999998</v>
      </c>
      <c r="S358">
        <f t="shared" si="47"/>
        <v>1.2687899999999996</v>
      </c>
      <c r="T358">
        <f t="shared" si="52"/>
        <v>-2.6865100000000002</v>
      </c>
      <c r="U358">
        <f t="shared" si="48"/>
        <v>31</v>
      </c>
      <c r="V358">
        <f t="shared" si="50"/>
        <v>-8.6661612903225813E-2</v>
      </c>
      <c r="W358">
        <f t="shared" si="46"/>
        <v>-866.61612903225807</v>
      </c>
    </row>
    <row r="359" spans="1:29" x14ac:dyDescent="0.3">
      <c r="A359" t="s">
        <v>63</v>
      </c>
      <c r="B359" t="s">
        <v>57</v>
      </c>
      <c r="C359">
        <v>2</v>
      </c>
      <c r="D359">
        <v>48</v>
      </c>
      <c r="E359" t="s">
        <v>64</v>
      </c>
      <c r="F359">
        <v>0.43903999999999999</v>
      </c>
      <c r="G359" s="1">
        <v>45877</v>
      </c>
      <c r="H359">
        <v>2.7147299999999999</v>
      </c>
      <c r="I359" s="1">
        <v>45908</v>
      </c>
      <c r="J359">
        <f t="shared" si="44"/>
        <v>63.617251162500004</v>
      </c>
      <c r="K359">
        <v>5.31</v>
      </c>
      <c r="M359">
        <f t="shared" si="51"/>
        <v>0</v>
      </c>
      <c r="N359">
        <f t="shared" si="45"/>
        <v>-5.31</v>
      </c>
      <c r="P359">
        <v>3.5979299999999999</v>
      </c>
      <c r="S359">
        <f t="shared" si="47"/>
        <v>0.88319999999999999</v>
      </c>
      <c r="T359">
        <f t="shared" si="52"/>
        <v>-2.7147299999999999</v>
      </c>
      <c r="U359">
        <f t="shared" si="48"/>
        <v>31</v>
      </c>
      <c r="V359">
        <f t="shared" si="50"/>
        <v>-8.7571935483870961E-2</v>
      </c>
      <c r="W359">
        <f t="shared" si="46"/>
        <v>-875.71935483870959</v>
      </c>
    </row>
    <row r="360" spans="1:29" x14ac:dyDescent="0.3">
      <c r="A360" t="s">
        <v>63</v>
      </c>
      <c r="B360" t="s">
        <v>57</v>
      </c>
      <c r="C360">
        <v>2</v>
      </c>
      <c r="D360">
        <v>48</v>
      </c>
      <c r="E360" t="s">
        <v>30</v>
      </c>
      <c r="F360">
        <v>0.43436000000000002</v>
      </c>
      <c r="G360" s="1">
        <v>45877</v>
      </c>
      <c r="H360">
        <v>2.7041300000000001</v>
      </c>
      <c r="I360" s="1">
        <v>45908</v>
      </c>
      <c r="J360">
        <f t="shared" si="44"/>
        <v>63.617251162500004</v>
      </c>
      <c r="K360">
        <v>5.31</v>
      </c>
      <c r="M360">
        <f t="shared" si="51"/>
        <v>0</v>
      </c>
      <c r="N360">
        <f t="shared" si="45"/>
        <v>-5.31</v>
      </c>
      <c r="P360">
        <v>3.8109199999999999</v>
      </c>
      <c r="S360">
        <f t="shared" si="47"/>
        <v>1.1067899999999997</v>
      </c>
      <c r="T360">
        <f t="shared" si="52"/>
        <v>-2.7041300000000001</v>
      </c>
      <c r="U360">
        <f t="shared" si="48"/>
        <v>31</v>
      </c>
      <c r="V360">
        <f t="shared" si="50"/>
        <v>-8.7230000000000002E-2</v>
      </c>
      <c r="W360">
        <f t="shared" si="46"/>
        <v>-872.30000000000007</v>
      </c>
    </row>
    <row r="361" spans="1:29" x14ac:dyDescent="0.3">
      <c r="A361" t="s">
        <v>63</v>
      </c>
      <c r="B361" t="s">
        <v>57</v>
      </c>
      <c r="C361">
        <v>2</v>
      </c>
      <c r="D361">
        <v>48</v>
      </c>
      <c r="E361" t="s">
        <v>31</v>
      </c>
      <c r="F361">
        <v>0.45072000000000001</v>
      </c>
      <c r="G361" s="1">
        <v>45877</v>
      </c>
      <c r="H361">
        <v>2.71767</v>
      </c>
      <c r="I361" s="1">
        <v>45908</v>
      </c>
      <c r="J361">
        <f t="shared" si="44"/>
        <v>63.617251162500004</v>
      </c>
      <c r="K361">
        <v>5.31</v>
      </c>
      <c r="M361">
        <f t="shared" si="51"/>
        <v>0</v>
      </c>
      <c r="N361">
        <f t="shared" si="45"/>
        <v>-5.31</v>
      </c>
      <c r="P361">
        <v>3.6093999999999999</v>
      </c>
      <c r="S361">
        <f t="shared" si="47"/>
        <v>0.89172999999999991</v>
      </c>
      <c r="T361">
        <f t="shared" si="52"/>
        <v>-2.71767</v>
      </c>
      <c r="U361">
        <f t="shared" si="48"/>
        <v>31</v>
      </c>
      <c r="V361">
        <f t="shared" si="50"/>
        <v>-8.7666774193548389E-2</v>
      </c>
      <c r="W361">
        <f t="shared" si="46"/>
        <v>-876.66774193548383</v>
      </c>
    </row>
    <row r="362" spans="1:29" x14ac:dyDescent="0.3">
      <c r="A362" t="s">
        <v>63</v>
      </c>
      <c r="B362" t="s">
        <v>57</v>
      </c>
      <c r="E362" t="s">
        <v>67</v>
      </c>
      <c r="F362">
        <v>0.45055000000000001</v>
      </c>
      <c r="G362" s="1">
        <v>45877</v>
      </c>
      <c r="H362">
        <v>2.7150300000000001</v>
      </c>
      <c r="I362" s="1">
        <v>45908</v>
      </c>
      <c r="J362">
        <f t="shared" si="44"/>
        <v>63.617251162500004</v>
      </c>
      <c r="K362">
        <v>5.31</v>
      </c>
      <c r="M362">
        <f t="shared" si="51"/>
        <v>0</v>
      </c>
      <c r="N362">
        <f t="shared" si="45"/>
        <v>-5.31</v>
      </c>
      <c r="S362">
        <f t="shared" si="47"/>
        <v>-2.7150300000000001</v>
      </c>
      <c r="T362">
        <f t="shared" si="52"/>
        <v>-2.7150300000000001</v>
      </c>
      <c r="U362">
        <f t="shared" si="48"/>
        <v>31</v>
      </c>
      <c r="V362">
        <f t="shared" si="50"/>
        <v>-8.7581612903225803E-2</v>
      </c>
      <c r="W362">
        <f t="shared" si="46"/>
        <v>-875.816129032258</v>
      </c>
    </row>
    <row r="363" spans="1:29" x14ac:dyDescent="0.3">
      <c r="A363" t="s">
        <v>63</v>
      </c>
      <c r="B363" t="s">
        <v>57</v>
      </c>
      <c r="E363" t="s">
        <v>68</v>
      </c>
      <c r="F363">
        <v>0.43281999999999998</v>
      </c>
      <c r="G363" s="1">
        <v>45877</v>
      </c>
      <c r="H363">
        <v>2.6909100000000001</v>
      </c>
      <c r="I363" s="1">
        <v>45908</v>
      </c>
      <c r="J363">
        <f t="shared" si="44"/>
        <v>63.617251162500004</v>
      </c>
      <c r="K363">
        <v>5.31</v>
      </c>
      <c r="M363">
        <f t="shared" si="51"/>
        <v>0</v>
      </c>
      <c r="N363">
        <f t="shared" si="45"/>
        <v>-5.31</v>
      </c>
      <c r="S363">
        <f t="shared" si="47"/>
        <v>-2.6909100000000001</v>
      </c>
      <c r="T363">
        <f t="shared" si="52"/>
        <v>-2.6909100000000001</v>
      </c>
      <c r="U363">
        <f t="shared" si="48"/>
        <v>31</v>
      </c>
      <c r="V363">
        <f t="shared" si="50"/>
        <v>-8.6803548387096779E-2</v>
      </c>
      <c r="W363">
        <f t="shared" si="46"/>
        <v>-868.03548387096782</v>
      </c>
    </row>
    <row r="364" spans="1:29" x14ac:dyDescent="0.3">
      <c r="A364" t="s">
        <v>63</v>
      </c>
      <c r="B364" t="s">
        <v>57</v>
      </c>
      <c r="E364" t="s">
        <v>69</v>
      </c>
      <c r="F364">
        <v>0.43341000000000002</v>
      </c>
      <c r="G364" s="1">
        <v>45877</v>
      </c>
      <c r="H364">
        <v>2.7134399999999999</v>
      </c>
      <c r="I364" s="1">
        <v>45908</v>
      </c>
      <c r="J364">
        <f t="shared" ref="J364:J427" si="53">4.5*4.5*3.14159265</f>
        <v>63.617251162500004</v>
      </c>
      <c r="K364">
        <v>5.31</v>
      </c>
      <c r="M364">
        <f t="shared" si="51"/>
        <v>0</v>
      </c>
      <c r="N364">
        <f t="shared" ref="N364:N365" si="54">L364*J364-K364</f>
        <v>-5.31</v>
      </c>
      <c r="S364">
        <f t="shared" si="47"/>
        <v>-2.7134399999999999</v>
      </c>
      <c r="T364">
        <f t="shared" si="52"/>
        <v>-2.7134399999999999</v>
      </c>
      <c r="U364">
        <f t="shared" si="48"/>
        <v>31</v>
      </c>
      <c r="V364">
        <f t="shared" si="50"/>
        <v>-8.7530322580645151E-2</v>
      </c>
      <c r="W364">
        <f t="shared" ref="W364:W427" si="55">V364*10000</f>
        <v>-875.30322580645145</v>
      </c>
    </row>
    <row r="365" spans="1:29" x14ac:dyDescent="0.3">
      <c r="A365" t="s">
        <v>63</v>
      </c>
      <c r="B365" t="s">
        <v>57</v>
      </c>
      <c r="E365" t="s">
        <v>70</v>
      </c>
      <c r="F365">
        <v>0.45540000000000003</v>
      </c>
      <c r="G365" s="1">
        <v>45877</v>
      </c>
      <c r="H365">
        <v>2.7367900000000001</v>
      </c>
      <c r="I365" s="1">
        <v>45908</v>
      </c>
      <c r="J365">
        <f t="shared" si="53"/>
        <v>63.617251162500004</v>
      </c>
      <c r="K365">
        <v>5.31</v>
      </c>
      <c r="M365">
        <f t="shared" si="51"/>
        <v>0</v>
      </c>
      <c r="N365">
        <f t="shared" si="54"/>
        <v>-5.31</v>
      </c>
      <c r="S365">
        <f t="shared" si="47"/>
        <v>-2.7367900000000001</v>
      </c>
      <c r="T365">
        <f t="shared" si="52"/>
        <v>-2.7367900000000001</v>
      </c>
      <c r="U365">
        <f t="shared" si="48"/>
        <v>31</v>
      </c>
      <c r="V365">
        <f t="shared" si="50"/>
        <v>-8.8283548387096775E-2</v>
      </c>
      <c r="W365">
        <f t="shared" si="55"/>
        <v>-882.83548387096778</v>
      </c>
    </row>
    <row r="366" spans="1:29" x14ac:dyDescent="0.3">
      <c r="A366" t="s">
        <v>82</v>
      </c>
      <c r="B366" t="s">
        <v>61</v>
      </c>
      <c r="C366">
        <v>1</v>
      </c>
      <c r="D366">
        <v>0.5</v>
      </c>
      <c r="E366" t="s">
        <v>28</v>
      </c>
      <c r="F366">
        <v>0.44672000000000001</v>
      </c>
      <c r="G366" s="1">
        <v>45903</v>
      </c>
      <c r="H366">
        <v>2.4193899999999999</v>
      </c>
      <c r="I366" s="1">
        <v>45938</v>
      </c>
      <c r="J366">
        <f t="shared" si="53"/>
        <v>63.617251162500004</v>
      </c>
      <c r="K366">
        <v>5.31</v>
      </c>
      <c r="M366">
        <f t="shared" si="51"/>
        <v>0</v>
      </c>
      <c r="N366">
        <f t="shared" ref="N366:N429" si="56">(L366*J366)-K366</f>
        <v>-5.31</v>
      </c>
      <c r="O366" t="s">
        <v>84</v>
      </c>
      <c r="P366">
        <v>4.5986000000000002</v>
      </c>
      <c r="S366">
        <f t="shared" si="47"/>
        <v>2.1792100000000003</v>
      </c>
      <c r="T366">
        <f t="shared" si="52"/>
        <v>-2.4193899999999999</v>
      </c>
      <c r="U366">
        <f t="shared" si="48"/>
        <v>35</v>
      </c>
      <c r="V366">
        <f t="shared" si="50"/>
        <v>-6.9125428571428574E-2</v>
      </c>
      <c r="W366">
        <f t="shared" si="55"/>
        <v>-691.25428571428574</v>
      </c>
      <c r="AC366" t="s">
        <v>85</v>
      </c>
    </row>
    <row r="367" spans="1:29" x14ac:dyDescent="0.3">
      <c r="A367" t="s">
        <v>82</v>
      </c>
      <c r="B367" t="s">
        <v>61</v>
      </c>
      <c r="C367">
        <v>1</v>
      </c>
      <c r="D367">
        <v>0.5</v>
      </c>
      <c r="E367" t="s">
        <v>30</v>
      </c>
      <c r="F367">
        <v>0.45561000000000001</v>
      </c>
      <c r="G367" s="1">
        <v>45903</v>
      </c>
      <c r="H367">
        <v>2.4231400000000001</v>
      </c>
      <c r="I367" s="1">
        <v>45938</v>
      </c>
      <c r="J367">
        <f t="shared" si="53"/>
        <v>63.617251162500004</v>
      </c>
      <c r="K367">
        <v>5.31</v>
      </c>
      <c r="M367">
        <f t="shared" si="51"/>
        <v>0</v>
      </c>
      <c r="N367">
        <f t="shared" si="56"/>
        <v>-5.31</v>
      </c>
      <c r="O367" t="s">
        <v>84</v>
      </c>
      <c r="P367">
        <v>4.4741</v>
      </c>
      <c r="S367">
        <f t="shared" si="47"/>
        <v>2.0509599999999999</v>
      </c>
      <c r="T367">
        <f t="shared" ref="T367:T430" si="57">Q367-M367-H367</f>
        <v>-2.4231400000000001</v>
      </c>
      <c r="U367">
        <f t="shared" si="48"/>
        <v>35</v>
      </c>
      <c r="V367">
        <f t="shared" si="50"/>
        <v>-6.9232571428571435E-2</v>
      </c>
      <c r="W367">
        <f t="shared" si="55"/>
        <v>-692.3257142857143</v>
      </c>
      <c r="AC367" t="s">
        <v>85</v>
      </c>
    </row>
    <row r="368" spans="1:29" x14ac:dyDescent="0.3">
      <c r="A368" t="s">
        <v>82</v>
      </c>
      <c r="B368" t="s">
        <v>61</v>
      </c>
      <c r="C368">
        <v>1</v>
      </c>
      <c r="D368">
        <v>0.5</v>
      </c>
      <c r="E368" t="s">
        <v>31</v>
      </c>
      <c r="F368">
        <v>0.44490000000000002</v>
      </c>
      <c r="G368" s="1">
        <v>45903</v>
      </c>
      <c r="H368">
        <v>2.4305099999999999</v>
      </c>
      <c r="I368" s="1">
        <v>45938</v>
      </c>
      <c r="J368">
        <f t="shared" si="53"/>
        <v>63.617251162500004</v>
      </c>
      <c r="K368">
        <v>5.31</v>
      </c>
      <c r="M368">
        <f t="shared" si="51"/>
        <v>0</v>
      </c>
      <c r="N368">
        <f t="shared" si="56"/>
        <v>-5.31</v>
      </c>
      <c r="O368" t="s">
        <v>84</v>
      </c>
      <c r="P368">
        <v>4.0592899999999998</v>
      </c>
      <c r="S368">
        <f t="shared" si="47"/>
        <v>1.6287799999999999</v>
      </c>
      <c r="T368">
        <f t="shared" si="57"/>
        <v>-2.4305099999999999</v>
      </c>
      <c r="U368">
        <f t="shared" si="48"/>
        <v>35</v>
      </c>
      <c r="V368">
        <f t="shared" si="50"/>
        <v>-6.9443142857142856E-2</v>
      </c>
      <c r="W368">
        <f t="shared" si="55"/>
        <v>-694.43142857142857</v>
      </c>
      <c r="AC368" t="s">
        <v>85</v>
      </c>
    </row>
    <row r="369" spans="1:29" x14ac:dyDescent="0.3">
      <c r="A369" t="s">
        <v>82</v>
      </c>
      <c r="B369" t="s">
        <v>61</v>
      </c>
      <c r="C369">
        <v>1</v>
      </c>
      <c r="D369">
        <v>2</v>
      </c>
      <c r="E369" t="s">
        <v>28</v>
      </c>
      <c r="F369">
        <v>0.45678999999999997</v>
      </c>
      <c r="G369" s="1">
        <v>45903</v>
      </c>
      <c r="H369">
        <v>2.4417</v>
      </c>
      <c r="I369" s="1">
        <v>45938</v>
      </c>
      <c r="J369">
        <f t="shared" si="53"/>
        <v>63.617251162500004</v>
      </c>
      <c r="K369">
        <v>5.31</v>
      </c>
      <c r="M369">
        <f t="shared" si="51"/>
        <v>0</v>
      </c>
      <c r="N369">
        <f t="shared" si="56"/>
        <v>-5.31</v>
      </c>
      <c r="O369" t="s">
        <v>84</v>
      </c>
      <c r="P369">
        <v>3.4215499999999999</v>
      </c>
      <c r="S369">
        <f t="shared" si="47"/>
        <v>0.97984999999999989</v>
      </c>
      <c r="T369">
        <f t="shared" si="57"/>
        <v>-2.4417</v>
      </c>
      <c r="U369">
        <f t="shared" si="48"/>
        <v>35</v>
      </c>
      <c r="V369">
        <f t="shared" si="50"/>
        <v>-6.976285714285714E-2</v>
      </c>
      <c r="W369">
        <f t="shared" si="55"/>
        <v>-697.62857142857138</v>
      </c>
      <c r="AC369" t="s">
        <v>85</v>
      </c>
    </row>
    <row r="370" spans="1:29" x14ac:dyDescent="0.3">
      <c r="A370" t="s">
        <v>82</v>
      </c>
      <c r="B370" t="s">
        <v>61</v>
      </c>
      <c r="C370">
        <v>1</v>
      </c>
      <c r="D370">
        <v>2</v>
      </c>
      <c r="E370" t="s">
        <v>30</v>
      </c>
      <c r="F370">
        <v>0.44362000000000001</v>
      </c>
      <c r="G370" s="1">
        <v>45903</v>
      </c>
      <c r="H370">
        <v>2.4295</v>
      </c>
      <c r="I370" s="1">
        <v>45938</v>
      </c>
      <c r="J370">
        <f t="shared" si="53"/>
        <v>63.617251162500004</v>
      </c>
      <c r="K370">
        <v>5.31</v>
      </c>
      <c r="M370">
        <f t="shared" si="51"/>
        <v>0</v>
      </c>
      <c r="N370">
        <f t="shared" si="56"/>
        <v>-5.31</v>
      </c>
      <c r="O370" t="s">
        <v>84</v>
      </c>
      <c r="P370">
        <v>3.3170500000000001</v>
      </c>
      <c r="S370">
        <f t="shared" si="47"/>
        <v>0.88755000000000006</v>
      </c>
      <c r="T370">
        <f t="shared" si="57"/>
        <v>-2.4295</v>
      </c>
      <c r="U370">
        <f t="shared" si="48"/>
        <v>35</v>
      </c>
      <c r="V370">
        <f t="shared" si="50"/>
        <v>-6.941428571428572E-2</v>
      </c>
      <c r="W370">
        <f t="shared" si="55"/>
        <v>-694.14285714285722</v>
      </c>
      <c r="AC370" t="s">
        <v>85</v>
      </c>
    </row>
    <row r="371" spans="1:29" x14ac:dyDescent="0.3">
      <c r="A371" t="s">
        <v>82</v>
      </c>
      <c r="B371" t="s">
        <v>61</v>
      </c>
      <c r="C371">
        <v>1</v>
      </c>
      <c r="D371">
        <v>2</v>
      </c>
      <c r="E371" t="s">
        <v>31</v>
      </c>
      <c r="F371">
        <v>0.45476</v>
      </c>
      <c r="G371" s="1">
        <v>45903</v>
      </c>
      <c r="H371">
        <v>2.4196200000000001</v>
      </c>
      <c r="I371" s="1">
        <v>45938</v>
      </c>
      <c r="J371">
        <f t="shared" si="53"/>
        <v>63.617251162500004</v>
      </c>
      <c r="K371">
        <v>5.31</v>
      </c>
      <c r="M371">
        <f t="shared" si="51"/>
        <v>0</v>
      </c>
      <c r="N371">
        <f t="shared" si="56"/>
        <v>-5.31</v>
      </c>
      <c r="O371" t="s">
        <v>84</v>
      </c>
      <c r="P371">
        <v>3.2451599999999998</v>
      </c>
      <c r="S371">
        <f t="shared" si="47"/>
        <v>0.82553999999999972</v>
      </c>
      <c r="T371">
        <f t="shared" si="57"/>
        <v>-2.4196200000000001</v>
      </c>
      <c r="U371">
        <f t="shared" si="48"/>
        <v>35</v>
      </c>
      <c r="V371">
        <f t="shared" si="50"/>
        <v>-6.9131999999999999E-2</v>
      </c>
      <c r="W371">
        <f t="shared" si="55"/>
        <v>-691.31999999999994</v>
      </c>
      <c r="AC371" t="s">
        <v>85</v>
      </c>
    </row>
    <row r="372" spans="1:29" x14ac:dyDescent="0.3">
      <c r="A372" t="s">
        <v>82</v>
      </c>
      <c r="B372" t="s">
        <v>61</v>
      </c>
      <c r="C372">
        <v>1</v>
      </c>
      <c r="D372">
        <v>6</v>
      </c>
      <c r="E372" t="s">
        <v>28</v>
      </c>
      <c r="F372">
        <v>0.45457999999999998</v>
      </c>
      <c r="G372" s="1">
        <v>45903</v>
      </c>
      <c r="H372">
        <v>2.43716</v>
      </c>
      <c r="I372" s="1">
        <v>45938</v>
      </c>
      <c r="J372">
        <f t="shared" si="53"/>
        <v>63.617251162500004</v>
      </c>
      <c r="K372">
        <v>5.31</v>
      </c>
      <c r="M372">
        <f t="shared" si="51"/>
        <v>0</v>
      </c>
      <c r="N372">
        <f t="shared" si="56"/>
        <v>-5.31</v>
      </c>
      <c r="O372" t="s">
        <v>84</v>
      </c>
      <c r="P372">
        <v>3.5748799999999998</v>
      </c>
      <c r="S372">
        <f t="shared" si="47"/>
        <v>1.1377199999999998</v>
      </c>
      <c r="T372">
        <f t="shared" si="57"/>
        <v>-2.43716</v>
      </c>
      <c r="U372">
        <f t="shared" si="48"/>
        <v>35</v>
      </c>
      <c r="V372">
        <f t="shared" si="50"/>
        <v>-6.9633142857142852E-2</v>
      </c>
      <c r="W372">
        <f t="shared" si="55"/>
        <v>-696.33142857142855</v>
      </c>
      <c r="AC372" t="s">
        <v>85</v>
      </c>
    </row>
    <row r="373" spans="1:29" x14ac:dyDescent="0.3">
      <c r="A373" t="s">
        <v>82</v>
      </c>
      <c r="B373" t="s">
        <v>61</v>
      </c>
      <c r="C373">
        <v>1</v>
      </c>
      <c r="D373">
        <v>6</v>
      </c>
      <c r="E373" t="s">
        <v>30</v>
      </c>
      <c r="F373">
        <v>0.44367000000000001</v>
      </c>
      <c r="G373" s="1">
        <v>45903</v>
      </c>
      <c r="H373">
        <v>2.4577100000000001</v>
      </c>
      <c r="I373" s="1">
        <v>45938</v>
      </c>
      <c r="J373">
        <f t="shared" si="53"/>
        <v>63.617251162500004</v>
      </c>
      <c r="K373">
        <v>5.31</v>
      </c>
      <c r="M373">
        <f t="shared" si="51"/>
        <v>0</v>
      </c>
      <c r="N373">
        <f t="shared" si="56"/>
        <v>-5.31</v>
      </c>
      <c r="O373" t="s">
        <v>84</v>
      </c>
      <c r="P373">
        <v>3.9814099999999999</v>
      </c>
      <c r="S373">
        <f t="shared" si="47"/>
        <v>1.5236999999999998</v>
      </c>
      <c r="T373">
        <f t="shared" si="57"/>
        <v>-2.4577100000000001</v>
      </c>
      <c r="U373">
        <f t="shared" si="48"/>
        <v>35</v>
      </c>
      <c r="V373">
        <f t="shared" si="50"/>
        <v>-7.0220285714285721E-2</v>
      </c>
      <c r="W373">
        <f t="shared" si="55"/>
        <v>-702.20285714285717</v>
      </c>
      <c r="AC373" t="s">
        <v>86</v>
      </c>
    </row>
    <row r="374" spans="1:29" x14ac:dyDescent="0.3">
      <c r="A374" t="s">
        <v>82</v>
      </c>
      <c r="B374" t="s">
        <v>61</v>
      </c>
      <c r="C374">
        <v>1</v>
      </c>
      <c r="D374">
        <v>6</v>
      </c>
      <c r="E374" t="s">
        <v>31</v>
      </c>
      <c r="F374">
        <v>0.44318999999999997</v>
      </c>
      <c r="G374" s="1">
        <v>45903</v>
      </c>
      <c r="H374">
        <v>2.4527399999999999</v>
      </c>
      <c r="I374" s="1">
        <v>45938</v>
      </c>
      <c r="J374">
        <f t="shared" si="53"/>
        <v>63.617251162500004</v>
      </c>
      <c r="K374">
        <v>5.31</v>
      </c>
      <c r="M374">
        <f t="shared" si="51"/>
        <v>0</v>
      </c>
      <c r="N374">
        <f t="shared" si="56"/>
        <v>-5.31</v>
      </c>
      <c r="O374" t="s">
        <v>84</v>
      </c>
      <c r="P374">
        <v>3.9838200000000001</v>
      </c>
      <c r="S374">
        <f t="shared" si="47"/>
        <v>1.5310800000000002</v>
      </c>
      <c r="T374">
        <f t="shared" si="57"/>
        <v>-2.4527399999999999</v>
      </c>
      <c r="U374">
        <f t="shared" si="48"/>
        <v>35</v>
      </c>
      <c r="V374">
        <f t="shared" si="50"/>
        <v>-7.0078285714285718E-2</v>
      </c>
      <c r="W374">
        <f t="shared" si="55"/>
        <v>-700.78285714285721</v>
      </c>
      <c r="AC374" t="s">
        <v>86</v>
      </c>
    </row>
    <row r="375" spans="1:29" x14ac:dyDescent="0.3">
      <c r="A375" t="s">
        <v>82</v>
      </c>
      <c r="B375" t="s">
        <v>61</v>
      </c>
      <c r="C375">
        <v>1</v>
      </c>
      <c r="D375">
        <v>12</v>
      </c>
      <c r="E375" t="s">
        <v>28</v>
      </c>
      <c r="F375">
        <v>0.44240000000000002</v>
      </c>
      <c r="G375" s="1">
        <v>45903</v>
      </c>
      <c r="H375">
        <v>2.4817900000000002</v>
      </c>
      <c r="I375" s="1">
        <v>45938</v>
      </c>
      <c r="J375">
        <f t="shared" si="53"/>
        <v>63.617251162500004</v>
      </c>
      <c r="K375">
        <v>5.31</v>
      </c>
      <c r="M375">
        <f t="shared" si="51"/>
        <v>0</v>
      </c>
      <c r="N375">
        <f t="shared" si="56"/>
        <v>-5.31</v>
      </c>
      <c r="O375" t="s">
        <v>84</v>
      </c>
      <c r="P375">
        <v>3.2538999999999998</v>
      </c>
      <c r="S375">
        <f t="shared" si="47"/>
        <v>0.77210999999999963</v>
      </c>
      <c r="T375">
        <f t="shared" si="57"/>
        <v>-2.4817900000000002</v>
      </c>
      <c r="U375">
        <f t="shared" si="48"/>
        <v>35</v>
      </c>
      <c r="V375">
        <f t="shared" si="50"/>
        <v>-7.0908285714285715E-2</v>
      </c>
      <c r="W375">
        <f t="shared" si="55"/>
        <v>-709.08285714285716</v>
      </c>
      <c r="AC375" t="s">
        <v>86</v>
      </c>
    </row>
    <row r="376" spans="1:29" x14ac:dyDescent="0.3">
      <c r="A376" t="s">
        <v>82</v>
      </c>
      <c r="B376" t="s">
        <v>61</v>
      </c>
      <c r="C376">
        <v>1</v>
      </c>
      <c r="D376">
        <v>12</v>
      </c>
      <c r="E376" t="s">
        <v>30</v>
      </c>
      <c r="F376">
        <v>0.45701000000000003</v>
      </c>
      <c r="G376" s="1">
        <v>45903</v>
      </c>
      <c r="H376">
        <v>2.4476399999999998</v>
      </c>
      <c r="I376" s="1">
        <v>45938</v>
      </c>
      <c r="J376">
        <f t="shared" si="53"/>
        <v>63.617251162500004</v>
      </c>
      <c r="K376">
        <v>5.31</v>
      </c>
      <c r="M376">
        <f t="shared" si="51"/>
        <v>0</v>
      </c>
      <c r="N376">
        <f t="shared" si="56"/>
        <v>-5.31</v>
      </c>
      <c r="O376" t="s">
        <v>84</v>
      </c>
      <c r="P376">
        <v>3.1950599999999998</v>
      </c>
      <c r="S376">
        <f t="shared" si="47"/>
        <v>0.74741999999999997</v>
      </c>
      <c r="T376">
        <f t="shared" si="57"/>
        <v>-2.4476399999999998</v>
      </c>
      <c r="U376">
        <f t="shared" si="48"/>
        <v>35</v>
      </c>
      <c r="V376">
        <f t="shared" si="50"/>
        <v>-6.9932571428571427E-2</v>
      </c>
      <c r="W376">
        <f t="shared" si="55"/>
        <v>-699.3257142857143</v>
      </c>
      <c r="AC376" t="s">
        <v>86</v>
      </c>
    </row>
    <row r="377" spans="1:29" x14ac:dyDescent="0.3">
      <c r="A377" t="s">
        <v>82</v>
      </c>
      <c r="B377" t="s">
        <v>61</v>
      </c>
      <c r="C377">
        <v>1</v>
      </c>
      <c r="D377">
        <v>12</v>
      </c>
      <c r="E377" t="s">
        <v>31</v>
      </c>
      <c r="F377">
        <v>0.44490000000000002</v>
      </c>
      <c r="G377" s="1">
        <v>45903</v>
      </c>
      <c r="H377">
        <v>2.4746100000000002</v>
      </c>
      <c r="I377" s="1">
        <v>45938</v>
      </c>
      <c r="J377">
        <f t="shared" si="53"/>
        <v>63.617251162500004</v>
      </c>
      <c r="K377">
        <v>5.31</v>
      </c>
      <c r="M377">
        <f t="shared" si="51"/>
        <v>0</v>
      </c>
      <c r="N377">
        <f t="shared" si="56"/>
        <v>-5.31</v>
      </c>
      <c r="O377" t="s">
        <v>84</v>
      </c>
      <c r="P377">
        <v>3.20539</v>
      </c>
      <c r="S377">
        <f t="shared" si="47"/>
        <v>0.73077999999999976</v>
      </c>
      <c r="T377">
        <f t="shared" si="57"/>
        <v>-2.4746100000000002</v>
      </c>
      <c r="U377">
        <f t="shared" si="48"/>
        <v>35</v>
      </c>
      <c r="V377">
        <f t="shared" si="50"/>
        <v>-7.0703142857142867E-2</v>
      </c>
      <c r="W377">
        <f t="shared" si="55"/>
        <v>-707.03142857142871</v>
      </c>
      <c r="AC377" t="s">
        <v>86</v>
      </c>
    </row>
    <row r="378" spans="1:29" x14ac:dyDescent="0.3">
      <c r="A378" t="s">
        <v>82</v>
      </c>
      <c r="B378" t="s">
        <v>61</v>
      </c>
      <c r="C378">
        <v>1</v>
      </c>
      <c r="D378">
        <v>18</v>
      </c>
      <c r="E378" t="s">
        <v>28</v>
      </c>
      <c r="F378">
        <v>0.4556</v>
      </c>
      <c r="G378" s="1">
        <v>45903</v>
      </c>
      <c r="H378">
        <v>2.4537499999999999</v>
      </c>
      <c r="I378" s="1">
        <v>45938</v>
      </c>
      <c r="J378">
        <f t="shared" si="53"/>
        <v>63.617251162500004</v>
      </c>
      <c r="K378">
        <v>5.31</v>
      </c>
      <c r="M378">
        <f t="shared" si="51"/>
        <v>0</v>
      </c>
      <c r="N378">
        <f t="shared" si="56"/>
        <v>-5.31</v>
      </c>
      <c r="O378" t="s">
        <v>84</v>
      </c>
      <c r="P378">
        <v>3.2618200000000002</v>
      </c>
      <c r="S378">
        <f t="shared" si="47"/>
        <v>0.80807000000000029</v>
      </c>
      <c r="T378">
        <f t="shared" si="57"/>
        <v>-2.4537499999999999</v>
      </c>
      <c r="U378">
        <f t="shared" si="48"/>
        <v>35</v>
      </c>
      <c r="V378">
        <f t="shared" si="50"/>
        <v>-7.0107142857142854E-2</v>
      </c>
      <c r="W378">
        <f t="shared" si="55"/>
        <v>-701.07142857142856</v>
      </c>
      <c r="AC378" t="s">
        <v>86</v>
      </c>
    </row>
    <row r="379" spans="1:29" x14ac:dyDescent="0.3">
      <c r="A379" t="s">
        <v>82</v>
      </c>
      <c r="B379" t="s">
        <v>61</v>
      </c>
      <c r="C379">
        <v>1</v>
      </c>
      <c r="D379">
        <v>18</v>
      </c>
      <c r="E379" t="s">
        <v>30</v>
      </c>
      <c r="F379">
        <v>0.44289000000000001</v>
      </c>
      <c r="G379" s="1">
        <v>45903</v>
      </c>
      <c r="H379">
        <v>2.4688099999999999</v>
      </c>
      <c r="I379" s="1">
        <v>45938</v>
      </c>
      <c r="J379">
        <f t="shared" si="53"/>
        <v>63.617251162500004</v>
      </c>
      <c r="K379">
        <v>5.31</v>
      </c>
      <c r="M379">
        <f t="shared" si="51"/>
        <v>0</v>
      </c>
      <c r="N379">
        <f t="shared" si="56"/>
        <v>-5.31</v>
      </c>
      <c r="O379" t="s">
        <v>84</v>
      </c>
      <c r="P379">
        <v>3.2337500000000001</v>
      </c>
      <c r="S379">
        <f t="shared" si="47"/>
        <v>0.76494000000000018</v>
      </c>
      <c r="T379">
        <f t="shared" si="57"/>
        <v>-2.4688099999999999</v>
      </c>
      <c r="U379">
        <f t="shared" si="48"/>
        <v>35</v>
      </c>
      <c r="V379">
        <f t="shared" si="50"/>
        <v>-7.053742857142857E-2</v>
      </c>
      <c r="W379">
        <f t="shared" si="55"/>
        <v>-705.37428571428575</v>
      </c>
      <c r="AC379" t="s">
        <v>86</v>
      </c>
    </row>
    <row r="380" spans="1:29" x14ac:dyDescent="0.3">
      <c r="A380" t="s">
        <v>82</v>
      </c>
      <c r="B380" t="s">
        <v>61</v>
      </c>
      <c r="C380">
        <v>1</v>
      </c>
      <c r="D380">
        <v>18</v>
      </c>
      <c r="E380" t="s">
        <v>62</v>
      </c>
      <c r="F380">
        <v>0.43748999999999999</v>
      </c>
      <c r="G380" s="1">
        <v>45903</v>
      </c>
      <c r="H380">
        <v>2.4542999999999999</v>
      </c>
      <c r="I380" s="1">
        <v>45938</v>
      </c>
      <c r="J380">
        <f t="shared" si="53"/>
        <v>63.617251162500004</v>
      </c>
      <c r="K380">
        <v>5.31</v>
      </c>
      <c r="M380">
        <f t="shared" si="51"/>
        <v>0</v>
      </c>
      <c r="N380">
        <f t="shared" si="56"/>
        <v>-5.31</v>
      </c>
      <c r="O380" t="s">
        <v>84</v>
      </c>
      <c r="P380">
        <v>3.1562999999999999</v>
      </c>
      <c r="S380">
        <f t="shared" si="47"/>
        <v>0.70199999999999996</v>
      </c>
      <c r="T380">
        <f t="shared" si="57"/>
        <v>-2.4542999999999999</v>
      </c>
      <c r="U380">
        <f t="shared" si="48"/>
        <v>35</v>
      </c>
      <c r="V380">
        <f t="shared" si="50"/>
        <v>-7.012285714285714E-2</v>
      </c>
      <c r="W380">
        <f t="shared" si="55"/>
        <v>-701.2285714285714</v>
      </c>
      <c r="AC380" t="s">
        <v>86</v>
      </c>
    </row>
    <row r="381" spans="1:29" x14ac:dyDescent="0.3">
      <c r="A381" t="s">
        <v>82</v>
      </c>
      <c r="B381" t="s">
        <v>61</v>
      </c>
      <c r="C381">
        <v>1</v>
      </c>
      <c r="D381">
        <v>24</v>
      </c>
      <c r="E381" t="s">
        <v>28</v>
      </c>
      <c r="F381">
        <v>0.43792999999999999</v>
      </c>
      <c r="G381" s="1">
        <v>45903</v>
      </c>
      <c r="H381">
        <v>2.4475699999999998</v>
      </c>
      <c r="I381" s="1">
        <v>45938</v>
      </c>
      <c r="J381">
        <f t="shared" si="53"/>
        <v>63.617251162500004</v>
      </c>
      <c r="K381">
        <v>5.31</v>
      </c>
      <c r="M381">
        <f t="shared" si="51"/>
        <v>0</v>
      </c>
      <c r="N381">
        <f t="shared" si="56"/>
        <v>-5.31</v>
      </c>
      <c r="O381" t="s">
        <v>84</v>
      </c>
      <c r="P381">
        <v>3.1425700000000001</v>
      </c>
      <c r="S381">
        <f t="shared" ref="S381:S444" si="58">P381-M381-H381</f>
        <v>0.69500000000000028</v>
      </c>
      <c r="T381">
        <f t="shared" si="57"/>
        <v>-2.4475699999999998</v>
      </c>
      <c r="U381">
        <f t="shared" si="48"/>
        <v>35</v>
      </c>
      <c r="V381">
        <f t="shared" si="50"/>
        <v>-6.9930571428571425E-2</v>
      </c>
      <c r="W381">
        <f t="shared" si="55"/>
        <v>-699.3057142857142</v>
      </c>
      <c r="AC381" t="s">
        <v>86</v>
      </c>
    </row>
    <row r="382" spans="1:29" x14ac:dyDescent="0.3">
      <c r="A382" t="s">
        <v>82</v>
      </c>
      <c r="B382" t="s">
        <v>61</v>
      </c>
      <c r="C382">
        <v>1</v>
      </c>
      <c r="D382">
        <v>24</v>
      </c>
      <c r="E382" t="s">
        <v>30</v>
      </c>
      <c r="F382">
        <v>0.46000999999999997</v>
      </c>
      <c r="G382" s="1">
        <v>45903</v>
      </c>
      <c r="H382">
        <v>2.4479099999999998</v>
      </c>
      <c r="I382" s="1">
        <v>45938</v>
      </c>
      <c r="J382">
        <f t="shared" si="53"/>
        <v>63.617251162500004</v>
      </c>
      <c r="K382">
        <v>5.31</v>
      </c>
      <c r="M382">
        <f t="shared" si="51"/>
        <v>0</v>
      </c>
      <c r="N382">
        <f t="shared" si="56"/>
        <v>-5.31</v>
      </c>
      <c r="O382" t="s">
        <v>84</v>
      </c>
      <c r="P382">
        <v>3.2284299999999999</v>
      </c>
      <c r="S382">
        <f t="shared" si="58"/>
        <v>0.7805200000000001</v>
      </c>
      <c r="T382">
        <f t="shared" si="57"/>
        <v>-2.4479099999999998</v>
      </c>
      <c r="U382">
        <f t="shared" ref="U382:U445" si="59">I382-G382</f>
        <v>35</v>
      </c>
      <c r="V382">
        <f t="shared" si="50"/>
        <v>-6.9940285714285705E-2</v>
      </c>
      <c r="W382">
        <f t="shared" si="55"/>
        <v>-699.4028571428571</v>
      </c>
      <c r="AC382" t="s">
        <v>86</v>
      </c>
    </row>
    <row r="383" spans="1:29" x14ac:dyDescent="0.3">
      <c r="A383" t="s">
        <v>82</v>
      </c>
      <c r="B383" t="s">
        <v>61</v>
      </c>
      <c r="C383">
        <v>1</v>
      </c>
      <c r="D383">
        <v>24</v>
      </c>
      <c r="E383" t="s">
        <v>31</v>
      </c>
      <c r="F383">
        <v>0.45540000000000003</v>
      </c>
      <c r="G383" s="1">
        <v>45903</v>
      </c>
      <c r="H383">
        <v>2.4621300000000002</v>
      </c>
      <c r="I383" s="1">
        <v>45938</v>
      </c>
      <c r="J383">
        <f t="shared" si="53"/>
        <v>63.617251162500004</v>
      </c>
      <c r="K383">
        <v>5.31</v>
      </c>
      <c r="M383">
        <f t="shared" si="51"/>
        <v>0</v>
      </c>
      <c r="N383">
        <f t="shared" si="56"/>
        <v>-5.31</v>
      </c>
      <c r="O383" t="s">
        <v>84</v>
      </c>
      <c r="P383">
        <v>3.23156</v>
      </c>
      <c r="S383">
        <f t="shared" si="58"/>
        <v>0.76942999999999984</v>
      </c>
      <c r="T383">
        <f t="shared" si="57"/>
        <v>-2.4621300000000002</v>
      </c>
      <c r="U383">
        <f t="shared" si="59"/>
        <v>35</v>
      </c>
      <c r="V383">
        <f t="shared" ref="V383:V446" si="60">T383/U383</f>
        <v>-7.0346571428571439E-2</v>
      </c>
      <c r="W383">
        <f t="shared" si="55"/>
        <v>-703.4657142857144</v>
      </c>
      <c r="AC383" t="s">
        <v>86</v>
      </c>
    </row>
    <row r="384" spans="1:29" x14ac:dyDescent="0.3">
      <c r="A384" t="s">
        <v>82</v>
      </c>
      <c r="B384" t="s">
        <v>61</v>
      </c>
      <c r="C384">
        <v>1</v>
      </c>
      <c r="D384">
        <v>48</v>
      </c>
      <c r="E384" t="s">
        <v>28</v>
      </c>
      <c r="F384">
        <v>0.43774999999999997</v>
      </c>
      <c r="G384" s="1">
        <v>45903</v>
      </c>
      <c r="H384">
        <v>2.44042</v>
      </c>
      <c r="I384" s="1">
        <v>45938</v>
      </c>
      <c r="J384">
        <f t="shared" si="53"/>
        <v>63.617251162500004</v>
      </c>
      <c r="K384">
        <v>5.31</v>
      </c>
      <c r="M384">
        <f t="shared" si="51"/>
        <v>0</v>
      </c>
      <c r="N384">
        <f t="shared" si="56"/>
        <v>-5.31</v>
      </c>
      <c r="O384" t="s">
        <v>84</v>
      </c>
      <c r="P384">
        <v>3.2979500000000002</v>
      </c>
      <c r="S384">
        <f t="shared" si="58"/>
        <v>0.85753000000000013</v>
      </c>
      <c r="T384">
        <f t="shared" si="57"/>
        <v>-2.44042</v>
      </c>
      <c r="U384">
        <f t="shared" si="59"/>
        <v>35</v>
      </c>
      <c r="V384">
        <f t="shared" si="60"/>
        <v>-6.9726285714285713E-2</v>
      </c>
      <c r="W384">
        <f t="shared" si="55"/>
        <v>-697.26285714285711</v>
      </c>
    </row>
    <row r="385" spans="1:29" x14ac:dyDescent="0.3">
      <c r="A385" t="s">
        <v>82</v>
      </c>
      <c r="B385" t="s">
        <v>61</v>
      </c>
      <c r="C385">
        <v>1</v>
      </c>
      <c r="D385">
        <v>48</v>
      </c>
      <c r="E385" t="s">
        <v>30</v>
      </c>
      <c r="F385">
        <v>0.43859999999999999</v>
      </c>
      <c r="G385" s="1">
        <v>45903</v>
      </c>
      <c r="H385">
        <v>2.4442300000000001</v>
      </c>
      <c r="I385" s="1">
        <v>45938</v>
      </c>
      <c r="J385">
        <f t="shared" si="53"/>
        <v>63.617251162500004</v>
      </c>
      <c r="K385">
        <v>5.31</v>
      </c>
      <c r="M385">
        <f t="shared" si="51"/>
        <v>0</v>
      </c>
      <c r="N385">
        <f t="shared" si="56"/>
        <v>-5.31</v>
      </c>
      <c r="O385" t="s">
        <v>84</v>
      </c>
      <c r="P385">
        <v>3.2859799999999999</v>
      </c>
      <c r="S385">
        <f t="shared" si="58"/>
        <v>0.84174999999999978</v>
      </c>
      <c r="T385">
        <f t="shared" si="57"/>
        <v>-2.4442300000000001</v>
      </c>
      <c r="U385">
        <f t="shared" si="59"/>
        <v>35</v>
      </c>
      <c r="V385">
        <f t="shared" si="60"/>
        <v>-6.983514285714286E-2</v>
      </c>
      <c r="W385">
        <f t="shared" si="55"/>
        <v>-698.35142857142864</v>
      </c>
      <c r="AC385" t="s">
        <v>87</v>
      </c>
    </row>
    <row r="386" spans="1:29" x14ac:dyDescent="0.3">
      <c r="A386" t="s">
        <v>82</v>
      </c>
      <c r="B386" t="s">
        <v>61</v>
      </c>
      <c r="C386">
        <v>1</v>
      </c>
      <c r="D386">
        <v>48</v>
      </c>
      <c r="E386" t="s">
        <v>31</v>
      </c>
      <c r="F386">
        <v>0.45861000000000002</v>
      </c>
      <c r="G386" s="1">
        <v>45903</v>
      </c>
      <c r="H386">
        <v>2.4428399999999999</v>
      </c>
      <c r="I386" s="1">
        <v>45938</v>
      </c>
      <c r="J386">
        <f t="shared" si="53"/>
        <v>63.617251162500004</v>
      </c>
      <c r="K386">
        <v>5.31</v>
      </c>
      <c r="M386">
        <f t="shared" si="51"/>
        <v>0</v>
      </c>
      <c r="N386">
        <f t="shared" si="56"/>
        <v>-5.31</v>
      </c>
      <c r="O386" t="s">
        <v>84</v>
      </c>
      <c r="P386">
        <v>3.3985099999999999</v>
      </c>
      <c r="S386">
        <f t="shared" si="58"/>
        <v>0.95567000000000002</v>
      </c>
      <c r="T386">
        <f t="shared" si="57"/>
        <v>-2.4428399999999999</v>
      </c>
      <c r="U386">
        <f t="shared" si="59"/>
        <v>35</v>
      </c>
      <c r="V386">
        <f t="shared" si="60"/>
        <v>-6.9795428571428564E-2</v>
      </c>
      <c r="W386">
        <f t="shared" si="55"/>
        <v>-697.95428571428567</v>
      </c>
    </row>
    <row r="387" spans="1:29" x14ac:dyDescent="0.3">
      <c r="A387" t="s">
        <v>82</v>
      </c>
      <c r="B387" t="s">
        <v>61</v>
      </c>
      <c r="C387">
        <v>2</v>
      </c>
      <c r="D387">
        <v>0.5</v>
      </c>
      <c r="E387" t="s">
        <v>28</v>
      </c>
      <c r="F387">
        <v>0.43972</v>
      </c>
      <c r="G387" s="1">
        <v>45903</v>
      </c>
      <c r="H387">
        <v>2.4447000000000001</v>
      </c>
      <c r="I387" s="1">
        <v>45938</v>
      </c>
      <c r="J387">
        <f t="shared" si="53"/>
        <v>63.617251162500004</v>
      </c>
      <c r="K387">
        <v>5.31</v>
      </c>
      <c r="M387">
        <f t="shared" si="51"/>
        <v>0</v>
      </c>
      <c r="N387">
        <f t="shared" si="56"/>
        <v>-5.31</v>
      </c>
      <c r="O387" t="s">
        <v>88</v>
      </c>
      <c r="P387">
        <v>4.1736300000000002</v>
      </c>
      <c r="S387">
        <f t="shared" si="58"/>
        <v>1.7289300000000001</v>
      </c>
      <c r="T387">
        <f t="shared" si="57"/>
        <v>-2.4447000000000001</v>
      </c>
      <c r="U387">
        <f t="shared" si="59"/>
        <v>35</v>
      </c>
      <c r="V387">
        <f t="shared" si="60"/>
        <v>-6.9848571428571427E-2</v>
      </c>
      <c r="W387">
        <f t="shared" si="55"/>
        <v>-698.48571428571427</v>
      </c>
      <c r="AC387" t="s">
        <v>89</v>
      </c>
    </row>
    <row r="388" spans="1:29" x14ac:dyDescent="0.3">
      <c r="A388" t="s">
        <v>82</v>
      </c>
      <c r="B388" t="s">
        <v>61</v>
      </c>
      <c r="C388">
        <v>2</v>
      </c>
      <c r="D388">
        <v>0.5</v>
      </c>
      <c r="E388" t="s">
        <v>30</v>
      </c>
      <c r="F388">
        <v>0.45817999999999998</v>
      </c>
      <c r="G388" s="1">
        <v>45903</v>
      </c>
      <c r="H388">
        <v>2.4373399999999998</v>
      </c>
      <c r="I388" s="1">
        <v>45938</v>
      </c>
      <c r="J388">
        <f t="shared" si="53"/>
        <v>63.617251162500004</v>
      </c>
      <c r="K388">
        <v>5.31</v>
      </c>
      <c r="M388">
        <f t="shared" ref="M388:M451" si="61">L388*F388</f>
        <v>0</v>
      </c>
      <c r="N388">
        <f t="shared" si="56"/>
        <v>-5.31</v>
      </c>
      <c r="O388" t="s">
        <v>88</v>
      </c>
      <c r="P388">
        <v>4.8561899999999998</v>
      </c>
      <c r="S388">
        <f t="shared" si="58"/>
        <v>2.4188499999999999</v>
      </c>
      <c r="T388">
        <f t="shared" si="57"/>
        <v>-2.4373399999999998</v>
      </c>
      <c r="U388">
        <f t="shared" si="59"/>
        <v>35</v>
      </c>
      <c r="V388">
        <f t="shared" si="60"/>
        <v>-6.9638285714285708E-2</v>
      </c>
      <c r="W388">
        <f t="shared" si="55"/>
        <v>-696.38285714285712</v>
      </c>
      <c r="AC388">
        <v>1</v>
      </c>
    </row>
    <row r="389" spans="1:29" x14ac:dyDescent="0.3">
      <c r="A389" t="s">
        <v>82</v>
      </c>
      <c r="B389" t="s">
        <v>61</v>
      </c>
      <c r="C389">
        <v>2</v>
      </c>
      <c r="D389">
        <v>0.5</v>
      </c>
      <c r="E389" t="s">
        <v>31</v>
      </c>
      <c r="F389">
        <v>0.43647999999999998</v>
      </c>
      <c r="G389" s="1">
        <v>45903</v>
      </c>
      <c r="H389">
        <v>2.46441</v>
      </c>
      <c r="I389" s="1">
        <v>45938</v>
      </c>
      <c r="J389">
        <f t="shared" si="53"/>
        <v>63.617251162500004</v>
      </c>
      <c r="K389">
        <v>5.31</v>
      </c>
      <c r="M389">
        <f t="shared" si="61"/>
        <v>0</v>
      </c>
      <c r="N389">
        <f t="shared" si="56"/>
        <v>-5.31</v>
      </c>
      <c r="O389" t="s">
        <v>88</v>
      </c>
      <c r="P389">
        <v>4.0228000000000002</v>
      </c>
      <c r="S389">
        <f t="shared" si="58"/>
        <v>1.5583900000000002</v>
      </c>
      <c r="T389">
        <f t="shared" si="57"/>
        <v>-2.46441</v>
      </c>
      <c r="U389">
        <f t="shared" si="59"/>
        <v>35</v>
      </c>
      <c r="V389">
        <f t="shared" si="60"/>
        <v>-7.0411714285714286E-2</v>
      </c>
      <c r="W389">
        <f t="shared" si="55"/>
        <v>-704.11714285714288</v>
      </c>
      <c r="AC389">
        <v>1</v>
      </c>
    </row>
    <row r="390" spans="1:29" x14ac:dyDescent="0.3">
      <c r="A390" t="s">
        <v>82</v>
      </c>
      <c r="B390" t="s">
        <v>61</v>
      </c>
      <c r="C390">
        <v>2</v>
      </c>
      <c r="D390">
        <v>2</v>
      </c>
      <c r="E390" t="s">
        <v>28</v>
      </c>
      <c r="F390">
        <v>0.46031</v>
      </c>
      <c r="G390" s="1">
        <v>45903</v>
      </c>
      <c r="H390">
        <v>2.4522699999999999</v>
      </c>
      <c r="I390" s="1">
        <v>45938</v>
      </c>
      <c r="J390">
        <f t="shared" si="53"/>
        <v>63.617251162500004</v>
      </c>
      <c r="K390">
        <v>5.31</v>
      </c>
      <c r="M390">
        <f t="shared" si="61"/>
        <v>0</v>
      </c>
      <c r="N390">
        <f t="shared" si="56"/>
        <v>-5.31</v>
      </c>
      <c r="O390" t="s">
        <v>88</v>
      </c>
      <c r="P390">
        <v>3.3822299999999998</v>
      </c>
      <c r="S390">
        <f t="shared" si="58"/>
        <v>0.9299599999999999</v>
      </c>
      <c r="T390">
        <f t="shared" si="57"/>
        <v>-2.4522699999999999</v>
      </c>
      <c r="U390">
        <f t="shared" si="59"/>
        <v>35</v>
      </c>
      <c r="V390">
        <f t="shared" si="60"/>
        <v>-7.0064857142857137E-2</v>
      </c>
      <c r="W390">
        <f t="shared" si="55"/>
        <v>-700.64857142857136</v>
      </c>
      <c r="AC390" t="s">
        <v>86</v>
      </c>
    </row>
    <row r="391" spans="1:29" x14ac:dyDescent="0.3">
      <c r="A391" t="s">
        <v>82</v>
      </c>
      <c r="B391" t="s">
        <v>61</v>
      </c>
      <c r="C391">
        <v>2</v>
      </c>
      <c r="D391">
        <v>2</v>
      </c>
      <c r="E391" t="s">
        <v>30</v>
      </c>
      <c r="F391">
        <v>0.43647000000000002</v>
      </c>
      <c r="G391" s="1">
        <v>45903</v>
      </c>
      <c r="H391">
        <v>2.4676900000000002</v>
      </c>
      <c r="I391" s="1">
        <v>45938</v>
      </c>
      <c r="J391">
        <f t="shared" si="53"/>
        <v>63.617251162500004</v>
      </c>
      <c r="K391">
        <v>5.31</v>
      </c>
      <c r="M391">
        <f t="shared" si="61"/>
        <v>0</v>
      </c>
      <c r="N391">
        <f t="shared" si="56"/>
        <v>-5.31</v>
      </c>
      <c r="O391" t="s">
        <v>88</v>
      </c>
      <c r="P391">
        <v>3.3195000000000001</v>
      </c>
      <c r="S391">
        <f t="shared" si="58"/>
        <v>0.85180999999999996</v>
      </c>
      <c r="T391">
        <f t="shared" si="57"/>
        <v>-2.4676900000000002</v>
      </c>
      <c r="U391">
        <f t="shared" si="59"/>
        <v>35</v>
      </c>
      <c r="V391">
        <f t="shared" si="60"/>
        <v>-7.050542857142858E-2</v>
      </c>
      <c r="W391">
        <f t="shared" si="55"/>
        <v>-705.05428571428581</v>
      </c>
      <c r="AC391" t="s">
        <v>86</v>
      </c>
    </row>
    <row r="392" spans="1:29" x14ac:dyDescent="0.3">
      <c r="A392" t="s">
        <v>82</v>
      </c>
      <c r="B392" t="s">
        <v>61</v>
      </c>
      <c r="C392">
        <v>2</v>
      </c>
      <c r="D392">
        <v>2</v>
      </c>
      <c r="E392" t="s">
        <v>31</v>
      </c>
      <c r="F392">
        <v>0.45334999999999998</v>
      </c>
      <c r="G392" s="1">
        <v>45903</v>
      </c>
      <c r="H392">
        <v>2.4429099999999999</v>
      </c>
      <c r="I392" s="1">
        <v>45938</v>
      </c>
      <c r="J392">
        <f t="shared" si="53"/>
        <v>63.617251162500004</v>
      </c>
      <c r="K392">
        <v>5.31</v>
      </c>
      <c r="M392">
        <f t="shared" si="61"/>
        <v>0</v>
      </c>
      <c r="N392">
        <f t="shared" si="56"/>
        <v>-5.31</v>
      </c>
      <c r="O392" t="s">
        <v>88</v>
      </c>
      <c r="P392">
        <v>3.3416800000000002</v>
      </c>
      <c r="S392">
        <f t="shared" si="58"/>
        <v>0.89877000000000029</v>
      </c>
      <c r="T392">
        <f t="shared" si="57"/>
        <v>-2.4429099999999999</v>
      </c>
      <c r="U392">
        <f t="shared" si="59"/>
        <v>35</v>
      </c>
      <c r="V392">
        <f t="shared" si="60"/>
        <v>-6.9797428571428566E-2</v>
      </c>
      <c r="W392">
        <f t="shared" si="55"/>
        <v>-697.97428571428566</v>
      </c>
      <c r="AC392">
        <v>1</v>
      </c>
    </row>
    <row r="393" spans="1:29" x14ac:dyDescent="0.3">
      <c r="A393" t="s">
        <v>82</v>
      </c>
      <c r="B393" t="s">
        <v>61</v>
      </c>
      <c r="C393">
        <v>2</v>
      </c>
      <c r="D393">
        <v>6</v>
      </c>
      <c r="E393" t="s">
        <v>28</v>
      </c>
      <c r="F393">
        <v>0.43657000000000001</v>
      </c>
      <c r="G393" s="1">
        <v>45903</v>
      </c>
      <c r="H393">
        <v>2.4416099999999998</v>
      </c>
      <c r="I393" s="1">
        <v>45938</v>
      </c>
      <c r="J393">
        <f t="shared" si="53"/>
        <v>63.617251162500004</v>
      </c>
      <c r="K393">
        <v>5.31</v>
      </c>
      <c r="M393">
        <f t="shared" si="61"/>
        <v>0</v>
      </c>
      <c r="N393">
        <f t="shared" si="56"/>
        <v>-5.31</v>
      </c>
      <c r="O393" t="s">
        <v>88</v>
      </c>
      <c r="P393">
        <v>3.6836799999999998</v>
      </c>
      <c r="S393">
        <f t="shared" si="58"/>
        <v>1.24207</v>
      </c>
      <c r="T393">
        <f t="shared" si="57"/>
        <v>-2.4416099999999998</v>
      </c>
      <c r="U393">
        <f t="shared" si="59"/>
        <v>35</v>
      </c>
      <c r="V393">
        <f t="shared" si="60"/>
        <v>-6.9760285714285705E-2</v>
      </c>
      <c r="W393">
        <f t="shared" si="55"/>
        <v>-697.60285714285703</v>
      </c>
      <c r="AC393">
        <v>1</v>
      </c>
    </row>
    <row r="394" spans="1:29" x14ac:dyDescent="0.3">
      <c r="A394" t="s">
        <v>82</v>
      </c>
      <c r="B394" t="s">
        <v>61</v>
      </c>
      <c r="C394">
        <v>2</v>
      </c>
      <c r="D394">
        <v>6</v>
      </c>
      <c r="E394" t="s">
        <v>30</v>
      </c>
      <c r="F394">
        <v>0.45418999999999998</v>
      </c>
      <c r="G394" s="1">
        <v>45903</v>
      </c>
      <c r="H394">
        <v>2.4378000000000002</v>
      </c>
      <c r="I394" s="1">
        <v>45938</v>
      </c>
      <c r="J394">
        <f t="shared" si="53"/>
        <v>63.617251162500004</v>
      </c>
      <c r="K394">
        <v>5.31</v>
      </c>
      <c r="M394">
        <f t="shared" si="61"/>
        <v>0</v>
      </c>
      <c r="N394">
        <f t="shared" si="56"/>
        <v>-5.31</v>
      </c>
      <c r="O394" t="s">
        <v>88</v>
      </c>
      <c r="P394">
        <v>3.7976100000000002</v>
      </c>
      <c r="S394">
        <f t="shared" si="58"/>
        <v>1.35981</v>
      </c>
      <c r="T394">
        <f t="shared" si="57"/>
        <v>-2.4378000000000002</v>
      </c>
      <c r="U394">
        <f t="shared" si="59"/>
        <v>35</v>
      </c>
      <c r="V394">
        <f t="shared" si="60"/>
        <v>-6.9651428571428572E-2</v>
      </c>
      <c r="W394">
        <f t="shared" si="55"/>
        <v>-696.51428571428573</v>
      </c>
      <c r="AC394">
        <v>1</v>
      </c>
    </row>
    <row r="395" spans="1:29" x14ac:dyDescent="0.3">
      <c r="A395" t="s">
        <v>82</v>
      </c>
      <c r="B395" t="s">
        <v>61</v>
      </c>
      <c r="C395">
        <v>2</v>
      </c>
      <c r="D395">
        <v>6</v>
      </c>
      <c r="E395" t="s">
        <v>31</v>
      </c>
      <c r="F395">
        <v>0.43387999999999999</v>
      </c>
      <c r="G395" s="1">
        <v>45903</v>
      </c>
      <c r="H395">
        <v>2.45268</v>
      </c>
      <c r="I395" s="1">
        <v>45938</v>
      </c>
      <c r="J395">
        <f t="shared" si="53"/>
        <v>63.617251162500004</v>
      </c>
      <c r="K395">
        <v>5.31</v>
      </c>
      <c r="M395">
        <f t="shared" si="61"/>
        <v>0</v>
      </c>
      <c r="N395">
        <f t="shared" si="56"/>
        <v>-5.31</v>
      </c>
      <c r="O395" t="s">
        <v>88</v>
      </c>
      <c r="P395">
        <v>3.5362200000000001</v>
      </c>
      <c r="S395">
        <f t="shared" si="58"/>
        <v>1.0835400000000002</v>
      </c>
      <c r="T395">
        <f t="shared" si="57"/>
        <v>-2.45268</v>
      </c>
      <c r="U395">
        <f t="shared" si="59"/>
        <v>35</v>
      </c>
      <c r="V395">
        <f t="shared" si="60"/>
        <v>-7.0076571428571433E-2</v>
      </c>
      <c r="W395">
        <f t="shared" si="55"/>
        <v>-700.76571428571435</v>
      </c>
    </row>
    <row r="396" spans="1:29" x14ac:dyDescent="0.3">
      <c r="A396" t="s">
        <v>82</v>
      </c>
      <c r="B396" t="s">
        <v>61</v>
      </c>
      <c r="C396">
        <v>2</v>
      </c>
      <c r="D396">
        <v>12</v>
      </c>
      <c r="E396" t="s">
        <v>28</v>
      </c>
      <c r="F396">
        <v>0.45576</v>
      </c>
      <c r="G396" s="1">
        <v>45903</v>
      </c>
      <c r="H396">
        <v>2.42306</v>
      </c>
      <c r="I396" s="1">
        <v>45938</v>
      </c>
      <c r="J396">
        <f t="shared" si="53"/>
        <v>63.617251162500004</v>
      </c>
      <c r="K396">
        <v>5.31</v>
      </c>
      <c r="M396">
        <f t="shared" si="61"/>
        <v>0</v>
      </c>
      <c r="N396">
        <f t="shared" si="56"/>
        <v>-5.31</v>
      </c>
      <c r="O396" t="s">
        <v>88</v>
      </c>
      <c r="P396">
        <v>3.4392100000000001</v>
      </c>
      <c r="S396">
        <f t="shared" si="58"/>
        <v>1.0161500000000001</v>
      </c>
      <c r="T396">
        <f t="shared" si="57"/>
        <v>-2.42306</v>
      </c>
      <c r="U396">
        <f t="shared" si="59"/>
        <v>35</v>
      </c>
      <c r="V396">
        <f t="shared" si="60"/>
        <v>-6.9230285714285716E-2</v>
      </c>
      <c r="W396">
        <f t="shared" si="55"/>
        <v>-692.30285714285719</v>
      </c>
    </row>
    <row r="397" spans="1:29" x14ac:dyDescent="0.3">
      <c r="A397" t="s">
        <v>82</v>
      </c>
      <c r="B397" t="s">
        <v>61</v>
      </c>
      <c r="C397">
        <v>2</v>
      </c>
      <c r="D397">
        <v>12</v>
      </c>
      <c r="E397" t="s">
        <v>30</v>
      </c>
      <c r="F397">
        <v>0.43391999999999997</v>
      </c>
      <c r="G397" s="1">
        <v>45903</v>
      </c>
      <c r="H397">
        <v>2.4551799999999999</v>
      </c>
      <c r="I397" s="1">
        <v>45938</v>
      </c>
      <c r="J397">
        <f t="shared" si="53"/>
        <v>63.617251162500004</v>
      </c>
      <c r="K397">
        <v>5.31</v>
      </c>
      <c r="M397">
        <f t="shared" si="61"/>
        <v>0</v>
      </c>
      <c r="N397">
        <f t="shared" si="56"/>
        <v>-5.31</v>
      </c>
      <c r="O397" t="s">
        <v>88</v>
      </c>
      <c r="P397">
        <v>3.5856499999999998</v>
      </c>
      <c r="S397">
        <f t="shared" si="58"/>
        <v>1.1304699999999999</v>
      </c>
      <c r="T397">
        <f t="shared" si="57"/>
        <v>-2.4551799999999999</v>
      </c>
      <c r="U397">
        <f t="shared" si="59"/>
        <v>35</v>
      </c>
      <c r="V397">
        <f t="shared" si="60"/>
        <v>-7.0148000000000002E-2</v>
      </c>
      <c r="W397">
        <f t="shared" si="55"/>
        <v>-701.48</v>
      </c>
    </row>
    <row r="398" spans="1:29" x14ac:dyDescent="0.3">
      <c r="A398" t="s">
        <v>82</v>
      </c>
      <c r="B398" t="s">
        <v>61</v>
      </c>
      <c r="C398">
        <v>2</v>
      </c>
      <c r="D398">
        <v>12</v>
      </c>
      <c r="E398" t="s">
        <v>31</v>
      </c>
      <c r="F398">
        <v>0.43724000000000002</v>
      </c>
      <c r="G398" s="1">
        <v>45903</v>
      </c>
      <c r="H398">
        <v>2.43553</v>
      </c>
      <c r="I398" s="1">
        <v>45938</v>
      </c>
      <c r="J398">
        <f t="shared" si="53"/>
        <v>63.617251162500004</v>
      </c>
      <c r="K398">
        <v>5.31</v>
      </c>
      <c r="M398">
        <f t="shared" si="61"/>
        <v>0</v>
      </c>
      <c r="N398">
        <f t="shared" si="56"/>
        <v>-5.31</v>
      </c>
      <c r="O398" t="s">
        <v>88</v>
      </c>
      <c r="P398">
        <v>3.3946800000000001</v>
      </c>
      <c r="S398">
        <f t="shared" si="58"/>
        <v>0.95915000000000017</v>
      </c>
      <c r="T398">
        <f t="shared" si="57"/>
        <v>-2.43553</v>
      </c>
      <c r="U398">
        <f t="shared" si="59"/>
        <v>35</v>
      </c>
      <c r="V398">
        <f t="shared" si="60"/>
        <v>-6.9586571428571428E-2</v>
      </c>
      <c r="W398">
        <f t="shared" si="55"/>
        <v>-695.86571428571426</v>
      </c>
    </row>
    <row r="399" spans="1:29" x14ac:dyDescent="0.3">
      <c r="A399" t="s">
        <v>82</v>
      </c>
      <c r="B399" t="s">
        <v>61</v>
      </c>
      <c r="C399">
        <v>2</v>
      </c>
      <c r="D399">
        <v>24</v>
      </c>
      <c r="E399" t="s">
        <v>28</v>
      </c>
      <c r="F399">
        <v>0.45857999999999999</v>
      </c>
      <c r="G399" s="1">
        <v>45903</v>
      </c>
      <c r="H399">
        <v>2.46671</v>
      </c>
      <c r="I399" s="1">
        <v>45938</v>
      </c>
      <c r="J399">
        <f t="shared" si="53"/>
        <v>63.617251162500004</v>
      </c>
      <c r="K399">
        <v>5.31</v>
      </c>
      <c r="M399">
        <f t="shared" si="61"/>
        <v>0</v>
      </c>
      <c r="N399">
        <f t="shared" si="56"/>
        <v>-5.31</v>
      </c>
      <c r="O399" t="s">
        <v>88</v>
      </c>
      <c r="P399">
        <v>3.2623000000000002</v>
      </c>
      <c r="S399">
        <f t="shared" si="58"/>
        <v>0.79559000000000024</v>
      </c>
      <c r="T399">
        <f t="shared" si="57"/>
        <v>-2.46671</v>
      </c>
      <c r="U399">
        <f t="shared" si="59"/>
        <v>35</v>
      </c>
      <c r="V399">
        <f t="shared" si="60"/>
        <v>-7.0477428571428566E-2</v>
      </c>
      <c r="W399">
        <f t="shared" si="55"/>
        <v>-704.77428571428561</v>
      </c>
    </row>
    <row r="400" spans="1:29" x14ac:dyDescent="0.3">
      <c r="A400" t="s">
        <v>82</v>
      </c>
      <c r="B400" t="s">
        <v>61</v>
      </c>
      <c r="C400">
        <v>2</v>
      </c>
      <c r="D400">
        <v>24</v>
      </c>
      <c r="E400" t="s">
        <v>30</v>
      </c>
      <c r="F400">
        <v>0.43869000000000002</v>
      </c>
      <c r="G400" s="1">
        <v>45903</v>
      </c>
      <c r="H400">
        <v>2.4723000000000002</v>
      </c>
      <c r="I400" s="1">
        <v>45938</v>
      </c>
      <c r="J400">
        <f t="shared" si="53"/>
        <v>63.617251162500004</v>
      </c>
      <c r="K400">
        <v>5.31</v>
      </c>
      <c r="M400">
        <f t="shared" si="61"/>
        <v>0</v>
      </c>
      <c r="N400">
        <f t="shared" si="56"/>
        <v>-5.31</v>
      </c>
      <c r="O400" t="s">
        <v>88</v>
      </c>
      <c r="P400">
        <v>3.2071499999999999</v>
      </c>
      <c r="S400">
        <f t="shared" si="58"/>
        <v>0.73484999999999978</v>
      </c>
      <c r="T400">
        <f t="shared" si="57"/>
        <v>-2.4723000000000002</v>
      </c>
      <c r="U400">
        <f t="shared" si="59"/>
        <v>35</v>
      </c>
      <c r="V400">
        <f t="shared" si="60"/>
        <v>-7.0637142857142857E-2</v>
      </c>
      <c r="W400">
        <f t="shared" si="55"/>
        <v>-706.37142857142862</v>
      </c>
    </row>
    <row r="401" spans="1:29" x14ac:dyDescent="0.3">
      <c r="A401" t="s">
        <v>82</v>
      </c>
      <c r="B401" t="s">
        <v>61</v>
      </c>
      <c r="C401">
        <v>2</v>
      </c>
      <c r="D401">
        <v>24</v>
      </c>
      <c r="E401" t="s">
        <v>31</v>
      </c>
      <c r="F401">
        <v>0.45833000000000002</v>
      </c>
      <c r="G401" s="1">
        <v>45903</v>
      </c>
      <c r="H401">
        <v>2.4693999999999998</v>
      </c>
      <c r="I401" s="1">
        <v>45938</v>
      </c>
      <c r="J401">
        <f t="shared" si="53"/>
        <v>63.617251162500004</v>
      </c>
      <c r="K401">
        <v>5.31</v>
      </c>
      <c r="M401">
        <f t="shared" si="61"/>
        <v>0</v>
      </c>
      <c r="N401">
        <f t="shared" si="56"/>
        <v>-5.31</v>
      </c>
      <c r="O401" t="s">
        <v>88</v>
      </c>
      <c r="P401">
        <v>3.2579500000000001</v>
      </c>
      <c r="S401">
        <f t="shared" si="58"/>
        <v>0.78855000000000031</v>
      </c>
      <c r="T401">
        <f t="shared" si="57"/>
        <v>-2.4693999999999998</v>
      </c>
      <c r="U401">
        <f t="shared" si="59"/>
        <v>35</v>
      </c>
      <c r="V401">
        <f t="shared" si="60"/>
        <v>-7.0554285714285708E-2</v>
      </c>
      <c r="W401">
        <f t="shared" si="55"/>
        <v>-705.54285714285709</v>
      </c>
    </row>
    <row r="402" spans="1:29" x14ac:dyDescent="0.3">
      <c r="A402" t="s">
        <v>82</v>
      </c>
      <c r="B402" t="s">
        <v>61</v>
      </c>
      <c r="C402">
        <v>2</v>
      </c>
      <c r="D402">
        <v>48</v>
      </c>
      <c r="E402" t="s">
        <v>28</v>
      </c>
      <c r="F402">
        <v>0.43672</v>
      </c>
      <c r="G402" s="1">
        <v>45903</v>
      </c>
      <c r="H402">
        <v>2.4464999999999999</v>
      </c>
      <c r="I402" s="1">
        <v>45938</v>
      </c>
      <c r="J402">
        <f t="shared" si="53"/>
        <v>63.617251162500004</v>
      </c>
      <c r="K402">
        <v>5.31</v>
      </c>
      <c r="M402">
        <f t="shared" si="61"/>
        <v>0</v>
      </c>
      <c r="N402">
        <f t="shared" si="56"/>
        <v>-5.31</v>
      </c>
      <c r="O402" t="s">
        <v>88</v>
      </c>
      <c r="P402">
        <v>3.3178999999999998</v>
      </c>
      <c r="S402">
        <f t="shared" si="58"/>
        <v>0.87139999999999995</v>
      </c>
      <c r="T402">
        <f t="shared" si="57"/>
        <v>-2.4464999999999999</v>
      </c>
      <c r="U402">
        <f t="shared" si="59"/>
        <v>35</v>
      </c>
      <c r="V402">
        <f t="shared" si="60"/>
        <v>-6.9900000000000004E-2</v>
      </c>
      <c r="W402">
        <f t="shared" si="55"/>
        <v>-699</v>
      </c>
    </row>
    <row r="403" spans="1:29" x14ac:dyDescent="0.3">
      <c r="A403" t="s">
        <v>82</v>
      </c>
      <c r="B403" t="s">
        <v>61</v>
      </c>
      <c r="C403">
        <v>2</v>
      </c>
      <c r="D403">
        <v>48</v>
      </c>
      <c r="E403" t="s">
        <v>30</v>
      </c>
      <c r="F403">
        <v>0.45978000000000002</v>
      </c>
      <c r="G403" s="1">
        <v>45903</v>
      </c>
      <c r="H403">
        <v>2.4632000000000001</v>
      </c>
      <c r="I403" s="1">
        <v>45938</v>
      </c>
      <c r="J403">
        <f t="shared" si="53"/>
        <v>63.617251162500004</v>
      </c>
      <c r="K403">
        <v>5.31</v>
      </c>
      <c r="M403">
        <f t="shared" si="61"/>
        <v>0</v>
      </c>
      <c r="N403">
        <f t="shared" si="56"/>
        <v>-5.31</v>
      </c>
      <c r="O403" t="s">
        <v>88</v>
      </c>
      <c r="P403">
        <v>3.37845</v>
      </c>
      <c r="S403">
        <f t="shared" si="58"/>
        <v>0.9152499999999999</v>
      </c>
      <c r="T403">
        <f t="shared" si="57"/>
        <v>-2.4632000000000001</v>
      </c>
      <c r="U403">
        <f t="shared" si="59"/>
        <v>35</v>
      </c>
      <c r="V403">
        <f t="shared" si="60"/>
        <v>-7.037714285714286E-2</v>
      </c>
      <c r="W403">
        <f t="shared" si="55"/>
        <v>-703.7714285714286</v>
      </c>
    </row>
    <row r="404" spans="1:29" x14ac:dyDescent="0.3">
      <c r="A404" t="s">
        <v>82</v>
      </c>
      <c r="B404" t="s">
        <v>61</v>
      </c>
      <c r="C404">
        <v>2</v>
      </c>
      <c r="D404">
        <v>48</v>
      </c>
      <c r="E404" t="s">
        <v>31</v>
      </c>
      <c r="F404">
        <v>0.437</v>
      </c>
      <c r="G404" s="1">
        <v>45903</v>
      </c>
      <c r="H404">
        <v>2.44997</v>
      </c>
      <c r="I404" s="1">
        <v>45938</v>
      </c>
      <c r="J404">
        <f t="shared" si="53"/>
        <v>63.617251162500004</v>
      </c>
      <c r="K404">
        <v>5.31</v>
      </c>
      <c r="M404">
        <f t="shared" si="61"/>
        <v>0</v>
      </c>
      <c r="N404">
        <f t="shared" si="56"/>
        <v>-5.31</v>
      </c>
      <c r="O404" t="s">
        <v>88</v>
      </c>
      <c r="P404">
        <v>3.4711500000000002</v>
      </c>
      <c r="S404">
        <f t="shared" si="58"/>
        <v>1.0211800000000002</v>
      </c>
      <c r="T404">
        <f t="shared" si="57"/>
        <v>-2.44997</v>
      </c>
      <c r="U404">
        <f t="shared" si="59"/>
        <v>35</v>
      </c>
      <c r="V404">
        <f t="shared" si="60"/>
        <v>-6.9999142857142857E-2</v>
      </c>
      <c r="W404">
        <f t="shared" si="55"/>
        <v>-699.99142857142851</v>
      </c>
    </row>
    <row r="405" spans="1:29" x14ac:dyDescent="0.3">
      <c r="A405" t="s">
        <v>82</v>
      </c>
      <c r="B405" t="s">
        <v>61</v>
      </c>
      <c r="E405" t="s">
        <v>36</v>
      </c>
      <c r="F405">
        <v>0.42207</v>
      </c>
      <c r="G405" s="1">
        <v>45903</v>
      </c>
      <c r="H405">
        <v>2.4679600000000002</v>
      </c>
      <c r="I405" s="1">
        <v>45938</v>
      </c>
      <c r="J405">
        <f t="shared" si="53"/>
        <v>63.617251162500004</v>
      </c>
      <c r="K405">
        <v>5.31</v>
      </c>
      <c r="M405">
        <f t="shared" si="61"/>
        <v>0</v>
      </c>
      <c r="N405">
        <f t="shared" si="56"/>
        <v>-5.31</v>
      </c>
      <c r="O405" t="s">
        <v>88</v>
      </c>
      <c r="P405">
        <v>2.4659200000000001</v>
      </c>
      <c r="S405">
        <f t="shared" si="58"/>
        <v>-2.0400000000000418E-3</v>
      </c>
      <c r="T405">
        <f t="shared" si="57"/>
        <v>-2.4679600000000002</v>
      </c>
      <c r="U405">
        <f t="shared" si="59"/>
        <v>35</v>
      </c>
      <c r="V405">
        <f t="shared" si="60"/>
        <v>-7.0513142857142858E-2</v>
      </c>
      <c r="W405">
        <f t="shared" si="55"/>
        <v>-705.13142857142861</v>
      </c>
      <c r="AC405" t="s">
        <v>92</v>
      </c>
    </row>
    <row r="406" spans="1:29" x14ac:dyDescent="0.3">
      <c r="A406" t="s">
        <v>82</v>
      </c>
      <c r="B406" t="s">
        <v>61</v>
      </c>
      <c r="E406" t="s">
        <v>39</v>
      </c>
      <c r="F406">
        <v>0.45390999999999998</v>
      </c>
      <c r="G406" s="1">
        <v>45903</v>
      </c>
      <c r="H406">
        <v>2.4657499999999999</v>
      </c>
      <c r="I406" s="1">
        <v>45938</v>
      </c>
      <c r="J406">
        <f t="shared" si="53"/>
        <v>63.617251162500004</v>
      </c>
      <c r="K406">
        <v>5.31</v>
      </c>
      <c r="M406">
        <f t="shared" si="61"/>
        <v>0</v>
      </c>
      <c r="N406">
        <f t="shared" si="56"/>
        <v>-5.31</v>
      </c>
      <c r="O406" t="s">
        <v>88</v>
      </c>
      <c r="P406">
        <v>2.4628199999999998</v>
      </c>
      <c r="S406">
        <f t="shared" si="58"/>
        <v>-2.9300000000000992E-3</v>
      </c>
      <c r="T406">
        <f t="shared" si="57"/>
        <v>-2.4657499999999999</v>
      </c>
      <c r="U406">
        <f t="shared" si="59"/>
        <v>35</v>
      </c>
      <c r="V406">
        <f t="shared" si="60"/>
        <v>-7.0449999999999999E-2</v>
      </c>
      <c r="W406">
        <f t="shared" si="55"/>
        <v>-704.5</v>
      </c>
      <c r="AC406" t="s">
        <v>92</v>
      </c>
    </row>
    <row r="407" spans="1:29" x14ac:dyDescent="0.3">
      <c r="A407" t="s">
        <v>82</v>
      </c>
      <c r="B407" t="s">
        <v>61</v>
      </c>
      <c r="E407" t="s">
        <v>41</v>
      </c>
      <c r="F407">
        <v>0.45300000000000001</v>
      </c>
      <c r="G407" s="1">
        <v>45903</v>
      </c>
      <c r="H407">
        <v>2.4654799999999999</v>
      </c>
      <c r="I407" s="1">
        <v>45938</v>
      </c>
      <c r="J407">
        <f t="shared" si="53"/>
        <v>63.617251162500004</v>
      </c>
      <c r="K407">
        <v>5.31</v>
      </c>
      <c r="M407">
        <f t="shared" si="61"/>
        <v>0</v>
      </c>
      <c r="N407">
        <f t="shared" ref="N407:N470" si="62">L407*J407-K407</f>
        <v>-5.31</v>
      </c>
      <c r="O407" t="s">
        <v>88</v>
      </c>
      <c r="P407">
        <v>2.4640300000000002</v>
      </c>
      <c r="S407">
        <f t="shared" si="58"/>
        <v>-1.4499999999997293E-3</v>
      </c>
      <c r="T407">
        <f t="shared" si="57"/>
        <v>-2.4654799999999999</v>
      </c>
      <c r="U407">
        <f t="shared" si="59"/>
        <v>35</v>
      </c>
      <c r="V407">
        <f t="shared" si="60"/>
        <v>-7.0442285714285707E-2</v>
      </c>
      <c r="W407">
        <f t="shared" si="55"/>
        <v>-704.42285714285708</v>
      </c>
      <c r="AC407" t="s">
        <v>92</v>
      </c>
    </row>
    <row r="408" spans="1:29" x14ac:dyDescent="0.3">
      <c r="A408" t="s">
        <v>82</v>
      </c>
      <c r="B408" t="s">
        <v>61</v>
      </c>
      <c r="E408" t="s">
        <v>43</v>
      </c>
      <c r="F408">
        <v>0.43370999999999998</v>
      </c>
      <c r="G408" s="1">
        <v>45903</v>
      </c>
      <c r="H408">
        <v>2.4547300000000001</v>
      </c>
      <c r="I408" s="1">
        <v>45938</v>
      </c>
      <c r="J408">
        <f t="shared" si="53"/>
        <v>63.617251162500004</v>
      </c>
      <c r="K408">
        <v>5.31</v>
      </c>
      <c r="M408">
        <f t="shared" si="61"/>
        <v>0</v>
      </c>
      <c r="N408">
        <f t="shared" si="62"/>
        <v>-5.31</v>
      </c>
      <c r="O408" t="s">
        <v>88</v>
      </c>
      <c r="P408">
        <v>2.4523299999999999</v>
      </c>
      <c r="S408">
        <f t="shared" si="58"/>
        <v>-2.4000000000001798E-3</v>
      </c>
      <c r="T408">
        <f t="shared" si="57"/>
        <v>-2.4547300000000001</v>
      </c>
      <c r="U408">
        <f t="shared" si="59"/>
        <v>35</v>
      </c>
      <c r="V408">
        <f t="shared" si="60"/>
        <v>-7.0135142857142854E-2</v>
      </c>
      <c r="W408">
        <f t="shared" si="55"/>
        <v>-701.35142857142853</v>
      </c>
      <c r="AC408" t="s">
        <v>92</v>
      </c>
    </row>
    <row r="409" spans="1:29" x14ac:dyDescent="0.3">
      <c r="A409" t="s">
        <v>82</v>
      </c>
      <c r="B409" t="s">
        <v>51</v>
      </c>
      <c r="C409">
        <v>1</v>
      </c>
      <c r="D409">
        <v>0.5</v>
      </c>
      <c r="E409" t="s">
        <v>64</v>
      </c>
      <c r="F409">
        <v>0.45413999999999999</v>
      </c>
      <c r="G409" s="1">
        <v>45906</v>
      </c>
      <c r="H409">
        <v>2.4670800000000002</v>
      </c>
      <c r="I409" s="1">
        <v>45937</v>
      </c>
      <c r="J409">
        <f t="shared" si="53"/>
        <v>63.617251162500004</v>
      </c>
      <c r="K409">
        <v>5.31</v>
      </c>
      <c r="M409">
        <f t="shared" si="61"/>
        <v>0</v>
      </c>
      <c r="N409">
        <f t="shared" si="62"/>
        <v>-5.31</v>
      </c>
      <c r="O409" t="s">
        <v>91</v>
      </c>
      <c r="P409">
        <v>3.3553999999999999</v>
      </c>
      <c r="S409">
        <f t="shared" si="58"/>
        <v>0.88831999999999978</v>
      </c>
      <c r="T409">
        <f t="shared" si="57"/>
        <v>-2.4670800000000002</v>
      </c>
      <c r="U409">
        <f t="shared" si="59"/>
        <v>31</v>
      </c>
      <c r="V409">
        <f t="shared" si="60"/>
        <v>-7.9583225806451621E-2</v>
      </c>
      <c r="W409">
        <f t="shared" si="55"/>
        <v>-795.83225806451617</v>
      </c>
    </row>
    <row r="410" spans="1:29" x14ac:dyDescent="0.3">
      <c r="A410" t="s">
        <v>82</v>
      </c>
      <c r="B410" t="s">
        <v>51</v>
      </c>
      <c r="C410">
        <v>1</v>
      </c>
      <c r="D410">
        <v>0.5</v>
      </c>
      <c r="E410" t="s">
        <v>30</v>
      </c>
      <c r="F410">
        <v>0.43461</v>
      </c>
      <c r="G410" s="1">
        <v>45906</v>
      </c>
      <c r="H410">
        <v>2.4953799999999999</v>
      </c>
      <c r="I410" s="1">
        <v>45937</v>
      </c>
      <c r="J410">
        <f t="shared" si="53"/>
        <v>63.617251162500004</v>
      </c>
      <c r="K410">
        <v>5.31</v>
      </c>
      <c r="M410">
        <f t="shared" si="61"/>
        <v>0</v>
      </c>
      <c r="N410">
        <f t="shared" si="62"/>
        <v>-5.31</v>
      </c>
      <c r="O410" t="s">
        <v>91</v>
      </c>
      <c r="P410">
        <v>3.3584000000000001</v>
      </c>
      <c r="S410">
        <f t="shared" si="58"/>
        <v>0.86302000000000012</v>
      </c>
      <c r="T410">
        <f t="shared" si="57"/>
        <v>-2.4953799999999999</v>
      </c>
      <c r="U410">
        <f t="shared" si="59"/>
        <v>31</v>
      </c>
      <c r="V410">
        <f t="shared" si="60"/>
        <v>-8.0496129032258057E-2</v>
      </c>
      <c r="W410">
        <f t="shared" si="55"/>
        <v>-804.96129032258057</v>
      </c>
    </row>
    <row r="411" spans="1:29" x14ac:dyDescent="0.3">
      <c r="A411" t="s">
        <v>82</v>
      </c>
      <c r="B411" t="s">
        <v>51</v>
      </c>
      <c r="C411">
        <v>1</v>
      </c>
      <c r="D411">
        <v>0.5</v>
      </c>
      <c r="E411" t="s">
        <v>31</v>
      </c>
      <c r="F411">
        <v>0.45561000000000001</v>
      </c>
      <c r="G411" s="1">
        <v>45906</v>
      </c>
      <c r="H411">
        <v>2.4341200000000001</v>
      </c>
      <c r="I411" s="1">
        <v>45937</v>
      </c>
      <c r="J411">
        <f t="shared" si="53"/>
        <v>63.617251162500004</v>
      </c>
      <c r="K411">
        <v>5.31</v>
      </c>
      <c r="M411">
        <f t="shared" si="61"/>
        <v>0</v>
      </c>
      <c r="N411">
        <f t="shared" si="62"/>
        <v>-5.31</v>
      </c>
      <c r="O411" t="s">
        <v>91</v>
      </c>
      <c r="P411">
        <v>3.33053</v>
      </c>
      <c r="S411">
        <f t="shared" si="58"/>
        <v>0.89640999999999993</v>
      </c>
      <c r="T411">
        <f t="shared" si="57"/>
        <v>-2.4341200000000001</v>
      </c>
      <c r="U411">
        <f t="shared" si="59"/>
        <v>31</v>
      </c>
      <c r="V411">
        <f t="shared" si="60"/>
        <v>-7.8520000000000006E-2</v>
      </c>
      <c r="W411">
        <f t="shared" si="55"/>
        <v>-785.2</v>
      </c>
    </row>
    <row r="412" spans="1:29" s="7" customFormat="1" x14ac:dyDescent="0.3">
      <c r="A412" t="s">
        <v>82</v>
      </c>
      <c r="B412" s="7" t="s">
        <v>51</v>
      </c>
      <c r="C412" s="7">
        <v>1</v>
      </c>
      <c r="D412" s="7">
        <v>2</v>
      </c>
      <c r="E412" s="7" t="s">
        <v>64</v>
      </c>
      <c r="F412" s="7">
        <v>0.43545</v>
      </c>
      <c r="G412" s="10">
        <v>45906</v>
      </c>
      <c r="H412" s="7">
        <v>2.4345500000000002</v>
      </c>
      <c r="I412" s="10">
        <v>45937</v>
      </c>
      <c r="J412" s="7">
        <f t="shared" si="53"/>
        <v>63.617251162500004</v>
      </c>
      <c r="K412" s="7">
        <v>5.31</v>
      </c>
      <c r="M412">
        <f t="shared" si="61"/>
        <v>0</v>
      </c>
      <c r="N412">
        <f t="shared" si="62"/>
        <v>-5.31</v>
      </c>
      <c r="O412" t="s">
        <v>91</v>
      </c>
      <c r="P412" s="7">
        <v>3.4335</v>
      </c>
      <c r="S412">
        <f t="shared" si="58"/>
        <v>0.99894999999999978</v>
      </c>
      <c r="T412">
        <f t="shared" si="57"/>
        <v>-2.4345500000000002</v>
      </c>
      <c r="U412">
        <f t="shared" si="59"/>
        <v>31</v>
      </c>
      <c r="V412">
        <f t="shared" si="60"/>
        <v>-7.8533870967741948E-2</v>
      </c>
      <c r="W412">
        <f t="shared" si="55"/>
        <v>-785.3387096774195</v>
      </c>
      <c r="AC412" s="7" t="s">
        <v>94</v>
      </c>
    </row>
    <row r="413" spans="1:29" s="7" customFormat="1" x14ac:dyDescent="0.3">
      <c r="A413" t="s">
        <v>82</v>
      </c>
      <c r="B413" s="7" t="s">
        <v>51</v>
      </c>
      <c r="C413" s="7">
        <v>1</v>
      </c>
      <c r="D413" s="7">
        <v>2</v>
      </c>
      <c r="E413" s="7" t="s">
        <v>30</v>
      </c>
      <c r="F413" s="7">
        <v>0.45130999999999999</v>
      </c>
      <c r="G413" s="10">
        <v>45906</v>
      </c>
      <c r="H413" s="7">
        <v>2.44313</v>
      </c>
      <c r="I413" s="10">
        <v>45937</v>
      </c>
      <c r="J413" s="7">
        <f t="shared" si="53"/>
        <v>63.617251162500004</v>
      </c>
      <c r="K413" s="7">
        <v>5.31</v>
      </c>
      <c r="M413">
        <f t="shared" si="61"/>
        <v>0</v>
      </c>
      <c r="N413">
        <f t="shared" si="62"/>
        <v>-5.31</v>
      </c>
      <c r="O413" t="s">
        <v>91</v>
      </c>
      <c r="P413" s="7">
        <v>9.0913000000000004</v>
      </c>
      <c r="S413">
        <f t="shared" si="58"/>
        <v>6.6481700000000004</v>
      </c>
      <c r="T413">
        <f t="shared" si="57"/>
        <v>-2.44313</v>
      </c>
      <c r="U413">
        <f t="shared" si="59"/>
        <v>31</v>
      </c>
      <c r="V413">
        <f t="shared" si="60"/>
        <v>-7.8810645161290327E-2</v>
      </c>
      <c r="W413">
        <f t="shared" si="55"/>
        <v>-788.10645161290324</v>
      </c>
      <c r="AC413" s="7" t="s">
        <v>94</v>
      </c>
    </row>
    <row r="414" spans="1:29" s="7" customFormat="1" x14ac:dyDescent="0.3">
      <c r="A414" t="s">
        <v>82</v>
      </c>
      <c r="B414" s="7" t="s">
        <v>51</v>
      </c>
      <c r="C414" s="7">
        <v>1</v>
      </c>
      <c r="D414" s="7">
        <v>2</v>
      </c>
      <c r="E414" s="7" t="s">
        <v>31</v>
      </c>
      <c r="F414" s="7">
        <v>0.43336999999999998</v>
      </c>
      <c r="G414" s="10">
        <v>45906</v>
      </c>
      <c r="H414" s="7">
        <v>2.4623599999999999</v>
      </c>
      <c r="I414" s="10">
        <v>45937</v>
      </c>
      <c r="J414" s="7">
        <f t="shared" si="53"/>
        <v>63.617251162500004</v>
      </c>
      <c r="K414" s="7">
        <v>5.31</v>
      </c>
      <c r="M414">
        <f t="shared" si="61"/>
        <v>0</v>
      </c>
      <c r="N414">
        <f t="shared" si="62"/>
        <v>-5.31</v>
      </c>
      <c r="O414" t="s">
        <v>91</v>
      </c>
      <c r="P414" s="7">
        <v>15.1226</v>
      </c>
      <c r="S414">
        <f t="shared" si="58"/>
        <v>12.66024</v>
      </c>
      <c r="T414">
        <f t="shared" si="57"/>
        <v>-2.4623599999999999</v>
      </c>
      <c r="U414">
        <f t="shared" si="59"/>
        <v>31</v>
      </c>
      <c r="V414">
        <f t="shared" si="60"/>
        <v>-7.9430967741935476E-2</v>
      </c>
      <c r="W414">
        <f t="shared" si="55"/>
        <v>-794.30967741935478</v>
      </c>
      <c r="AC414" s="7" t="s">
        <v>94</v>
      </c>
    </row>
    <row r="415" spans="1:29" s="7" customFormat="1" x14ac:dyDescent="0.3">
      <c r="A415" t="s">
        <v>82</v>
      </c>
      <c r="B415" s="7" t="s">
        <v>51</v>
      </c>
      <c r="C415" s="7">
        <v>1</v>
      </c>
      <c r="D415" s="7">
        <v>6</v>
      </c>
      <c r="E415" s="7" t="s">
        <v>64</v>
      </c>
      <c r="F415" s="7">
        <v>0.4385</v>
      </c>
      <c r="G415" s="10">
        <v>45906</v>
      </c>
      <c r="H415" s="7">
        <v>2.4586000000000001</v>
      </c>
      <c r="I415" s="10">
        <v>45937</v>
      </c>
      <c r="J415" s="7">
        <f t="shared" si="53"/>
        <v>63.617251162500004</v>
      </c>
      <c r="K415" s="7">
        <v>5.31</v>
      </c>
      <c r="M415">
        <f t="shared" si="61"/>
        <v>0</v>
      </c>
      <c r="N415">
        <f t="shared" si="62"/>
        <v>-5.31</v>
      </c>
      <c r="O415" t="s">
        <v>91</v>
      </c>
      <c r="P415" s="7">
        <v>4.0481499999999997</v>
      </c>
      <c r="S415">
        <f t="shared" si="58"/>
        <v>1.5895499999999996</v>
      </c>
      <c r="T415">
        <f t="shared" si="57"/>
        <v>-2.4586000000000001</v>
      </c>
      <c r="U415">
        <f t="shared" si="59"/>
        <v>31</v>
      </c>
      <c r="V415">
        <f t="shared" si="60"/>
        <v>-7.9309677419354838E-2</v>
      </c>
      <c r="W415">
        <f t="shared" si="55"/>
        <v>-793.09677419354841</v>
      </c>
      <c r="AC415" s="7" t="s">
        <v>94</v>
      </c>
    </row>
    <row r="416" spans="1:29" s="7" customFormat="1" x14ac:dyDescent="0.3">
      <c r="A416" t="s">
        <v>82</v>
      </c>
      <c r="B416" s="7" t="s">
        <v>51</v>
      </c>
      <c r="C416" s="7">
        <v>1</v>
      </c>
      <c r="D416" s="7">
        <v>6</v>
      </c>
      <c r="E416" s="7" t="s">
        <v>30</v>
      </c>
      <c r="F416" s="7">
        <v>0.45848</v>
      </c>
      <c r="G416" s="10">
        <v>45906</v>
      </c>
      <c r="H416" s="7">
        <v>2.4733000000000001</v>
      </c>
      <c r="I416" s="10">
        <v>45937</v>
      </c>
      <c r="J416" s="7">
        <f t="shared" si="53"/>
        <v>63.617251162500004</v>
      </c>
      <c r="K416" s="7">
        <v>5.31</v>
      </c>
      <c r="M416">
        <f t="shared" si="61"/>
        <v>0</v>
      </c>
      <c r="N416">
        <f t="shared" si="62"/>
        <v>-5.31</v>
      </c>
      <c r="O416" t="s">
        <v>91</v>
      </c>
      <c r="P416" s="7">
        <v>4.2914399999999997</v>
      </c>
      <c r="S416">
        <f t="shared" si="58"/>
        <v>1.8181399999999996</v>
      </c>
      <c r="T416">
        <f t="shared" si="57"/>
        <v>-2.4733000000000001</v>
      </c>
      <c r="U416">
        <f t="shared" si="59"/>
        <v>31</v>
      </c>
      <c r="V416">
        <f t="shared" si="60"/>
        <v>-7.9783870967741935E-2</v>
      </c>
      <c r="W416">
        <f t="shared" si="55"/>
        <v>-797.83870967741939</v>
      </c>
      <c r="AC416" s="7" t="s">
        <v>94</v>
      </c>
    </row>
    <row r="417" spans="1:29" s="7" customFormat="1" x14ac:dyDescent="0.3">
      <c r="A417" t="s">
        <v>82</v>
      </c>
      <c r="B417" s="7" t="s">
        <v>51</v>
      </c>
      <c r="C417" s="7">
        <v>1</v>
      </c>
      <c r="D417" s="7">
        <v>6</v>
      </c>
      <c r="E417" s="7" t="s">
        <v>31</v>
      </c>
      <c r="F417" s="7">
        <v>0.43640000000000001</v>
      </c>
      <c r="G417" s="10">
        <v>45906</v>
      </c>
      <c r="H417" s="7">
        <v>2.4745599999999999</v>
      </c>
      <c r="I417" s="10">
        <v>45937</v>
      </c>
      <c r="J417" s="7">
        <f t="shared" si="53"/>
        <v>63.617251162500004</v>
      </c>
      <c r="K417" s="7">
        <v>5.31</v>
      </c>
      <c r="M417">
        <f t="shared" si="61"/>
        <v>0</v>
      </c>
      <c r="N417">
        <f t="shared" si="62"/>
        <v>-5.31</v>
      </c>
      <c r="O417" t="s">
        <v>91</v>
      </c>
      <c r="P417" s="7">
        <v>4.1314500000000001</v>
      </c>
      <c r="S417">
        <f t="shared" si="58"/>
        <v>1.6568900000000002</v>
      </c>
      <c r="T417">
        <f t="shared" si="57"/>
        <v>-2.4745599999999999</v>
      </c>
      <c r="U417">
        <f t="shared" si="59"/>
        <v>31</v>
      </c>
      <c r="V417">
        <f t="shared" si="60"/>
        <v>-7.9824516129032255E-2</v>
      </c>
      <c r="W417">
        <f t="shared" si="55"/>
        <v>-798.24516129032259</v>
      </c>
      <c r="AC417" s="7" t="s">
        <v>94</v>
      </c>
    </row>
    <row r="418" spans="1:29" x14ac:dyDescent="0.3">
      <c r="A418" t="s">
        <v>82</v>
      </c>
      <c r="B418" t="s">
        <v>51</v>
      </c>
      <c r="C418">
        <v>1</v>
      </c>
      <c r="D418">
        <v>12</v>
      </c>
      <c r="E418" t="s">
        <v>64</v>
      </c>
      <c r="F418">
        <v>0.4577</v>
      </c>
      <c r="G418" s="1">
        <v>45906</v>
      </c>
      <c r="H418">
        <v>2.4755500000000001</v>
      </c>
      <c r="I418" s="1">
        <v>45937</v>
      </c>
      <c r="J418">
        <f t="shared" si="53"/>
        <v>63.617251162500004</v>
      </c>
      <c r="K418">
        <v>5.31</v>
      </c>
      <c r="M418">
        <f t="shared" si="61"/>
        <v>0</v>
      </c>
      <c r="N418">
        <f t="shared" si="62"/>
        <v>-5.31</v>
      </c>
      <c r="O418" t="s">
        <v>91</v>
      </c>
      <c r="P418">
        <v>3.7763300000000002</v>
      </c>
      <c r="S418">
        <f t="shared" si="58"/>
        <v>1.30078</v>
      </c>
      <c r="T418">
        <f t="shared" si="57"/>
        <v>-2.4755500000000001</v>
      </c>
      <c r="U418">
        <f t="shared" si="59"/>
        <v>31</v>
      </c>
      <c r="V418">
        <f t="shared" si="60"/>
        <v>-7.9856451612903237E-2</v>
      </c>
      <c r="W418">
        <f t="shared" si="55"/>
        <v>-798.56451612903243</v>
      </c>
    </row>
    <row r="419" spans="1:29" x14ac:dyDescent="0.3">
      <c r="A419" t="s">
        <v>82</v>
      </c>
      <c r="B419" t="s">
        <v>51</v>
      </c>
      <c r="C419">
        <v>1</v>
      </c>
      <c r="D419">
        <v>12</v>
      </c>
      <c r="E419" t="s">
        <v>30</v>
      </c>
      <c r="F419">
        <v>0.43722</v>
      </c>
      <c r="G419" s="1">
        <v>45906</v>
      </c>
      <c r="H419">
        <v>2.4523600000000001</v>
      </c>
      <c r="I419" s="1">
        <v>45937</v>
      </c>
      <c r="J419">
        <f t="shared" si="53"/>
        <v>63.617251162500004</v>
      </c>
      <c r="K419">
        <v>5.31</v>
      </c>
      <c r="M419">
        <f t="shared" si="61"/>
        <v>0</v>
      </c>
      <c r="N419">
        <f t="shared" si="62"/>
        <v>-5.31</v>
      </c>
      <c r="O419" t="s">
        <v>91</v>
      </c>
      <c r="P419">
        <v>3.6657700000000002</v>
      </c>
      <c r="S419">
        <f t="shared" si="58"/>
        <v>1.2134100000000001</v>
      </c>
      <c r="T419">
        <f t="shared" si="57"/>
        <v>-2.4523600000000001</v>
      </c>
      <c r="U419">
        <f t="shared" si="59"/>
        <v>31</v>
      </c>
      <c r="V419">
        <f t="shared" si="60"/>
        <v>-7.9108387096774202E-2</v>
      </c>
      <c r="W419">
        <f t="shared" si="55"/>
        <v>-791.08387096774197</v>
      </c>
    </row>
    <row r="420" spans="1:29" x14ac:dyDescent="0.3">
      <c r="A420" t="s">
        <v>82</v>
      </c>
      <c r="B420" t="s">
        <v>51</v>
      </c>
      <c r="C420">
        <v>1</v>
      </c>
      <c r="D420">
        <v>12</v>
      </c>
      <c r="E420" t="s">
        <v>31</v>
      </c>
      <c r="F420">
        <v>0.45766000000000001</v>
      </c>
      <c r="G420" s="1">
        <v>45906</v>
      </c>
      <c r="H420">
        <v>2.4576500000000001</v>
      </c>
      <c r="I420" s="1">
        <v>45937</v>
      </c>
      <c r="J420">
        <f t="shared" si="53"/>
        <v>63.617251162500004</v>
      </c>
      <c r="K420">
        <v>5.31</v>
      </c>
      <c r="M420">
        <f t="shared" si="61"/>
        <v>0</v>
      </c>
      <c r="N420">
        <f t="shared" si="62"/>
        <v>-5.31</v>
      </c>
      <c r="O420" t="s">
        <v>91</v>
      </c>
      <c r="P420">
        <v>3.59931</v>
      </c>
      <c r="S420">
        <f t="shared" si="58"/>
        <v>1.1416599999999999</v>
      </c>
      <c r="T420">
        <f t="shared" si="57"/>
        <v>-2.4576500000000001</v>
      </c>
      <c r="U420">
        <f t="shared" si="59"/>
        <v>31</v>
      </c>
      <c r="V420">
        <f t="shared" si="60"/>
        <v>-7.9279032258064513E-2</v>
      </c>
      <c r="W420">
        <f t="shared" si="55"/>
        <v>-792.79032258064512</v>
      </c>
    </row>
    <row r="421" spans="1:29" x14ac:dyDescent="0.3">
      <c r="A421" t="s">
        <v>82</v>
      </c>
      <c r="B421" t="s">
        <v>51</v>
      </c>
      <c r="C421">
        <v>1</v>
      </c>
      <c r="D421">
        <v>24</v>
      </c>
      <c r="E421" t="s">
        <v>28</v>
      </c>
      <c r="F421">
        <v>0.43669000000000002</v>
      </c>
      <c r="G421" s="1">
        <v>45906</v>
      </c>
      <c r="H421">
        <v>2.45072</v>
      </c>
      <c r="I421" s="1">
        <v>45937</v>
      </c>
      <c r="J421">
        <f t="shared" si="53"/>
        <v>63.617251162500004</v>
      </c>
      <c r="K421">
        <v>5.31</v>
      </c>
      <c r="M421">
        <f t="shared" si="61"/>
        <v>0</v>
      </c>
      <c r="N421">
        <f t="shared" si="62"/>
        <v>-5.31</v>
      </c>
      <c r="O421" t="s">
        <v>91</v>
      </c>
      <c r="P421">
        <v>3.2377699999999998</v>
      </c>
      <c r="S421">
        <f t="shared" si="58"/>
        <v>0.78704999999999981</v>
      </c>
      <c r="T421">
        <f t="shared" si="57"/>
        <v>-2.45072</v>
      </c>
      <c r="U421">
        <f t="shared" si="59"/>
        <v>31</v>
      </c>
      <c r="V421">
        <f t="shared" si="60"/>
        <v>-7.9055483870967738E-2</v>
      </c>
      <c r="W421">
        <f t="shared" si="55"/>
        <v>-790.55483870967737</v>
      </c>
    </row>
    <row r="422" spans="1:29" x14ac:dyDescent="0.3">
      <c r="A422" t="s">
        <v>82</v>
      </c>
      <c r="B422" t="s">
        <v>51</v>
      </c>
      <c r="C422">
        <v>1</v>
      </c>
      <c r="D422">
        <v>24</v>
      </c>
      <c r="E422" t="s">
        <v>30</v>
      </c>
      <c r="F422">
        <v>0.45968999999999999</v>
      </c>
      <c r="G422" s="1">
        <v>45906</v>
      </c>
      <c r="H422">
        <v>2.4687999999999999</v>
      </c>
      <c r="I422" s="1">
        <v>45937</v>
      </c>
      <c r="J422">
        <f t="shared" si="53"/>
        <v>63.617251162500004</v>
      </c>
      <c r="K422">
        <v>5.31</v>
      </c>
      <c r="M422">
        <f t="shared" si="61"/>
        <v>0</v>
      </c>
      <c r="N422">
        <f t="shared" si="62"/>
        <v>-5.31</v>
      </c>
      <c r="O422" t="s">
        <v>91</v>
      </c>
      <c r="P422">
        <v>3.2730700000000001</v>
      </c>
      <c r="S422">
        <f t="shared" si="58"/>
        <v>0.80427000000000026</v>
      </c>
      <c r="T422">
        <f t="shared" si="57"/>
        <v>-2.4687999999999999</v>
      </c>
      <c r="U422">
        <f t="shared" si="59"/>
        <v>31</v>
      </c>
      <c r="V422">
        <f t="shared" si="60"/>
        <v>-7.9638709677419345E-2</v>
      </c>
      <c r="W422">
        <f t="shared" si="55"/>
        <v>-796.38709677419342</v>
      </c>
    </row>
    <row r="423" spans="1:29" s="7" customFormat="1" x14ac:dyDescent="0.3">
      <c r="A423" t="s">
        <v>82</v>
      </c>
      <c r="B423" s="7" t="s">
        <v>51</v>
      </c>
      <c r="C423" s="7">
        <v>1</v>
      </c>
      <c r="D423" s="7">
        <v>24</v>
      </c>
      <c r="E423" s="7" t="s">
        <v>31</v>
      </c>
      <c r="F423" s="7">
        <v>0.43840000000000001</v>
      </c>
      <c r="G423" s="10">
        <v>45906</v>
      </c>
      <c r="H423" s="7">
        <v>2.4708399999999999</v>
      </c>
      <c r="I423" s="10">
        <v>45937</v>
      </c>
      <c r="J423" s="7">
        <f t="shared" si="53"/>
        <v>63.617251162500004</v>
      </c>
      <c r="K423" s="7">
        <v>5.31</v>
      </c>
      <c r="M423">
        <f t="shared" si="61"/>
        <v>0</v>
      </c>
      <c r="N423">
        <f t="shared" si="62"/>
        <v>-5.31</v>
      </c>
      <c r="O423" t="s">
        <v>91</v>
      </c>
      <c r="P423" s="7">
        <v>3.3436699999999999</v>
      </c>
      <c r="S423">
        <f t="shared" si="58"/>
        <v>0.87282999999999999</v>
      </c>
      <c r="T423">
        <f t="shared" si="57"/>
        <v>-2.4708399999999999</v>
      </c>
      <c r="U423">
        <f t="shared" si="59"/>
        <v>31</v>
      </c>
      <c r="V423">
        <f t="shared" si="60"/>
        <v>-7.970451612903226E-2</v>
      </c>
      <c r="W423">
        <f t="shared" si="55"/>
        <v>-797.04516129032265</v>
      </c>
      <c r="AC423" s="7" t="s">
        <v>93</v>
      </c>
    </row>
    <row r="424" spans="1:29" x14ac:dyDescent="0.3">
      <c r="A424" t="s">
        <v>82</v>
      </c>
      <c r="B424" t="s">
        <v>51</v>
      </c>
      <c r="C424">
        <v>1</v>
      </c>
      <c r="D424">
        <v>48</v>
      </c>
      <c r="E424" t="s">
        <v>64</v>
      </c>
      <c r="F424">
        <v>0.45950000000000002</v>
      </c>
      <c r="G424" s="1">
        <v>45906</v>
      </c>
      <c r="H424">
        <v>2.4949300000000001</v>
      </c>
      <c r="I424" s="1">
        <v>45937</v>
      </c>
      <c r="J424">
        <f t="shared" si="53"/>
        <v>63.617251162500004</v>
      </c>
      <c r="K424">
        <v>5.31</v>
      </c>
      <c r="M424">
        <f t="shared" si="61"/>
        <v>0</v>
      </c>
      <c r="N424">
        <f t="shared" si="62"/>
        <v>-5.31</v>
      </c>
      <c r="O424" t="s">
        <v>91</v>
      </c>
      <c r="P424">
        <v>3.4466600000000001</v>
      </c>
      <c r="S424">
        <f t="shared" si="58"/>
        <v>0.95172999999999996</v>
      </c>
      <c r="T424">
        <f t="shared" si="57"/>
        <v>-2.4949300000000001</v>
      </c>
      <c r="U424">
        <f t="shared" si="59"/>
        <v>31</v>
      </c>
      <c r="V424">
        <f t="shared" si="60"/>
        <v>-8.0481612903225808E-2</v>
      </c>
      <c r="W424">
        <f t="shared" si="55"/>
        <v>-804.81612903225812</v>
      </c>
    </row>
    <row r="425" spans="1:29" x14ac:dyDescent="0.3">
      <c r="A425" t="s">
        <v>82</v>
      </c>
      <c r="B425" t="s">
        <v>51</v>
      </c>
      <c r="C425">
        <v>1</v>
      </c>
      <c r="D425">
        <v>48</v>
      </c>
      <c r="E425" t="s">
        <v>30</v>
      </c>
      <c r="F425">
        <v>0.43685000000000002</v>
      </c>
      <c r="G425" s="1">
        <v>45906</v>
      </c>
      <c r="H425">
        <v>2.4762400000000002</v>
      </c>
      <c r="I425" s="1">
        <v>45937</v>
      </c>
      <c r="J425">
        <f t="shared" si="53"/>
        <v>63.617251162500004</v>
      </c>
      <c r="K425">
        <v>5.31</v>
      </c>
      <c r="M425">
        <f t="shared" si="61"/>
        <v>0</v>
      </c>
      <c r="N425">
        <f t="shared" si="62"/>
        <v>-5.31</v>
      </c>
      <c r="O425" t="s">
        <v>91</v>
      </c>
      <c r="P425">
        <v>3.3707799999999999</v>
      </c>
      <c r="S425">
        <f t="shared" si="58"/>
        <v>0.89453999999999967</v>
      </c>
      <c r="T425">
        <f t="shared" si="57"/>
        <v>-2.4762400000000002</v>
      </c>
      <c r="U425">
        <f t="shared" si="59"/>
        <v>31</v>
      </c>
      <c r="V425">
        <f t="shared" si="60"/>
        <v>-7.9878709677419363E-2</v>
      </c>
      <c r="W425">
        <f t="shared" si="55"/>
        <v>-798.78709677419363</v>
      </c>
    </row>
    <row r="426" spans="1:29" x14ac:dyDescent="0.3">
      <c r="A426" t="s">
        <v>82</v>
      </c>
      <c r="B426" t="s">
        <v>51</v>
      </c>
      <c r="C426">
        <v>1</v>
      </c>
      <c r="D426">
        <v>48</v>
      </c>
      <c r="E426" t="s">
        <v>31</v>
      </c>
      <c r="F426">
        <v>0.45734000000000002</v>
      </c>
      <c r="G426" s="1">
        <v>45906</v>
      </c>
      <c r="H426">
        <v>2.4639500000000001</v>
      </c>
      <c r="I426" s="1">
        <v>45937</v>
      </c>
      <c r="J426">
        <f t="shared" si="53"/>
        <v>63.617251162500004</v>
      </c>
      <c r="K426">
        <v>5.31</v>
      </c>
      <c r="M426">
        <f t="shared" si="61"/>
        <v>0</v>
      </c>
      <c r="N426">
        <f t="shared" si="62"/>
        <v>-5.31</v>
      </c>
      <c r="O426" t="s">
        <v>91</v>
      </c>
      <c r="P426">
        <v>3.3154599999999999</v>
      </c>
      <c r="S426">
        <f t="shared" si="58"/>
        <v>0.85150999999999977</v>
      </c>
      <c r="T426">
        <f t="shared" si="57"/>
        <v>-2.4639500000000001</v>
      </c>
      <c r="U426">
        <f t="shared" si="59"/>
        <v>31</v>
      </c>
      <c r="V426">
        <f t="shared" si="60"/>
        <v>-7.9482258064516129E-2</v>
      </c>
      <c r="W426">
        <f t="shared" si="55"/>
        <v>-794.82258064516134</v>
      </c>
    </row>
    <row r="427" spans="1:29" x14ac:dyDescent="0.3">
      <c r="A427" t="s">
        <v>82</v>
      </c>
      <c r="B427" t="s">
        <v>51</v>
      </c>
      <c r="C427">
        <v>2</v>
      </c>
      <c r="D427">
        <v>0.5</v>
      </c>
      <c r="E427" t="s">
        <v>64</v>
      </c>
      <c r="F427">
        <v>0.43841000000000002</v>
      </c>
      <c r="G427" s="1">
        <v>45906</v>
      </c>
      <c r="H427">
        <v>2.4251</v>
      </c>
      <c r="I427" s="1">
        <v>45937</v>
      </c>
      <c r="J427">
        <f t="shared" si="53"/>
        <v>63.617251162500004</v>
      </c>
      <c r="K427">
        <v>5.31</v>
      </c>
      <c r="M427">
        <f t="shared" si="61"/>
        <v>0</v>
      </c>
      <c r="N427">
        <f t="shared" si="62"/>
        <v>-5.31</v>
      </c>
      <c r="O427" t="s">
        <v>90</v>
      </c>
      <c r="P427">
        <v>123.42</v>
      </c>
      <c r="S427">
        <f t="shared" si="58"/>
        <v>120.9949</v>
      </c>
      <c r="T427">
        <f t="shared" si="57"/>
        <v>-2.4251</v>
      </c>
      <c r="U427">
        <f t="shared" si="59"/>
        <v>31</v>
      </c>
      <c r="V427">
        <f t="shared" si="60"/>
        <v>-7.8229032258064518E-2</v>
      </c>
      <c r="W427">
        <f t="shared" si="55"/>
        <v>-782.29032258064512</v>
      </c>
    </row>
    <row r="428" spans="1:29" x14ac:dyDescent="0.3">
      <c r="A428" t="s">
        <v>82</v>
      </c>
      <c r="B428" t="s">
        <v>51</v>
      </c>
      <c r="C428">
        <v>2</v>
      </c>
      <c r="D428">
        <v>0.5</v>
      </c>
      <c r="E428" t="s">
        <v>30</v>
      </c>
      <c r="F428">
        <v>0.45817000000000002</v>
      </c>
      <c r="G428" s="1">
        <v>45906</v>
      </c>
      <c r="H428">
        <v>2.43913</v>
      </c>
      <c r="I428" s="1">
        <v>45937</v>
      </c>
      <c r="J428">
        <f t="shared" ref="J428:J491" si="63">4.5*4.5*3.14159265</f>
        <v>63.617251162500004</v>
      </c>
      <c r="K428">
        <v>5.31</v>
      </c>
      <c r="M428">
        <f t="shared" si="61"/>
        <v>0</v>
      </c>
      <c r="N428">
        <f t="shared" si="62"/>
        <v>-5.31</v>
      </c>
      <c r="O428" t="s">
        <v>90</v>
      </c>
      <c r="P428">
        <v>246.34</v>
      </c>
      <c r="S428">
        <f t="shared" si="58"/>
        <v>243.90087</v>
      </c>
      <c r="T428">
        <f t="shared" si="57"/>
        <v>-2.43913</v>
      </c>
      <c r="U428">
        <f t="shared" si="59"/>
        <v>31</v>
      </c>
      <c r="V428">
        <f t="shared" si="60"/>
        <v>-7.8681612903225812E-2</v>
      </c>
      <c r="W428">
        <f t="shared" ref="W428:W491" si="64">V428*10000</f>
        <v>-786.81612903225812</v>
      </c>
    </row>
    <row r="429" spans="1:29" x14ac:dyDescent="0.3">
      <c r="A429" t="s">
        <v>82</v>
      </c>
      <c r="B429" t="s">
        <v>51</v>
      </c>
      <c r="C429">
        <v>2</v>
      </c>
      <c r="D429">
        <v>0.5</v>
      </c>
      <c r="E429" t="s">
        <v>31</v>
      </c>
      <c r="F429">
        <v>0.46037</v>
      </c>
      <c r="G429" s="1">
        <v>45906</v>
      </c>
      <c r="H429">
        <v>2.4081399999999999</v>
      </c>
      <c r="I429" s="1">
        <v>45937</v>
      </c>
      <c r="J429">
        <f t="shared" si="63"/>
        <v>63.617251162500004</v>
      </c>
      <c r="K429">
        <v>5.31</v>
      </c>
      <c r="M429">
        <f t="shared" si="61"/>
        <v>0</v>
      </c>
      <c r="N429">
        <f t="shared" si="62"/>
        <v>-5.31</v>
      </c>
      <c r="O429" t="s">
        <v>90</v>
      </c>
      <c r="P429">
        <v>195.79</v>
      </c>
      <c r="S429">
        <f t="shared" si="58"/>
        <v>193.38185999999999</v>
      </c>
      <c r="T429">
        <f t="shared" si="57"/>
        <v>-2.4081399999999999</v>
      </c>
      <c r="U429">
        <f t="shared" si="59"/>
        <v>31</v>
      </c>
      <c r="V429">
        <f t="shared" si="60"/>
        <v>-7.7681935483870965E-2</v>
      </c>
      <c r="W429">
        <f t="shared" si="64"/>
        <v>-776.81935483870961</v>
      </c>
    </row>
    <row r="430" spans="1:29" s="7" customFormat="1" x14ac:dyDescent="0.3">
      <c r="A430" t="s">
        <v>82</v>
      </c>
      <c r="B430" s="7" t="s">
        <v>51</v>
      </c>
      <c r="C430" s="7">
        <v>2</v>
      </c>
      <c r="D430" s="7">
        <v>2</v>
      </c>
      <c r="E430" s="7" t="s">
        <v>64</v>
      </c>
      <c r="F430" s="7">
        <v>0.4395</v>
      </c>
      <c r="G430" s="10">
        <v>45906</v>
      </c>
      <c r="H430" s="7">
        <v>2.45052</v>
      </c>
      <c r="I430" s="10">
        <v>45937</v>
      </c>
      <c r="J430" s="7">
        <f t="shared" si="63"/>
        <v>63.617251162500004</v>
      </c>
      <c r="K430" s="7">
        <v>5.31</v>
      </c>
      <c r="M430">
        <f t="shared" si="61"/>
        <v>0</v>
      </c>
      <c r="N430">
        <f t="shared" si="62"/>
        <v>-5.31</v>
      </c>
      <c r="O430" t="s">
        <v>90</v>
      </c>
      <c r="P430" s="7">
        <v>12.283340000000001</v>
      </c>
      <c r="S430">
        <f t="shared" si="58"/>
        <v>9.8328200000000017</v>
      </c>
      <c r="T430">
        <f t="shared" si="57"/>
        <v>-2.45052</v>
      </c>
      <c r="U430">
        <f t="shared" si="59"/>
        <v>31</v>
      </c>
      <c r="V430">
        <f t="shared" si="60"/>
        <v>-7.9049032258064519E-2</v>
      </c>
      <c r="W430">
        <f t="shared" si="64"/>
        <v>-790.49032258064517</v>
      </c>
      <c r="AC430" s="7" t="s">
        <v>152</v>
      </c>
    </row>
    <row r="431" spans="1:29" s="7" customFormat="1" x14ac:dyDescent="0.3">
      <c r="A431" t="s">
        <v>82</v>
      </c>
      <c r="B431" s="7" t="s">
        <v>51</v>
      </c>
      <c r="C431" s="7">
        <v>2</v>
      </c>
      <c r="D431" s="7">
        <v>2</v>
      </c>
      <c r="E431" s="7" t="s">
        <v>30</v>
      </c>
      <c r="F431" s="7">
        <v>0.43519999999999998</v>
      </c>
      <c r="G431" s="10">
        <v>45906</v>
      </c>
      <c r="H431" s="7">
        <v>2.4134899999999999</v>
      </c>
      <c r="I431" s="10">
        <v>45937</v>
      </c>
      <c r="J431" s="7">
        <f t="shared" si="63"/>
        <v>63.617251162500004</v>
      </c>
      <c r="K431" s="7">
        <v>5.31</v>
      </c>
      <c r="M431">
        <f t="shared" si="61"/>
        <v>0</v>
      </c>
      <c r="N431">
        <f t="shared" si="62"/>
        <v>-5.31</v>
      </c>
      <c r="O431" t="s">
        <v>90</v>
      </c>
      <c r="P431" s="7">
        <v>38.1526</v>
      </c>
      <c r="S431">
        <f t="shared" si="58"/>
        <v>35.739109999999997</v>
      </c>
      <c r="T431">
        <f t="shared" ref="T431:T494" si="65">Q431-M431-H431</f>
        <v>-2.4134899999999999</v>
      </c>
      <c r="U431">
        <f t="shared" si="59"/>
        <v>31</v>
      </c>
      <c r="V431">
        <f t="shared" si="60"/>
        <v>-7.7854516129032256E-2</v>
      </c>
      <c r="W431">
        <f t="shared" si="64"/>
        <v>-778.54516129032254</v>
      </c>
      <c r="AC431" s="7" t="s">
        <v>152</v>
      </c>
    </row>
    <row r="432" spans="1:29" s="7" customFormat="1" x14ac:dyDescent="0.3">
      <c r="A432" t="s">
        <v>82</v>
      </c>
      <c r="B432" s="7" t="s">
        <v>51</v>
      </c>
      <c r="C432" s="7">
        <v>2</v>
      </c>
      <c r="D432" s="7">
        <v>2</v>
      </c>
      <c r="E432" s="7" t="s">
        <v>31</v>
      </c>
      <c r="F432" s="7">
        <v>0.45428000000000002</v>
      </c>
      <c r="G432" s="10">
        <v>45906</v>
      </c>
      <c r="H432" s="7">
        <v>2.48638</v>
      </c>
      <c r="I432" s="10">
        <v>45937</v>
      </c>
      <c r="J432" s="7">
        <f t="shared" si="63"/>
        <v>63.617251162500004</v>
      </c>
      <c r="K432" s="7">
        <v>5.31</v>
      </c>
      <c r="M432">
        <f t="shared" si="61"/>
        <v>0</v>
      </c>
      <c r="N432">
        <f t="shared" si="62"/>
        <v>-5.31</v>
      </c>
      <c r="O432" t="s">
        <v>90</v>
      </c>
      <c r="P432" s="7">
        <v>6.1873399999999998</v>
      </c>
      <c r="S432">
        <f t="shared" si="58"/>
        <v>3.7009599999999998</v>
      </c>
      <c r="T432">
        <f t="shared" si="65"/>
        <v>-2.48638</v>
      </c>
      <c r="U432">
        <f t="shared" si="59"/>
        <v>31</v>
      </c>
      <c r="V432">
        <f t="shared" si="60"/>
        <v>-8.0205806451612904E-2</v>
      </c>
      <c r="W432">
        <f t="shared" si="64"/>
        <v>-802.05806451612909</v>
      </c>
      <c r="AC432" s="7" t="s">
        <v>152</v>
      </c>
    </row>
    <row r="433" spans="1:29" s="7" customFormat="1" x14ac:dyDescent="0.3">
      <c r="A433" t="s">
        <v>82</v>
      </c>
      <c r="B433" s="7" t="s">
        <v>51</v>
      </c>
      <c r="C433" s="7">
        <v>2</v>
      </c>
      <c r="D433" s="7">
        <v>6</v>
      </c>
      <c r="E433" s="7" t="s">
        <v>64</v>
      </c>
      <c r="F433" s="7">
        <v>0.43720999999999999</v>
      </c>
      <c r="G433" s="10">
        <v>45906</v>
      </c>
      <c r="H433" s="7">
        <v>2.4178999999999999</v>
      </c>
      <c r="I433" s="10">
        <v>45937</v>
      </c>
      <c r="J433" s="7">
        <f t="shared" si="63"/>
        <v>63.617251162500004</v>
      </c>
      <c r="K433" s="7">
        <v>5.31</v>
      </c>
      <c r="M433">
        <f t="shared" si="61"/>
        <v>0</v>
      </c>
      <c r="N433">
        <f t="shared" si="62"/>
        <v>-5.31</v>
      </c>
      <c r="O433" t="s">
        <v>90</v>
      </c>
      <c r="P433" s="7">
        <v>4.1268500000000001</v>
      </c>
      <c r="S433">
        <f t="shared" si="58"/>
        <v>1.7089500000000002</v>
      </c>
      <c r="T433">
        <f t="shared" si="65"/>
        <v>-2.4178999999999999</v>
      </c>
      <c r="U433">
        <f t="shared" si="59"/>
        <v>31</v>
      </c>
      <c r="V433">
        <f t="shared" si="60"/>
        <v>-7.799677419354839E-2</v>
      </c>
      <c r="W433">
        <f t="shared" si="64"/>
        <v>-779.9677419354839</v>
      </c>
      <c r="AC433" s="7" t="s">
        <v>152</v>
      </c>
    </row>
    <row r="434" spans="1:29" s="7" customFormat="1" x14ac:dyDescent="0.3">
      <c r="A434" t="s">
        <v>82</v>
      </c>
      <c r="B434" s="7" t="s">
        <v>51</v>
      </c>
      <c r="C434" s="7">
        <v>2</v>
      </c>
      <c r="D434" s="7">
        <v>6</v>
      </c>
      <c r="E434" s="7" t="s">
        <v>30</v>
      </c>
      <c r="F434" s="7">
        <v>0.45524999999999999</v>
      </c>
      <c r="G434" s="10">
        <v>45906</v>
      </c>
      <c r="H434" s="7">
        <v>2.4028999999999998</v>
      </c>
      <c r="I434" s="10">
        <v>45937</v>
      </c>
      <c r="J434" s="7">
        <f t="shared" si="63"/>
        <v>63.617251162500004</v>
      </c>
      <c r="K434" s="7">
        <v>5.31</v>
      </c>
      <c r="M434">
        <f t="shared" si="61"/>
        <v>0</v>
      </c>
      <c r="N434">
        <f t="shared" si="62"/>
        <v>-5.31</v>
      </c>
      <c r="O434" t="s">
        <v>90</v>
      </c>
      <c r="P434" s="7">
        <v>4.2587099999999998</v>
      </c>
      <c r="S434">
        <f t="shared" si="58"/>
        <v>1.85581</v>
      </c>
      <c r="T434">
        <f t="shared" si="65"/>
        <v>-2.4028999999999998</v>
      </c>
      <c r="U434">
        <f t="shared" si="59"/>
        <v>31</v>
      </c>
      <c r="V434">
        <f t="shared" si="60"/>
        <v>-7.7512903225806451E-2</v>
      </c>
      <c r="W434">
        <f t="shared" si="64"/>
        <v>-775.12903225806451</v>
      </c>
      <c r="AC434" s="7" t="s">
        <v>152</v>
      </c>
    </row>
    <row r="435" spans="1:29" s="7" customFormat="1" x14ac:dyDescent="0.3">
      <c r="A435" t="s">
        <v>82</v>
      </c>
      <c r="B435" s="7" t="s">
        <v>51</v>
      </c>
      <c r="C435" s="7">
        <v>2</v>
      </c>
      <c r="D435" s="7">
        <v>6</v>
      </c>
      <c r="E435" s="7" t="s">
        <v>31</v>
      </c>
      <c r="F435" s="7">
        <v>0.43357000000000001</v>
      </c>
      <c r="G435" s="10">
        <v>45906</v>
      </c>
      <c r="H435" s="7">
        <v>2.4212500000000001</v>
      </c>
      <c r="I435" s="10">
        <v>45937</v>
      </c>
      <c r="J435" s="7">
        <f t="shared" si="63"/>
        <v>63.617251162500004</v>
      </c>
      <c r="K435" s="7">
        <v>5.31</v>
      </c>
      <c r="M435">
        <f t="shared" si="61"/>
        <v>0</v>
      </c>
      <c r="N435">
        <f t="shared" si="62"/>
        <v>-5.31</v>
      </c>
      <c r="O435" t="s">
        <v>90</v>
      </c>
      <c r="P435" s="7">
        <v>4.4890499999999998</v>
      </c>
      <c r="S435">
        <f t="shared" si="58"/>
        <v>2.0677999999999996</v>
      </c>
      <c r="T435">
        <f t="shared" si="65"/>
        <v>-2.4212500000000001</v>
      </c>
      <c r="U435">
        <f t="shared" si="59"/>
        <v>31</v>
      </c>
      <c r="V435">
        <f t="shared" si="60"/>
        <v>-7.8104838709677424E-2</v>
      </c>
      <c r="W435">
        <f t="shared" si="64"/>
        <v>-781.04838709677426</v>
      </c>
      <c r="AC435" s="7" t="s">
        <v>152</v>
      </c>
    </row>
    <row r="436" spans="1:29" x14ac:dyDescent="0.3">
      <c r="A436" t="s">
        <v>82</v>
      </c>
      <c r="B436" t="s">
        <v>51</v>
      </c>
      <c r="C436">
        <v>2</v>
      </c>
      <c r="D436">
        <v>12</v>
      </c>
      <c r="E436" t="s">
        <v>64</v>
      </c>
      <c r="F436">
        <v>0.45319999999999999</v>
      </c>
      <c r="G436" s="1">
        <v>45906</v>
      </c>
      <c r="H436">
        <v>2.40815</v>
      </c>
      <c r="I436" s="1">
        <v>45937</v>
      </c>
      <c r="J436">
        <f t="shared" si="63"/>
        <v>63.617251162500004</v>
      </c>
      <c r="K436">
        <v>5.31</v>
      </c>
      <c r="M436">
        <f t="shared" si="61"/>
        <v>0</v>
      </c>
      <c r="N436">
        <f t="shared" si="62"/>
        <v>-5.31</v>
      </c>
      <c r="O436" t="s">
        <v>90</v>
      </c>
      <c r="P436">
        <v>3.47723</v>
      </c>
      <c r="S436">
        <f t="shared" si="58"/>
        <v>1.06908</v>
      </c>
      <c r="T436">
        <f t="shared" si="65"/>
        <v>-2.40815</v>
      </c>
      <c r="U436">
        <f t="shared" si="59"/>
        <v>31</v>
      </c>
      <c r="V436">
        <f t="shared" si="60"/>
        <v>-7.7682258064516133E-2</v>
      </c>
      <c r="W436">
        <f t="shared" si="64"/>
        <v>-776.82258064516134</v>
      </c>
    </row>
    <row r="437" spans="1:29" x14ac:dyDescent="0.3">
      <c r="A437" t="s">
        <v>82</v>
      </c>
      <c r="B437" t="s">
        <v>51</v>
      </c>
      <c r="C437">
        <v>2</v>
      </c>
      <c r="D437">
        <v>12</v>
      </c>
      <c r="E437" t="s">
        <v>30</v>
      </c>
      <c r="F437">
        <v>0.43784000000000001</v>
      </c>
      <c r="G437" s="1">
        <v>45906</v>
      </c>
      <c r="H437">
        <v>2.42035</v>
      </c>
      <c r="I437" s="1">
        <v>45937</v>
      </c>
      <c r="J437">
        <f t="shared" si="63"/>
        <v>63.617251162500004</v>
      </c>
      <c r="K437">
        <v>5.31</v>
      </c>
      <c r="M437">
        <f t="shared" si="61"/>
        <v>0</v>
      </c>
      <c r="N437">
        <f t="shared" si="62"/>
        <v>-5.31</v>
      </c>
      <c r="O437" t="s">
        <v>155</v>
      </c>
      <c r="P437">
        <v>3.41052</v>
      </c>
      <c r="S437">
        <f t="shared" si="58"/>
        <v>0.99016999999999999</v>
      </c>
      <c r="T437">
        <f t="shared" si="65"/>
        <v>-2.42035</v>
      </c>
      <c r="U437">
        <f t="shared" si="59"/>
        <v>31</v>
      </c>
      <c r="V437">
        <f t="shared" si="60"/>
        <v>-7.8075806451612897E-2</v>
      </c>
      <c r="W437">
        <f t="shared" si="64"/>
        <v>-780.75806451612902</v>
      </c>
    </row>
    <row r="438" spans="1:29" x14ac:dyDescent="0.3">
      <c r="A438" t="s">
        <v>82</v>
      </c>
      <c r="B438" t="s">
        <v>51</v>
      </c>
      <c r="C438">
        <v>2</v>
      </c>
      <c r="D438">
        <v>12</v>
      </c>
      <c r="E438" t="s">
        <v>31</v>
      </c>
      <c r="F438">
        <v>0.43517</v>
      </c>
      <c r="G438" s="1">
        <v>45906</v>
      </c>
      <c r="H438">
        <v>2.41303</v>
      </c>
      <c r="I438" s="1">
        <v>45937</v>
      </c>
      <c r="J438">
        <f t="shared" si="63"/>
        <v>63.617251162500004</v>
      </c>
      <c r="K438">
        <v>5.31</v>
      </c>
      <c r="M438">
        <f t="shared" si="61"/>
        <v>0</v>
      </c>
      <c r="N438">
        <f t="shared" si="62"/>
        <v>-5.31</v>
      </c>
      <c r="O438" t="s">
        <v>155</v>
      </c>
      <c r="P438">
        <v>3.4226200000000002</v>
      </c>
      <c r="S438">
        <f t="shared" si="58"/>
        <v>1.0095900000000002</v>
      </c>
      <c r="T438">
        <f t="shared" si="65"/>
        <v>-2.41303</v>
      </c>
      <c r="U438">
        <f t="shared" si="59"/>
        <v>31</v>
      </c>
      <c r="V438">
        <f t="shared" si="60"/>
        <v>-7.7839677419354839E-2</v>
      </c>
      <c r="W438">
        <f t="shared" si="64"/>
        <v>-778.39677419354837</v>
      </c>
    </row>
    <row r="439" spans="1:29" x14ac:dyDescent="0.3">
      <c r="A439" t="s">
        <v>82</v>
      </c>
      <c r="B439" t="s">
        <v>51</v>
      </c>
      <c r="C439">
        <v>2</v>
      </c>
      <c r="D439">
        <v>24</v>
      </c>
      <c r="E439" t="s">
        <v>28</v>
      </c>
      <c r="F439">
        <v>0.43680999999999998</v>
      </c>
      <c r="G439" s="1">
        <v>45906</v>
      </c>
      <c r="H439">
        <v>2.4703400000000002</v>
      </c>
      <c r="I439" s="1">
        <v>45937</v>
      </c>
      <c r="J439">
        <f t="shared" si="63"/>
        <v>63.617251162500004</v>
      </c>
      <c r="K439">
        <v>5.31</v>
      </c>
      <c r="M439">
        <f t="shared" si="61"/>
        <v>0</v>
      </c>
      <c r="N439">
        <f t="shared" si="62"/>
        <v>-5.31</v>
      </c>
      <c r="O439" t="s">
        <v>155</v>
      </c>
      <c r="P439">
        <v>3.09083</v>
      </c>
      <c r="S439">
        <f t="shared" si="58"/>
        <v>0.62048999999999976</v>
      </c>
      <c r="T439">
        <f t="shared" si="65"/>
        <v>-2.4703400000000002</v>
      </c>
      <c r="U439">
        <f t="shared" si="59"/>
        <v>31</v>
      </c>
      <c r="V439">
        <f t="shared" si="60"/>
        <v>-7.9688387096774199E-2</v>
      </c>
      <c r="W439">
        <f t="shared" si="64"/>
        <v>-796.88387096774204</v>
      </c>
      <c r="AC439" t="s">
        <v>154</v>
      </c>
    </row>
    <row r="440" spans="1:29" x14ac:dyDescent="0.3">
      <c r="A440" t="s">
        <v>82</v>
      </c>
      <c r="B440" t="s">
        <v>51</v>
      </c>
      <c r="C440">
        <v>2</v>
      </c>
      <c r="D440">
        <v>24</v>
      </c>
      <c r="E440" t="s">
        <v>30</v>
      </c>
      <c r="F440">
        <v>0.43917</v>
      </c>
      <c r="G440" s="1">
        <v>45906</v>
      </c>
      <c r="H440">
        <v>2.4422299999999999</v>
      </c>
      <c r="I440" s="1">
        <v>45937</v>
      </c>
      <c r="J440">
        <f t="shared" si="63"/>
        <v>63.617251162500004</v>
      </c>
      <c r="K440">
        <v>5.31</v>
      </c>
      <c r="M440">
        <f t="shared" si="61"/>
        <v>0</v>
      </c>
      <c r="N440">
        <f t="shared" si="62"/>
        <v>-5.31</v>
      </c>
      <c r="O440" t="s">
        <v>155</v>
      </c>
      <c r="P440">
        <v>3.1102799999999999</v>
      </c>
      <c r="S440">
        <f t="shared" si="58"/>
        <v>0.66805000000000003</v>
      </c>
      <c r="T440">
        <f t="shared" si="65"/>
        <v>-2.4422299999999999</v>
      </c>
      <c r="U440">
        <f t="shared" si="59"/>
        <v>31</v>
      </c>
      <c r="V440">
        <f t="shared" si="60"/>
        <v>-7.8781612903225801E-2</v>
      </c>
      <c r="W440">
        <f t="shared" si="64"/>
        <v>-787.816129032258</v>
      </c>
      <c r="AC440" t="s">
        <v>154</v>
      </c>
    </row>
    <row r="441" spans="1:29" x14ac:dyDescent="0.3">
      <c r="A441" t="s">
        <v>82</v>
      </c>
      <c r="B441" t="s">
        <v>51</v>
      </c>
      <c r="C441">
        <v>2</v>
      </c>
      <c r="D441">
        <v>24</v>
      </c>
      <c r="E441" t="s">
        <v>31</v>
      </c>
      <c r="F441">
        <v>0.45537</v>
      </c>
      <c r="G441" s="1">
        <v>45906</v>
      </c>
      <c r="H441">
        <v>244808</v>
      </c>
      <c r="I441" s="1">
        <v>45937</v>
      </c>
      <c r="J441">
        <f t="shared" si="63"/>
        <v>63.617251162500004</v>
      </c>
      <c r="K441">
        <v>5.31</v>
      </c>
      <c r="M441">
        <f t="shared" si="61"/>
        <v>0</v>
      </c>
      <c r="N441">
        <f t="shared" si="62"/>
        <v>-5.31</v>
      </c>
      <c r="O441" t="s">
        <v>155</v>
      </c>
      <c r="P441">
        <v>3.1198399999999999</v>
      </c>
      <c r="S441">
        <f t="shared" si="58"/>
        <v>-244804.88016</v>
      </c>
      <c r="T441">
        <f t="shared" si="65"/>
        <v>-244808</v>
      </c>
      <c r="U441">
        <f t="shared" si="59"/>
        <v>31</v>
      </c>
      <c r="V441">
        <f t="shared" si="60"/>
        <v>-7897.0322580645161</v>
      </c>
      <c r="W441">
        <f t="shared" si="64"/>
        <v>-78970322.580645159</v>
      </c>
      <c r="AC441" t="s">
        <v>154</v>
      </c>
    </row>
    <row r="442" spans="1:29" x14ac:dyDescent="0.3">
      <c r="A442" t="s">
        <v>82</v>
      </c>
      <c r="B442" t="s">
        <v>51</v>
      </c>
      <c r="C442">
        <v>2</v>
      </c>
      <c r="D442">
        <v>48</v>
      </c>
      <c r="E442" t="s">
        <v>64</v>
      </c>
      <c r="F442">
        <v>0.43724000000000002</v>
      </c>
      <c r="G442" s="1">
        <v>45906</v>
      </c>
      <c r="H442">
        <v>2.4821</v>
      </c>
      <c r="I442" s="1">
        <v>45937</v>
      </c>
      <c r="J442">
        <f t="shared" si="63"/>
        <v>63.617251162500004</v>
      </c>
      <c r="K442">
        <v>5.31</v>
      </c>
      <c r="M442">
        <f t="shared" si="61"/>
        <v>0</v>
      </c>
      <c r="N442">
        <f t="shared" si="62"/>
        <v>-5.31</v>
      </c>
      <c r="O442" t="s">
        <v>155</v>
      </c>
      <c r="P442">
        <v>3.2595900000000002</v>
      </c>
      <c r="S442">
        <f t="shared" si="58"/>
        <v>0.77749000000000024</v>
      </c>
      <c r="T442">
        <f t="shared" si="65"/>
        <v>-2.4821</v>
      </c>
      <c r="U442">
        <f t="shared" si="59"/>
        <v>31</v>
      </c>
      <c r="V442">
        <f t="shared" si="60"/>
        <v>-8.0067741935483869E-2</v>
      </c>
      <c r="W442">
        <f t="shared" si="64"/>
        <v>-800.67741935483866</v>
      </c>
    </row>
    <row r="443" spans="1:29" x14ac:dyDescent="0.3">
      <c r="A443" t="s">
        <v>82</v>
      </c>
      <c r="B443" t="s">
        <v>51</v>
      </c>
      <c r="C443">
        <v>2</v>
      </c>
      <c r="D443">
        <v>48</v>
      </c>
      <c r="E443" t="s">
        <v>30</v>
      </c>
      <c r="F443">
        <v>0.45623000000000002</v>
      </c>
      <c r="G443" s="1">
        <v>45906</v>
      </c>
      <c r="H443">
        <v>2.4476</v>
      </c>
      <c r="I443" s="1">
        <v>45937</v>
      </c>
      <c r="J443">
        <f t="shared" si="63"/>
        <v>63.617251162500004</v>
      </c>
      <c r="K443">
        <v>5.31</v>
      </c>
      <c r="M443">
        <f t="shared" si="61"/>
        <v>0</v>
      </c>
      <c r="N443">
        <f t="shared" si="62"/>
        <v>-5.31</v>
      </c>
      <c r="O443" t="s">
        <v>155</v>
      </c>
      <c r="P443">
        <v>3.13354</v>
      </c>
      <c r="S443">
        <f t="shared" si="58"/>
        <v>0.68593999999999999</v>
      </c>
      <c r="T443">
        <f t="shared" si="65"/>
        <v>-2.4476</v>
      </c>
      <c r="U443">
        <f t="shared" si="59"/>
        <v>31</v>
      </c>
      <c r="V443">
        <f t="shared" si="60"/>
        <v>-7.8954838709677413E-2</v>
      </c>
      <c r="W443">
        <f t="shared" si="64"/>
        <v>-789.54838709677415</v>
      </c>
    </row>
    <row r="444" spans="1:29" x14ac:dyDescent="0.3">
      <c r="A444" t="s">
        <v>82</v>
      </c>
      <c r="B444" t="s">
        <v>51</v>
      </c>
      <c r="C444">
        <v>2</v>
      </c>
      <c r="D444">
        <v>48</v>
      </c>
      <c r="E444" t="s">
        <v>31</v>
      </c>
      <c r="F444">
        <v>0.43474000000000002</v>
      </c>
      <c r="G444" s="1">
        <v>45906</v>
      </c>
      <c r="H444">
        <v>2.4428999999999998</v>
      </c>
      <c r="I444" s="1">
        <v>45937</v>
      </c>
      <c r="J444">
        <f t="shared" si="63"/>
        <v>63.617251162500004</v>
      </c>
      <c r="K444">
        <v>5.31</v>
      </c>
      <c r="M444">
        <f t="shared" si="61"/>
        <v>0</v>
      </c>
      <c r="N444">
        <f t="shared" si="62"/>
        <v>-5.31</v>
      </c>
      <c r="O444" t="s">
        <v>155</v>
      </c>
      <c r="P444">
        <v>3.15036</v>
      </c>
      <c r="S444">
        <f t="shared" si="58"/>
        <v>0.7074600000000002</v>
      </c>
      <c r="T444">
        <f t="shared" si="65"/>
        <v>-2.4428999999999998</v>
      </c>
      <c r="U444">
        <f t="shared" si="59"/>
        <v>31</v>
      </c>
      <c r="V444">
        <f t="shared" si="60"/>
        <v>-7.8803225806451604E-2</v>
      </c>
      <c r="W444">
        <f t="shared" si="64"/>
        <v>-788.0322580645161</v>
      </c>
    </row>
    <row r="445" spans="1:29" x14ac:dyDescent="0.3">
      <c r="A445" t="s">
        <v>82</v>
      </c>
      <c r="B445" s="7" t="s">
        <v>51</v>
      </c>
      <c r="C445" s="7"/>
      <c r="D445" s="7"/>
      <c r="E445" s="7" t="s">
        <v>67</v>
      </c>
      <c r="F445" s="7">
        <v>0.45140999999999998</v>
      </c>
      <c r="G445" s="7" t="s">
        <v>158</v>
      </c>
      <c r="H445" s="7">
        <v>2.4503200000000001</v>
      </c>
      <c r="I445" s="7" t="s">
        <v>158</v>
      </c>
      <c r="J445" s="7">
        <f t="shared" si="63"/>
        <v>63.617251162500004</v>
      </c>
      <c r="K445" s="7">
        <v>5.31</v>
      </c>
      <c r="M445">
        <f t="shared" si="61"/>
        <v>0</v>
      </c>
      <c r="N445">
        <f t="shared" si="62"/>
        <v>-5.31</v>
      </c>
      <c r="O445" s="7" t="s">
        <v>155</v>
      </c>
      <c r="P445" s="7">
        <v>2.44767</v>
      </c>
      <c r="Q445" s="7"/>
      <c r="R445" s="7"/>
      <c r="S445">
        <f t="shared" ref="S445:S508" si="66">P445-M445-H445</f>
        <v>-2.6500000000000412E-3</v>
      </c>
      <c r="T445">
        <f t="shared" si="65"/>
        <v>-2.4503200000000001</v>
      </c>
      <c r="U445" t="e">
        <f t="shared" si="59"/>
        <v>#VALUE!</v>
      </c>
      <c r="V445" t="e">
        <f t="shared" si="60"/>
        <v>#VALUE!</v>
      </c>
      <c r="W445" t="e">
        <f t="shared" si="64"/>
        <v>#VALUE!</v>
      </c>
      <c r="X445" s="7"/>
      <c r="Y445" s="7"/>
      <c r="Z445" s="7"/>
      <c r="AA445" s="7"/>
      <c r="AB445" s="7"/>
      <c r="AC445" s="7" t="s">
        <v>159</v>
      </c>
    </row>
    <row r="446" spans="1:29" x14ac:dyDescent="0.3">
      <c r="A446" t="s">
        <v>82</v>
      </c>
      <c r="B446" s="7" t="s">
        <v>51</v>
      </c>
      <c r="C446" s="7"/>
      <c r="D446" s="7"/>
      <c r="E446" s="7" t="s">
        <v>68</v>
      </c>
      <c r="F446" s="7">
        <v>0.45340999999999998</v>
      </c>
      <c r="G446" s="7" t="s">
        <v>158</v>
      </c>
      <c r="H446" s="7">
        <v>2.4520900000000001</v>
      </c>
      <c r="I446" s="7" t="s">
        <v>158</v>
      </c>
      <c r="J446" s="7">
        <f t="shared" si="63"/>
        <v>63.617251162500004</v>
      </c>
      <c r="K446" s="7">
        <v>5.31</v>
      </c>
      <c r="M446">
        <f t="shared" si="61"/>
        <v>0</v>
      </c>
      <c r="N446">
        <f t="shared" si="62"/>
        <v>-5.31</v>
      </c>
      <c r="O446" s="7" t="s">
        <v>155</v>
      </c>
      <c r="P446" s="7">
        <v>2.44916</v>
      </c>
      <c r="Q446" s="7"/>
      <c r="R446" s="7"/>
      <c r="S446">
        <f t="shared" si="66"/>
        <v>-2.9300000000000992E-3</v>
      </c>
      <c r="T446">
        <f t="shared" si="65"/>
        <v>-2.4520900000000001</v>
      </c>
      <c r="U446" t="e">
        <f t="shared" ref="U446:U509" si="67">I446-G446</f>
        <v>#VALUE!</v>
      </c>
      <c r="V446" t="e">
        <f t="shared" si="60"/>
        <v>#VALUE!</v>
      </c>
      <c r="W446" t="e">
        <f t="shared" si="64"/>
        <v>#VALUE!</v>
      </c>
      <c r="X446" s="7"/>
      <c r="Y446" s="7"/>
      <c r="Z446" s="7"/>
      <c r="AA446" s="7"/>
      <c r="AB446" s="7"/>
      <c r="AC446" s="7" t="s">
        <v>159</v>
      </c>
    </row>
    <row r="447" spans="1:29" x14ac:dyDescent="0.3">
      <c r="A447" t="s">
        <v>82</v>
      </c>
      <c r="B447" s="7" t="s">
        <v>51</v>
      </c>
      <c r="C447" s="7"/>
      <c r="D447" s="7"/>
      <c r="E447" s="7" t="s">
        <v>69</v>
      </c>
      <c r="F447" s="7">
        <v>0.45300000000000001</v>
      </c>
      <c r="G447" s="7" t="s">
        <v>158</v>
      </c>
      <c r="H447" s="7">
        <v>2.4392399999999999</v>
      </c>
      <c r="I447" s="7" t="s">
        <v>158</v>
      </c>
      <c r="J447" s="7">
        <f t="shared" si="63"/>
        <v>63.617251162500004</v>
      </c>
      <c r="K447" s="7">
        <v>5.31</v>
      </c>
      <c r="M447">
        <f t="shared" si="61"/>
        <v>0</v>
      </c>
      <c r="N447">
        <f t="shared" si="62"/>
        <v>-5.31</v>
      </c>
      <c r="O447" s="7" t="s">
        <v>155</v>
      </c>
      <c r="P447" s="7">
        <v>2.43669</v>
      </c>
      <c r="Q447" s="7"/>
      <c r="R447" s="7"/>
      <c r="S447">
        <f t="shared" si="66"/>
        <v>-2.5499999999998302E-3</v>
      </c>
      <c r="T447">
        <f t="shared" si="65"/>
        <v>-2.4392399999999999</v>
      </c>
      <c r="U447" t="e">
        <f t="shared" si="67"/>
        <v>#VALUE!</v>
      </c>
      <c r="V447" t="e">
        <f t="shared" ref="V447:V510" si="68">T447/U447</f>
        <v>#VALUE!</v>
      </c>
      <c r="W447" t="e">
        <f t="shared" si="64"/>
        <v>#VALUE!</v>
      </c>
      <c r="X447" s="7"/>
      <c r="Y447" s="7"/>
      <c r="Z447" s="7"/>
      <c r="AA447" s="7"/>
      <c r="AB447" s="7"/>
      <c r="AC447" s="7" t="s">
        <v>159</v>
      </c>
    </row>
    <row r="448" spans="1:29" x14ac:dyDescent="0.3">
      <c r="A448" t="s">
        <v>82</v>
      </c>
      <c r="B448" s="7" t="s">
        <v>51</v>
      </c>
      <c r="C448" s="7"/>
      <c r="D448" s="7"/>
      <c r="E448" s="7" t="s">
        <v>70</v>
      </c>
      <c r="F448" s="7">
        <v>0.45191999999999999</v>
      </c>
      <c r="G448" s="7" t="s">
        <v>158</v>
      </c>
      <c r="H448" s="7">
        <v>2.4328099999999999</v>
      </c>
      <c r="I448" s="7" t="s">
        <v>158</v>
      </c>
      <c r="J448" s="7">
        <f t="shared" si="63"/>
        <v>63.617251162500004</v>
      </c>
      <c r="K448" s="7">
        <v>5.31</v>
      </c>
      <c r="M448">
        <f t="shared" si="61"/>
        <v>0</v>
      </c>
      <c r="N448">
        <f t="shared" si="62"/>
        <v>-5.31</v>
      </c>
      <c r="O448" s="7" t="s">
        <v>155</v>
      </c>
      <c r="P448" s="7">
        <v>2.4316800000000001</v>
      </c>
      <c r="Q448" s="7"/>
      <c r="R448" s="7"/>
      <c r="S448">
        <f t="shared" si="66"/>
        <v>-1.1299999999998533E-3</v>
      </c>
      <c r="T448">
        <f t="shared" si="65"/>
        <v>-2.4328099999999999</v>
      </c>
      <c r="U448" t="e">
        <f t="shared" si="67"/>
        <v>#VALUE!</v>
      </c>
      <c r="V448" t="e">
        <f t="shared" si="68"/>
        <v>#VALUE!</v>
      </c>
      <c r="W448" t="e">
        <f t="shared" si="64"/>
        <v>#VALUE!</v>
      </c>
      <c r="X448" s="7"/>
      <c r="Y448" s="7"/>
      <c r="Z448" s="7"/>
      <c r="AA448" s="7"/>
      <c r="AB448" s="7"/>
      <c r="AC448" s="7" t="s">
        <v>159</v>
      </c>
    </row>
    <row r="449" spans="1:29" x14ac:dyDescent="0.3">
      <c r="A449" t="s">
        <v>82</v>
      </c>
      <c r="B449" s="7" t="s">
        <v>54</v>
      </c>
      <c r="C449" s="7">
        <v>1</v>
      </c>
      <c r="D449" s="7">
        <v>0.5</v>
      </c>
      <c r="E449" s="7" t="s">
        <v>64</v>
      </c>
      <c r="F449" s="7">
        <v>0.45329000000000003</v>
      </c>
      <c r="G449" s="10">
        <v>45905</v>
      </c>
      <c r="H449" s="7">
        <v>2.4353500000000001</v>
      </c>
      <c r="I449" s="10">
        <v>45933</v>
      </c>
      <c r="J449" s="7">
        <f t="shared" si="63"/>
        <v>63.617251162500004</v>
      </c>
      <c r="K449" s="7">
        <v>5.31</v>
      </c>
      <c r="M449">
        <f t="shared" si="61"/>
        <v>0</v>
      </c>
      <c r="N449">
        <f t="shared" si="62"/>
        <v>-5.31</v>
      </c>
      <c r="O449" s="7" t="s">
        <v>156</v>
      </c>
      <c r="P449" s="7">
        <v>3.2375500000000001</v>
      </c>
      <c r="Q449" s="7"/>
      <c r="R449" s="7"/>
      <c r="S449">
        <f t="shared" si="66"/>
        <v>0.80220000000000002</v>
      </c>
      <c r="T449">
        <f t="shared" si="65"/>
        <v>-2.4353500000000001</v>
      </c>
      <c r="U449">
        <f t="shared" si="67"/>
        <v>28</v>
      </c>
      <c r="V449">
        <f t="shared" si="68"/>
        <v>-8.6976785714285715E-2</v>
      </c>
      <c r="W449">
        <f t="shared" si="64"/>
        <v>-869.76785714285711</v>
      </c>
      <c r="X449" s="7"/>
      <c r="Y449" s="7"/>
      <c r="Z449" s="7"/>
      <c r="AA449" s="7"/>
      <c r="AB449" s="7"/>
      <c r="AC449" s="7" t="s">
        <v>160</v>
      </c>
    </row>
    <row r="450" spans="1:29" x14ac:dyDescent="0.3">
      <c r="A450" t="s">
        <v>82</v>
      </c>
      <c r="B450" s="7" t="s">
        <v>54</v>
      </c>
      <c r="C450" s="7">
        <v>1</v>
      </c>
      <c r="D450" s="7">
        <v>0.5</v>
      </c>
      <c r="E450" s="7" t="s">
        <v>30</v>
      </c>
      <c r="F450" s="7">
        <v>0.4461</v>
      </c>
      <c r="G450" s="10">
        <v>45905</v>
      </c>
      <c r="H450" s="7">
        <v>2.4514499999999999</v>
      </c>
      <c r="I450" s="10">
        <v>45933</v>
      </c>
      <c r="J450" s="7">
        <f t="shared" si="63"/>
        <v>63.617251162500004</v>
      </c>
      <c r="K450" s="7">
        <v>5.31</v>
      </c>
      <c r="M450">
        <f t="shared" si="61"/>
        <v>0</v>
      </c>
      <c r="N450">
        <f t="shared" si="62"/>
        <v>-5.31</v>
      </c>
      <c r="O450" s="7" t="s">
        <v>156</v>
      </c>
      <c r="P450" s="7">
        <v>3.2571599999999998</v>
      </c>
      <c r="Q450" s="7"/>
      <c r="R450" s="7"/>
      <c r="S450">
        <f t="shared" si="66"/>
        <v>0.80570999999999993</v>
      </c>
      <c r="T450">
        <f t="shared" si="65"/>
        <v>-2.4514499999999999</v>
      </c>
      <c r="U450">
        <f t="shared" si="67"/>
        <v>28</v>
      </c>
      <c r="V450">
        <f t="shared" si="68"/>
        <v>-8.7551785714285707E-2</v>
      </c>
      <c r="W450">
        <f t="shared" si="64"/>
        <v>-875.51785714285711</v>
      </c>
      <c r="X450" s="7"/>
      <c r="Y450" s="7"/>
      <c r="Z450" s="7"/>
      <c r="AA450" s="7"/>
      <c r="AB450" s="7"/>
      <c r="AC450" s="7" t="s">
        <v>160</v>
      </c>
    </row>
    <row r="451" spans="1:29" x14ac:dyDescent="0.3">
      <c r="A451" t="s">
        <v>82</v>
      </c>
      <c r="B451" s="7" t="s">
        <v>54</v>
      </c>
      <c r="C451" s="7">
        <v>1</v>
      </c>
      <c r="D451" s="7">
        <v>0.5</v>
      </c>
      <c r="E451" s="7" t="s">
        <v>31</v>
      </c>
      <c r="F451" s="7">
        <v>0.45132</v>
      </c>
      <c r="G451" s="10">
        <v>45905</v>
      </c>
      <c r="H451" s="7">
        <v>2.4573800000000001</v>
      </c>
      <c r="I451" s="10">
        <v>45933</v>
      </c>
      <c r="J451" s="7">
        <f t="shared" si="63"/>
        <v>63.617251162500004</v>
      </c>
      <c r="K451" s="7">
        <v>5.31</v>
      </c>
      <c r="M451">
        <f t="shared" si="61"/>
        <v>0</v>
      </c>
      <c r="N451">
        <f t="shared" si="62"/>
        <v>-5.31</v>
      </c>
      <c r="O451" s="7" t="s">
        <v>156</v>
      </c>
      <c r="P451" s="7">
        <v>3.1711900000000002</v>
      </c>
      <c r="Q451" s="7"/>
      <c r="R451" s="7"/>
      <c r="S451">
        <f t="shared" si="66"/>
        <v>0.71381000000000006</v>
      </c>
      <c r="T451">
        <f t="shared" si="65"/>
        <v>-2.4573800000000001</v>
      </c>
      <c r="U451">
        <f t="shared" si="67"/>
        <v>28</v>
      </c>
      <c r="V451">
        <f t="shared" si="68"/>
        <v>-8.7763571428571427E-2</v>
      </c>
      <c r="W451">
        <f t="shared" si="64"/>
        <v>-877.63571428571424</v>
      </c>
      <c r="X451" s="7"/>
      <c r="Y451" s="7"/>
      <c r="Z451" s="7"/>
      <c r="AA451" s="7"/>
      <c r="AB451" s="7"/>
      <c r="AC451" s="7" t="s">
        <v>160</v>
      </c>
    </row>
    <row r="452" spans="1:29" x14ac:dyDescent="0.3">
      <c r="A452" t="s">
        <v>82</v>
      </c>
      <c r="B452" s="7" t="s">
        <v>54</v>
      </c>
      <c r="C452" s="7">
        <v>1</v>
      </c>
      <c r="D452" s="7">
        <v>2</v>
      </c>
      <c r="E452" s="7" t="s">
        <v>64</v>
      </c>
      <c r="F452" s="7">
        <v>0.44764999999999999</v>
      </c>
      <c r="G452" s="10">
        <v>45905</v>
      </c>
      <c r="H452" s="7">
        <v>2.4621400000000002</v>
      </c>
      <c r="I452" s="10">
        <v>45933</v>
      </c>
      <c r="J452" s="7">
        <f t="shared" si="63"/>
        <v>63.617251162500004</v>
      </c>
      <c r="K452" s="7">
        <v>5.31</v>
      </c>
      <c r="M452">
        <f t="shared" ref="M452:M515" si="69">L452*F452</f>
        <v>0</v>
      </c>
      <c r="N452">
        <f t="shared" si="62"/>
        <v>-5.31</v>
      </c>
      <c r="O452" s="7" t="s">
        <v>156</v>
      </c>
      <c r="P452" s="7">
        <v>3.2293400000000001</v>
      </c>
      <c r="Q452" s="7"/>
      <c r="R452" s="7"/>
      <c r="S452">
        <f t="shared" si="66"/>
        <v>0.76719999999999988</v>
      </c>
      <c r="T452">
        <f t="shared" si="65"/>
        <v>-2.4621400000000002</v>
      </c>
      <c r="U452">
        <f t="shared" si="67"/>
        <v>28</v>
      </c>
      <c r="V452">
        <f t="shared" si="68"/>
        <v>-8.793357142857143E-2</v>
      </c>
      <c r="W452">
        <f t="shared" si="64"/>
        <v>-879.33571428571429</v>
      </c>
      <c r="X452" s="7"/>
      <c r="Y452" s="7"/>
      <c r="Z452" s="7"/>
      <c r="AA452" s="7"/>
      <c r="AB452" s="7"/>
      <c r="AC452" s="7" t="s">
        <v>160</v>
      </c>
    </row>
    <row r="453" spans="1:29" x14ac:dyDescent="0.3">
      <c r="A453" t="s">
        <v>82</v>
      </c>
      <c r="B453" s="7" t="s">
        <v>54</v>
      </c>
      <c r="C453" s="7">
        <v>1</v>
      </c>
      <c r="D453" s="7">
        <v>2</v>
      </c>
      <c r="E453" s="7" t="s">
        <v>30</v>
      </c>
      <c r="F453" s="7">
        <v>0.45089000000000001</v>
      </c>
      <c r="G453" s="10">
        <v>45905</v>
      </c>
      <c r="H453" s="7">
        <v>2.4511099999999999</v>
      </c>
      <c r="I453" s="10">
        <v>45933</v>
      </c>
      <c r="J453" s="7">
        <f t="shared" si="63"/>
        <v>63.617251162500004</v>
      </c>
      <c r="K453" s="7">
        <v>5.31</v>
      </c>
      <c r="M453">
        <f t="shared" si="69"/>
        <v>0</v>
      </c>
      <c r="N453">
        <f t="shared" si="62"/>
        <v>-5.31</v>
      </c>
      <c r="O453" s="7" t="s">
        <v>156</v>
      </c>
      <c r="P453" s="7">
        <v>3.3589099999999998</v>
      </c>
      <c r="Q453" s="7"/>
      <c r="R453" s="7"/>
      <c r="S453">
        <f t="shared" si="66"/>
        <v>0.90779999999999994</v>
      </c>
      <c r="T453">
        <f t="shared" si="65"/>
        <v>-2.4511099999999999</v>
      </c>
      <c r="U453">
        <f t="shared" si="67"/>
        <v>28</v>
      </c>
      <c r="V453">
        <f t="shared" si="68"/>
        <v>-8.7539642857142858E-2</v>
      </c>
      <c r="W453">
        <f t="shared" si="64"/>
        <v>-875.3964285714286</v>
      </c>
      <c r="X453" s="7"/>
      <c r="Y453" s="7"/>
      <c r="Z453" s="7"/>
      <c r="AA453" s="7"/>
      <c r="AB453" s="7"/>
      <c r="AC453" s="7" t="s">
        <v>160</v>
      </c>
    </row>
    <row r="454" spans="1:29" x14ac:dyDescent="0.3">
      <c r="A454" t="s">
        <v>82</v>
      </c>
      <c r="B454" s="7" t="s">
        <v>54</v>
      </c>
      <c r="C454" s="7">
        <v>1</v>
      </c>
      <c r="D454" s="7">
        <v>2</v>
      </c>
      <c r="E454" s="7" t="s">
        <v>31</v>
      </c>
      <c r="F454" s="7">
        <v>0.44595000000000001</v>
      </c>
      <c r="G454" s="10">
        <v>45905</v>
      </c>
      <c r="H454" s="7">
        <v>2.4582000000000002</v>
      </c>
      <c r="I454" s="10">
        <v>45933</v>
      </c>
      <c r="J454" s="7">
        <f t="shared" si="63"/>
        <v>63.617251162500004</v>
      </c>
      <c r="K454" s="7">
        <v>5.31</v>
      </c>
      <c r="M454">
        <f t="shared" si="69"/>
        <v>0</v>
      </c>
      <c r="N454">
        <f t="shared" si="62"/>
        <v>-5.31</v>
      </c>
      <c r="O454" s="7" t="s">
        <v>156</v>
      </c>
      <c r="P454" s="7">
        <v>4.0007599999999996</v>
      </c>
      <c r="Q454" s="7"/>
      <c r="R454" s="7"/>
      <c r="S454">
        <f t="shared" si="66"/>
        <v>1.5425599999999995</v>
      </c>
      <c r="T454">
        <f t="shared" si="65"/>
        <v>-2.4582000000000002</v>
      </c>
      <c r="U454">
        <f t="shared" si="67"/>
        <v>28</v>
      </c>
      <c r="V454">
        <f t="shared" si="68"/>
        <v>-8.7792857142857145E-2</v>
      </c>
      <c r="W454">
        <f t="shared" si="64"/>
        <v>-877.92857142857144</v>
      </c>
      <c r="X454" s="7"/>
      <c r="Y454" s="7"/>
      <c r="Z454" s="7"/>
      <c r="AA454" s="7"/>
      <c r="AB454" s="7"/>
      <c r="AC454" s="7" t="s">
        <v>160</v>
      </c>
    </row>
    <row r="455" spans="1:29" x14ac:dyDescent="0.3">
      <c r="A455" t="s">
        <v>82</v>
      </c>
      <c r="B455" s="7" t="s">
        <v>54</v>
      </c>
      <c r="C455" s="7">
        <v>1</v>
      </c>
      <c r="D455" s="7">
        <v>6</v>
      </c>
      <c r="E455" s="7" t="s">
        <v>64</v>
      </c>
      <c r="F455" s="7">
        <v>0.45089000000000001</v>
      </c>
      <c r="G455" s="10">
        <v>45905</v>
      </c>
      <c r="H455" s="7">
        <v>2.47532</v>
      </c>
      <c r="I455" s="10">
        <v>45933</v>
      </c>
      <c r="J455" s="7">
        <f t="shared" si="63"/>
        <v>63.617251162500004</v>
      </c>
      <c r="K455" s="7">
        <v>5.31</v>
      </c>
      <c r="M455">
        <f t="shared" si="69"/>
        <v>0</v>
      </c>
      <c r="N455">
        <f t="shared" si="62"/>
        <v>-5.31</v>
      </c>
      <c r="O455" s="7" t="s">
        <v>156</v>
      </c>
      <c r="P455" s="7">
        <v>3.9504100000000002</v>
      </c>
      <c r="Q455" s="7"/>
      <c r="R455" s="7"/>
      <c r="S455">
        <f t="shared" si="66"/>
        <v>1.4750900000000002</v>
      </c>
      <c r="T455">
        <f t="shared" si="65"/>
        <v>-2.47532</v>
      </c>
      <c r="U455">
        <f t="shared" si="67"/>
        <v>28</v>
      </c>
      <c r="V455">
        <f t="shared" si="68"/>
        <v>-8.8404285714285713E-2</v>
      </c>
      <c r="W455">
        <f t="shared" si="64"/>
        <v>-884.04285714285709</v>
      </c>
      <c r="X455" s="7"/>
      <c r="Y455" s="7"/>
      <c r="Z455" s="7"/>
      <c r="AA455" s="7"/>
      <c r="AB455" s="7"/>
      <c r="AC455" s="7" t="s">
        <v>160</v>
      </c>
    </row>
    <row r="456" spans="1:29" x14ac:dyDescent="0.3">
      <c r="A456" t="s">
        <v>82</v>
      </c>
      <c r="B456" s="7" t="s">
        <v>54</v>
      </c>
      <c r="C456" s="7">
        <v>1</v>
      </c>
      <c r="D456" s="7">
        <v>6</v>
      </c>
      <c r="E456" s="7" t="s">
        <v>30</v>
      </c>
      <c r="F456" s="7">
        <v>0.44675999999999999</v>
      </c>
      <c r="G456" s="10">
        <v>45905</v>
      </c>
      <c r="H456" s="7">
        <v>2.44068</v>
      </c>
      <c r="I456" s="10">
        <v>45933</v>
      </c>
      <c r="J456" s="7">
        <f t="shared" si="63"/>
        <v>63.617251162500004</v>
      </c>
      <c r="K456" s="7">
        <v>5.31</v>
      </c>
      <c r="M456">
        <f t="shared" si="69"/>
        <v>0</v>
      </c>
      <c r="N456">
        <f t="shared" si="62"/>
        <v>-5.31</v>
      </c>
      <c r="O456" s="7" t="s">
        <v>156</v>
      </c>
      <c r="P456" s="7">
        <v>3.9562599999999999</v>
      </c>
      <c r="Q456" s="7"/>
      <c r="R456" s="7"/>
      <c r="S456">
        <f t="shared" si="66"/>
        <v>1.5155799999999999</v>
      </c>
      <c r="T456">
        <f t="shared" si="65"/>
        <v>-2.44068</v>
      </c>
      <c r="U456">
        <f t="shared" si="67"/>
        <v>28</v>
      </c>
      <c r="V456">
        <f t="shared" si="68"/>
        <v>-8.716714285714286E-2</v>
      </c>
      <c r="W456">
        <f t="shared" si="64"/>
        <v>-871.67142857142858</v>
      </c>
      <c r="X456" s="7"/>
      <c r="Y456" s="7"/>
      <c r="Z456" s="7"/>
      <c r="AA456" s="7"/>
      <c r="AB456" s="7"/>
      <c r="AC456" s="7" t="s">
        <v>160</v>
      </c>
    </row>
    <row r="457" spans="1:29" x14ac:dyDescent="0.3">
      <c r="A457" t="s">
        <v>82</v>
      </c>
      <c r="B457" s="7" t="s">
        <v>54</v>
      </c>
      <c r="C457" s="7">
        <v>1</v>
      </c>
      <c r="D457" s="7">
        <v>6</v>
      </c>
      <c r="E457" s="7" t="s">
        <v>31</v>
      </c>
      <c r="F457" s="7">
        <v>0.44782</v>
      </c>
      <c r="G457" s="10">
        <v>45905</v>
      </c>
      <c r="H457" s="7">
        <v>2.4628800000000002</v>
      </c>
      <c r="I457" s="10">
        <v>45933</v>
      </c>
      <c r="J457" s="7">
        <f t="shared" si="63"/>
        <v>63.617251162500004</v>
      </c>
      <c r="K457" s="7">
        <v>5.31</v>
      </c>
      <c r="M457">
        <f t="shared" si="69"/>
        <v>0</v>
      </c>
      <c r="N457">
        <f t="shared" si="62"/>
        <v>-5.31</v>
      </c>
      <c r="O457" s="7" t="s">
        <v>156</v>
      </c>
      <c r="P457" s="7">
        <v>3.99011</v>
      </c>
      <c r="Q457" s="7"/>
      <c r="R457" s="7"/>
      <c r="S457">
        <f t="shared" si="66"/>
        <v>1.5272299999999999</v>
      </c>
      <c r="T457">
        <f t="shared" si="65"/>
        <v>-2.4628800000000002</v>
      </c>
      <c r="U457">
        <f t="shared" si="67"/>
        <v>28</v>
      </c>
      <c r="V457">
        <f t="shared" si="68"/>
        <v>-8.796000000000001E-2</v>
      </c>
      <c r="W457">
        <f t="shared" si="64"/>
        <v>-879.60000000000014</v>
      </c>
      <c r="X457" s="7"/>
      <c r="Y457" s="7"/>
      <c r="Z457" s="7"/>
      <c r="AA457" s="7"/>
      <c r="AB457" s="7"/>
      <c r="AC457" s="7" t="s">
        <v>160</v>
      </c>
    </row>
    <row r="458" spans="1:29" x14ac:dyDescent="0.3">
      <c r="A458" t="s">
        <v>82</v>
      </c>
      <c r="B458" s="7" t="s">
        <v>54</v>
      </c>
      <c r="C458" s="7">
        <v>1</v>
      </c>
      <c r="D458" s="7">
        <v>12</v>
      </c>
      <c r="E458" s="7" t="s">
        <v>64</v>
      </c>
      <c r="F458" s="7">
        <v>0.45139000000000001</v>
      </c>
      <c r="G458" s="10">
        <v>45905</v>
      </c>
      <c r="H458" s="7">
        <v>2.49194</v>
      </c>
      <c r="I458" s="10">
        <v>45933</v>
      </c>
      <c r="J458" s="7">
        <f t="shared" si="63"/>
        <v>63.617251162500004</v>
      </c>
      <c r="K458" s="7">
        <v>5.31</v>
      </c>
      <c r="M458">
        <f t="shared" si="69"/>
        <v>0</v>
      </c>
      <c r="N458">
        <f t="shared" si="62"/>
        <v>-5.31</v>
      </c>
      <c r="O458" s="7" t="s">
        <v>156</v>
      </c>
      <c r="P458" s="7">
        <v>4.5145</v>
      </c>
      <c r="Q458" s="7"/>
      <c r="R458" s="7"/>
      <c r="S458">
        <f t="shared" si="66"/>
        <v>2.0225599999999999</v>
      </c>
      <c r="T458">
        <f t="shared" si="65"/>
        <v>-2.49194</v>
      </c>
      <c r="U458">
        <f t="shared" si="67"/>
        <v>28</v>
      </c>
      <c r="V458">
        <f t="shared" si="68"/>
        <v>-8.8997857142857142E-2</v>
      </c>
      <c r="W458">
        <f t="shared" si="64"/>
        <v>-889.9785714285714</v>
      </c>
      <c r="X458" s="7"/>
      <c r="Y458" s="7"/>
      <c r="Z458" s="7"/>
      <c r="AA458" s="7"/>
      <c r="AB458" s="7"/>
      <c r="AC458" s="7" t="s">
        <v>160</v>
      </c>
    </row>
    <row r="459" spans="1:29" x14ac:dyDescent="0.3">
      <c r="A459" t="s">
        <v>82</v>
      </c>
      <c r="B459" s="7" t="s">
        <v>54</v>
      </c>
      <c r="C459" s="7">
        <v>1</v>
      </c>
      <c r="D459" s="7">
        <v>12</v>
      </c>
      <c r="E459" s="7" t="s">
        <v>30</v>
      </c>
      <c r="F459" s="7">
        <v>0.44773000000000002</v>
      </c>
      <c r="G459" s="10">
        <v>45905</v>
      </c>
      <c r="H459" s="7">
        <v>2.4367399999999999</v>
      </c>
      <c r="I459" s="10">
        <v>45933</v>
      </c>
      <c r="J459" s="7">
        <f t="shared" si="63"/>
        <v>63.617251162500004</v>
      </c>
      <c r="K459" s="7">
        <v>5.31</v>
      </c>
      <c r="M459">
        <f t="shared" si="69"/>
        <v>0</v>
      </c>
      <c r="N459">
        <f t="shared" si="62"/>
        <v>-5.31</v>
      </c>
      <c r="O459" s="7" t="s">
        <v>156</v>
      </c>
      <c r="P459" s="7">
        <v>4.2513399999999999</v>
      </c>
      <c r="Q459" s="7"/>
      <c r="R459" s="7"/>
      <c r="S459">
        <f t="shared" si="66"/>
        <v>1.8146</v>
      </c>
      <c r="T459">
        <f t="shared" si="65"/>
        <v>-2.4367399999999999</v>
      </c>
      <c r="U459">
        <f t="shared" si="67"/>
        <v>28</v>
      </c>
      <c r="V459">
        <f t="shared" si="68"/>
        <v>-8.7026428571428574E-2</v>
      </c>
      <c r="W459">
        <f t="shared" si="64"/>
        <v>-870.26428571428573</v>
      </c>
      <c r="X459" s="7"/>
      <c r="Y459" s="7"/>
      <c r="Z459" s="7"/>
      <c r="AA459" s="7"/>
      <c r="AB459" s="7"/>
      <c r="AC459" s="7" t="s">
        <v>160</v>
      </c>
    </row>
    <row r="460" spans="1:29" x14ac:dyDescent="0.3">
      <c r="A460" t="s">
        <v>82</v>
      </c>
      <c r="B460" s="7" t="s">
        <v>54</v>
      </c>
      <c r="C460" s="7">
        <v>1</v>
      </c>
      <c r="D460" s="7">
        <v>12</v>
      </c>
      <c r="E460" s="7" t="s">
        <v>31</v>
      </c>
      <c r="F460" s="7">
        <v>0.44996999999999998</v>
      </c>
      <c r="G460" s="10">
        <v>45905</v>
      </c>
      <c r="H460" s="7">
        <v>2.9359999999999999</v>
      </c>
      <c r="I460" s="10">
        <v>45933</v>
      </c>
      <c r="J460" s="7">
        <f t="shared" si="63"/>
        <v>63.617251162500004</v>
      </c>
      <c r="K460" s="7">
        <v>5.31</v>
      </c>
      <c r="M460">
        <f t="shared" si="69"/>
        <v>0</v>
      </c>
      <c r="N460">
        <f t="shared" si="62"/>
        <v>-5.31</v>
      </c>
      <c r="O460" s="7" t="s">
        <v>156</v>
      </c>
      <c r="P460" s="7">
        <v>4.2787300000000004</v>
      </c>
      <c r="Q460" s="7"/>
      <c r="R460" s="7"/>
      <c r="S460">
        <f t="shared" si="66"/>
        <v>1.3427300000000004</v>
      </c>
      <c r="T460">
        <f t="shared" si="65"/>
        <v>-2.9359999999999999</v>
      </c>
      <c r="U460">
        <f t="shared" si="67"/>
        <v>28</v>
      </c>
      <c r="V460">
        <f t="shared" si="68"/>
        <v>-0.10485714285714286</v>
      </c>
      <c r="W460">
        <f t="shared" si="64"/>
        <v>-1048.5714285714287</v>
      </c>
      <c r="X460" s="7"/>
      <c r="Y460" s="7"/>
      <c r="Z460" s="7"/>
      <c r="AA460" s="7"/>
      <c r="AB460" s="7"/>
      <c r="AC460" s="7" t="s">
        <v>160</v>
      </c>
    </row>
    <row r="461" spans="1:29" x14ac:dyDescent="0.3">
      <c r="A461" t="s">
        <v>82</v>
      </c>
      <c r="B461" s="7" t="s">
        <v>54</v>
      </c>
      <c r="C461" s="7">
        <v>1</v>
      </c>
      <c r="D461" s="7">
        <v>24</v>
      </c>
      <c r="E461" s="7" t="s">
        <v>28</v>
      </c>
      <c r="F461" s="7">
        <v>0.4471</v>
      </c>
      <c r="G461" s="10">
        <v>45905</v>
      </c>
      <c r="H461" s="7">
        <v>2.4249800000000001</v>
      </c>
      <c r="I461" s="10">
        <v>45933</v>
      </c>
      <c r="J461" s="7">
        <f t="shared" si="63"/>
        <v>63.617251162500004</v>
      </c>
      <c r="K461" s="7">
        <v>5.31</v>
      </c>
      <c r="M461">
        <f t="shared" si="69"/>
        <v>0</v>
      </c>
      <c r="N461">
        <f t="shared" si="62"/>
        <v>-5.31</v>
      </c>
      <c r="O461" s="7" t="s">
        <v>156</v>
      </c>
      <c r="P461" s="7">
        <v>3.3162400000000001</v>
      </c>
      <c r="Q461" s="7"/>
      <c r="R461" s="7"/>
      <c r="S461">
        <f t="shared" si="66"/>
        <v>0.89125999999999994</v>
      </c>
      <c r="T461">
        <f t="shared" si="65"/>
        <v>-2.4249800000000001</v>
      </c>
      <c r="U461">
        <f t="shared" si="67"/>
        <v>28</v>
      </c>
      <c r="V461">
        <f t="shared" si="68"/>
        <v>-8.660642857142857E-2</v>
      </c>
      <c r="W461">
        <f t="shared" si="64"/>
        <v>-866.06428571428569</v>
      </c>
      <c r="X461" s="7"/>
      <c r="Y461" s="7"/>
      <c r="Z461" s="7"/>
      <c r="AA461" s="7"/>
      <c r="AB461" s="7"/>
      <c r="AC461" s="7" t="s">
        <v>161</v>
      </c>
    </row>
    <row r="462" spans="1:29" x14ac:dyDescent="0.3">
      <c r="A462" t="s">
        <v>82</v>
      </c>
      <c r="B462" s="7" t="s">
        <v>54</v>
      </c>
      <c r="C462" s="7">
        <v>1</v>
      </c>
      <c r="D462" s="7">
        <v>24</v>
      </c>
      <c r="E462" s="7" t="s">
        <v>30</v>
      </c>
      <c r="F462" s="7">
        <v>0.44736999999999999</v>
      </c>
      <c r="G462" s="10">
        <v>45905</v>
      </c>
      <c r="H462" s="7">
        <v>2.42822</v>
      </c>
      <c r="I462" s="10">
        <v>45933</v>
      </c>
      <c r="J462" s="7">
        <f t="shared" si="63"/>
        <v>63.617251162500004</v>
      </c>
      <c r="K462" s="7">
        <v>5.31</v>
      </c>
      <c r="M462">
        <f t="shared" si="69"/>
        <v>0</v>
      </c>
      <c r="N462">
        <f t="shared" si="62"/>
        <v>-5.31</v>
      </c>
      <c r="O462" s="7" t="s">
        <v>156</v>
      </c>
      <c r="P462" s="7">
        <v>3.8052600000000001</v>
      </c>
      <c r="Q462" s="7"/>
      <c r="R462" s="7"/>
      <c r="S462">
        <f t="shared" si="66"/>
        <v>1.37704</v>
      </c>
      <c r="T462">
        <f t="shared" si="65"/>
        <v>-2.42822</v>
      </c>
      <c r="U462">
        <f t="shared" si="67"/>
        <v>28</v>
      </c>
      <c r="V462">
        <f t="shared" si="68"/>
        <v>-8.6722142857142859E-2</v>
      </c>
      <c r="W462">
        <f t="shared" si="64"/>
        <v>-867.22142857142853</v>
      </c>
      <c r="X462" s="7"/>
      <c r="Y462" s="7"/>
      <c r="Z462" s="7"/>
      <c r="AA462" s="7"/>
      <c r="AB462" s="7"/>
      <c r="AC462" s="7" t="s">
        <v>160</v>
      </c>
    </row>
    <row r="463" spans="1:29" x14ac:dyDescent="0.3">
      <c r="A463" t="s">
        <v>82</v>
      </c>
      <c r="B463" s="7" t="s">
        <v>54</v>
      </c>
      <c r="C463" s="7">
        <v>1</v>
      </c>
      <c r="D463" s="7">
        <v>24</v>
      </c>
      <c r="E463" s="7" t="s">
        <v>31</v>
      </c>
      <c r="F463" s="7">
        <v>0.45354</v>
      </c>
      <c r="G463" s="10">
        <v>45905</v>
      </c>
      <c r="H463" s="7">
        <v>2.44957</v>
      </c>
      <c r="I463" s="10">
        <v>45933</v>
      </c>
      <c r="J463" s="7">
        <f t="shared" si="63"/>
        <v>63.617251162500004</v>
      </c>
      <c r="K463" s="7">
        <v>5.31</v>
      </c>
      <c r="M463">
        <f t="shared" si="69"/>
        <v>0</v>
      </c>
      <c r="N463">
        <f t="shared" si="62"/>
        <v>-5.31</v>
      </c>
      <c r="O463" s="7" t="s">
        <v>156</v>
      </c>
      <c r="P463" s="7">
        <v>3.5907800000000001</v>
      </c>
      <c r="Q463" s="7"/>
      <c r="R463" s="7"/>
      <c r="S463">
        <f t="shared" si="66"/>
        <v>1.1412100000000001</v>
      </c>
      <c r="T463">
        <f t="shared" si="65"/>
        <v>-2.44957</v>
      </c>
      <c r="U463">
        <f t="shared" si="67"/>
        <v>28</v>
      </c>
      <c r="V463">
        <f t="shared" si="68"/>
        <v>-8.7484642857142858E-2</v>
      </c>
      <c r="W463">
        <f t="shared" si="64"/>
        <v>-874.84642857142853</v>
      </c>
      <c r="X463" s="7"/>
      <c r="Y463" s="7"/>
      <c r="Z463" s="7"/>
      <c r="AA463" s="7"/>
      <c r="AB463" s="7"/>
      <c r="AC463" s="7" t="s">
        <v>162</v>
      </c>
    </row>
    <row r="464" spans="1:29" x14ac:dyDescent="0.3">
      <c r="A464" t="s">
        <v>82</v>
      </c>
      <c r="B464" s="7" t="s">
        <v>54</v>
      </c>
      <c r="C464" s="7">
        <v>1</v>
      </c>
      <c r="D464" s="7">
        <v>48</v>
      </c>
      <c r="E464" s="7" t="s">
        <v>64</v>
      </c>
      <c r="F464" s="7">
        <v>0.44857999999999998</v>
      </c>
      <c r="G464" s="10">
        <v>45905</v>
      </c>
      <c r="H464" s="7">
        <v>2.4479099999999998</v>
      </c>
      <c r="I464" s="10">
        <v>45933</v>
      </c>
      <c r="J464" s="7">
        <f t="shared" si="63"/>
        <v>63.617251162500004</v>
      </c>
      <c r="K464" s="7">
        <v>5.31</v>
      </c>
      <c r="M464">
        <f t="shared" si="69"/>
        <v>0</v>
      </c>
      <c r="N464">
        <f t="shared" si="62"/>
        <v>-5.31</v>
      </c>
      <c r="O464" s="7" t="s">
        <v>156</v>
      </c>
      <c r="P464" s="7">
        <v>3.3043200000000001</v>
      </c>
      <c r="Q464" s="7"/>
      <c r="R464" s="7"/>
      <c r="S464">
        <f t="shared" si="66"/>
        <v>0.85641000000000034</v>
      </c>
      <c r="T464">
        <f t="shared" si="65"/>
        <v>-2.4479099999999998</v>
      </c>
      <c r="U464">
        <f t="shared" si="67"/>
        <v>28</v>
      </c>
      <c r="V464">
        <f t="shared" si="68"/>
        <v>-8.7425357142857138E-2</v>
      </c>
      <c r="W464">
        <f t="shared" si="64"/>
        <v>-874.25357142857138</v>
      </c>
      <c r="X464" s="7"/>
      <c r="Y464" s="7"/>
      <c r="Z464" s="7"/>
      <c r="AA464" s="7"/>
      <c r="AB464" s="7"/>
      <c r="AC464" s="7" t="s">
        <v>160</v>
      </c>
    </row>
    <row r="465" spans="1:29" x14ac:dyDescent="0.3">
      <c r="A465" t="s">
        <v>82</v>
      </c>
      <c r="B465" s="7" t="s">
        <v>54</v>
      </c>
      <c r="C465" s="7">
        <v>1</v>
      </c>
      <c r="D465" s="7">
        <v>48</v>
      </c>
      <c r="E465" s="7" t="s">
        <v>30</v>
      </c>
      <c r="F465" s="7">
        <v>0.45363999999999999</v>
      </c>
      <c r="G465" s="10">
        <v>45905</v>
      </c>
      <c r="H465" s="7">
        <v>2.4385599999999998</v>
      </c>
      <c r="I465" s="10">
        <v>45933</v>
      </c>
      <c r="J465" s="7">
        <f t="shared" si="63"/>
        <v>63.617251162500004</v>
      </c>
      <c r="K465" s="7">
        <v>5.31</v>
      </c>
      <c r="M465">
        <f t="shared" si="69"/>
        <v>0</v>
      </c>
      <c r="N465">
        <f t="shared" si="62"/>
        <v>-5.31</v>
      </c>
      <c r="O465" s="7" t="s">
        <v>156</v>
      </c>
      <c r="P465" s="7">
        <v>3.5846399999999998</v>
      </c>
      <c r="Q465" s="7"/>
      <c r="R465" s="7"/>
      <c r="S465">
        <f t="shared" si="66"/>
        <v>1.14608</v>
      </c>
      <c r="T465">
        <f t="shared" si="65"/>
        <v>-2.4385599999999998</v>
      </c>
      <c r="U465">
        <f t="shared" si="67"/>
        <v>28</v>
      </c>
      <c r="V465">
        <f t="shared" si="68"/>
        <v>-8.709142857142857E-2</v>
      </c>
      <c r="W465">
        <f t="shared" si="64"/>
        <v>-870.91428571428571</v>
      </c>
      <c r="X465" s="7"/>
      <c r="Y465" s="7"/>
      <c r="Z465" s="7"/>
      <c r="AA465" s="7"/>
      <c r="AB465" s="7"/>
      <c r="AC465" s="7" t="s">
        <v>160</v>
      </c>
    </row>
    <row r="466" spans="1:29" x14ac:dyDescent="0.3">
      <c r="A466" t="s">
        <v>82</v>
      </c>
      <c r="B466" s="7" t="s">
        <v>54</v>
      </c>
      <c r="C466" s="7">
        <v>1</v>
      </c>
      <c r="D466" s="7">
        <v>48</v>
      </c>
      <c r="E466" s="7" t="s">
        <v>31</v>
      </c>
      <c r="F466" s="7">
        <v>0.44946999999999998</v>
      </c>
      <c r="G466" s="10">
        <v>45905</v>
      </c>
      <c r="H466" s="7">
        <v>2.4444699999999999</v>
      </c>
      <c r="I466" s="10">
        <v>45933</v>
      </c>
      <c r="J466" s="7">
        <f t="shared" si="63"/>
        <v>63.617251162500004</v>
      </c>
      <c r="K466" s="7">
        <v>5.31</v>
      </c>
      <c r="M466">
        <f t="shared" si="69"/>
        <v>0</v>
      </c>
      <c r="N466">
        <f t="shared" si="62"/>
        <v>-5.31</v>
      </c>
      <c r="O466" s="7" t="s">
        <v>156</v>
      </c>
      <c r="P466" s="7">
        <v>3.4687800000000002</v>
      </c>
      <c r="Q466" s="7"/>
      <c r="R466" s="7"/>
      <c r="S466">
        <f t="shared" si="66"/>
        <v>1.0243100000000003</v>
      </c>
      <c r="T466">
        <f t="shared" si="65"/>
        <v>-2.4444699999999999</v>
      </c>
      <c r="U466">
        <f t="shared" si="67"/>
        <v>28</v>
      </c>
      <c r="V466">
        <f t="shared" si="68"/>
        <v>-8.7302499999999991E-2</v>
      </c>
      <c r="W466">
        <f t="shared" si="64"/>
        <v>-873.02499999999986</v>
      </c>
      <c r="X466" s="7"/>
      <c r="Y466" s="7"/>
      <c r="Z466" s="7"/>
      <c r="AA466" s="7"/>
      <c r="AB466" s="7"/>
      <c r="AC466" s="7" t="s">
        <v>160</v>
      </c>
    </row>
    <row r="467" spans="1:29" x14ac:dyDescent="0.3">
      <c r="A467" t="s">
        <v>82</v>
      </c>
      <c r="B467" t="s">
        <v>54</v>
      </c>
      <c r="C467">
        <v>2</v>
      </c>
      <c r="D467">
        <v>0.5</v>
      </c>
      <c r="E467" t="s">
        <v>64</v>
      </c>
      <c r="F467">
        <v>0.45519999999999999</v>
      </c>
      <c r="G467" s="1">
        <v>45905</v>
      </c>
      <c r="H467">
        <v>2.4341900000000001</v>
      </c>
      <c r="I467" s="1">
        <v>45933</v>
      </c>
      <c r="J467">
        <f t="shared" si="63"/>
        <v>63.617251162500004</v>
      </c>
      <c r="K467">
        <v>5.31</v>
      </c>
      <c r="M467">
        <f t="shared" si="69"/>
        <v>0</v>
      </c>
      <c r="N467">
        <f t="shared" si="62"/>
        <v>-5.31</v>
      </c>
      <c r="O467" t="s">
        <v>157</v>
      </c>
      <c r="P467">
        <v>3.0808800000000001</v>
      </c>
      <c r="S467">
        <f t="shared" si="66"/>
        <v>0.64668999999999999</v>
      </c>
      <c r="T467">
        <f t="shared" si="65"/>
        <v>-2.4341900000000001</v>
      </c>
      <c r="U467">
        <f t="shared" si="67"/>
        <v>28</v>
      </c>
      <c r="V467">
        <f t="shared" si="68"/>
        <v>-8.6935357142857148E-2</v>
      </c>
      <c r="W467">
        <f t="shared" si="64"/>
        <v>-869.35357142857151</v>
      </c>
      <c r="AC467" t="s">
        <v>153</v>
      </c>
    </row>
    <row r="468" spans="1:29" x14ac:dyDescent="0.3">
      <c r="A468" t="s">
        <v>82</v>
      </c>
      <c r="B468" t="s">
        <v>54</v>
      </c>
      <c r="C468">
        <v>2</v>
      </c>
      <c r="D468">
        <v>0.5</v>
      </c>
      <c r="E468" t="s">
        <v>30</v>
      </c>
      <c r="F468">
        <v>0.43428</v>
      </c>
      <c r="G468" s="1">
        <v>45905</v>
      </c>
      <c r="H468">
        <v>2.4463300000000001</v>
      </c>
      <c r="I468" s="1">
        <v>45933</v>
      </c>
      <c r="J468">
        <f t="shared" si="63"/>
        <v>63.617251162500004</v>
      </c>
      <c r="K468">
        <v>5.31</v>
      </c>
      <c r="M468">
        <f t="shared" si="69"/>
        <v>0</v>
      </c>
      <c r="N468">
        <f t="shared" si="62"/>
        <v>-5.31</v>
      </c>
      <c r="O468" t="s">
        <v>157</v>
      </c>
      <c r="P468">
        <v>3.0820099999999999</v>
      </c>
      <c r="S468">
        <f t="shared" si="66"/>
        <v>0.6356799999999998</v>
      </c>
      <c r="T468">
        <f t="shared" si="65"/>
        <v>-2.4463300000000001</v>
      </c>
      <c r="U468">
        <f t="shared" si="67"/>
        <v>28</v>
      </c>
      <c r="V468">
        <f t="shared" si="68"/>
        <v>-8.736892857142857E-2</v>
      </c>
      <c r="W468">
        <f t="shared" si="64"/>
        <v>-873.68928571428569</v>
      </c>
    </row>
    <row r="469" spans="1:29" x14ac:dyDescent="0.3">
      <c r="A469" t="s">
        <v>82</v>
      </c>
      <c r="B469" t="s">
        <v>54</v>
      </c>
      <c r="C469">
        <v>2</v>
      </c>
      <c r="D469">
        <v>0.5</v>
      </c>
      <c r="E469" t="s">
        <v>31</v>
      </c>
      <c r="F469">
        <v>0.45639000000000002</v>
      </c>
      <c r="G469" s="1">
        <v>45905</v>
      </c>
      <c r="H469">
        <v>2.4432399999999999</v>
      </c>
      <c r="I469" s="1">
        <v>45933</v>
      </c>
      <c r="J469">
        <f t="shared" si="63"/>
        <v>63.617251162500004</v>
      </c>
      <c r="K469">
        <v>5.31</v>
      </c>
      <c r="M469">
        <f t="shared" si="69"/>
        <v>0</v>
      </c>
      <c r="N469">
        <f t="shared" si="62"/>
        <v>-5.31</v>
      </c>
      <c r="O469" t="s">
        <v>157</v>
      </c>
      <c r="P469">
        <v>2.8519999999999999</v>
      </c>
      <c r="S469">
        <f t="shared" si="66"/>
        <v>0.40876000000000001</v>
      </c>
      <c r="T469">
        <f t="shared" si="65"/>
        <v>-2.4432399999999999</v>
      </c>
      <c r="U469">
        <f t="shared" si="67"/>
        <v>28</v>
      </c>
      <c r="V469">
        <f t="shared" si="68"/>
        <v>-8.7258571428571421E-2</v>
      </c>
      <c r="W469">
        <f t="shared" si="64"/>
        <v>-872.58571428571418</v>
      </c>
    </row>
    <row r="470" spans="1:29" x14ac:dyDescent="0.3">
      <c r="A470" t="s">
        <v>82</v>
      </c>
      <c r="B470" t="s">
        <v>54</v>
      </c>
      <c r="C470">
        <v>2</v>
      </c>
      <c r="D470">
        <v>2</v>
      </c>
      <c r="E470" t="s">
        <v>64</v>
      </c>
      <c r="F470">
        <v>0.43584000000000001</v>
      </c>
      <c r="G470" s="1">
        <v>45905</v>
      </c>
      <c r="H470">
        <v>2.4565899999999998</v>
      </c>
      <c r="I470" s="1">
        <v>45933</v>
      </c>
      <c r="J470">
        <f t="shared" si="63"/>
        <v>63.617251162500004</v>
      </c>
      <c r="K470">
        <v>5.31</v>
      </c>
      <c r="M470">
        <f t="shared" si="69"/>
        <v>0</v>
      </c>
      <c r="N470">
        <f t="shared" si="62"/>
        <v>-5.31</v>
      </c>
      <c r="O470" t="s">
        <v>157</v>
      </c>
      <c r="P470">
        <v>3.2334100000000001</v>
      </c>
      <c r="S470">
        <f t="shared" si="66"/>
        <v>0.77682000000000029</v>
      </c>
      <c r="T470">
        <f t="shared" si="65"/>
        <v>-2.4565899999999998</v>
      </c>
      <c r="U470">
        <f t="shared" si="67"/>
        <v>28</v>
      </c>
      <c r="V470">
        <f t="shared" si="68"/>
        <v>-8.7735357142857143E-2</v>
      </c>
      <c r="W470">
        <f t="shared" si="64"/>
        <v>-877.3535714285714</v>
      </c>
    </row>
    <row r="471" spans="1:29" x14ac:dyDescent="0.3">
      <c r="A471" t="s">
        <v>82</v>
      </c>
      <c r="B471" t="s">
        <v>54</v>
      </c>
      <c r="C471">
        <v>2</v>
      </c>
      <c r="D471">
        <v>2</v>
      </c>
      <c r="E471" t="s">
        <v>30</v>
      </c>
      <c r="F471">
        <v>0.43778</v>
      </c>
      <c r="G471" s="1">
        <v>45905</v>
      </c>
      <c r="H471">
        <v>2.45614</v>
      </c>
      <c r="I471" s="1">
        <v>45933</v>
      </c>
      <c r="J471">
        <f t="shared" si="63"/>
        <v>63.617251162500004</v>
      </c>
      <c r="K471">
        <v>5.31</v>
      </c>
      <c r="M471">
        <f t="shared" si="69"/>
        <v>0</v>
      </c>
      <c r="N471">
        <f t="shared" ref="N471:N534" si="70">L471*J471-K471</f>
        <v>-5.31</v>
      </c>
      <c r="O471" t="s">
        <v>157</v>
      </c>
      <c r="P471">
        <v>3.1623399999999999</v>
      </c>
      <c r="S471">
        <f t="shared" si="66"/>
        <v>0.70619999999999994</v>
      </c>
      <c r="T471">
        <f t="shared" si="65"/>
        <v>-2.45614</v>
      </c>
      <c r="U471">
        <f t="shared" si="67"/>
        <v>28</v>
      </c>
      <c r="V471">
        <f t="shared" si="68"/>
        <v>-8.7719285714285708E-2</v>
      </c>
      <c r="W471">
        <f t="shared" si="64"/>
        <v>-877.19285714285706</v>
      </c>
    </row>
    <row r="472" spans="1:29" x14ac:dyDescent="0.3">
      <c r="A472" t="s">
        <v>82</v>
      </c>
      <c r="B472" t="s">
        <v>54</v>
      </c>
      <c r="C472">
        <v>2</v>
      </c>
      <c r="D472">
        <v>2</v>
      </c>
      <c r="E472" t="s">
        <v>31</v>
      </c>
      <c r="F472">
        <v>0.45673999999999998</v>
      </c>
      <c r="G472" s="1">
        <v>45905</v>
      </c>
      <c r="H472">
        <v>2.4394300000000002</v>
      </c>
      <c r="I472" s="1">
        <v>45933</v>
      </c>
      <c r="J472">
        <f t="shared" si="63"/>
        <v>63.617251162500004</v>
      </c>
      <c r="K472">
        <v>5.31</v>
      </c>
      <c r="M472">
        <f t="shared" si="69"/>
        <v>0</v>
      </c>
      <c r="N472">
        <f t="shared" si="70"/>
        <v>-5.31</v>
      </c>
      <c r="O472" t="s">
        <v>157</v>
      </c>
      <c r="P472">
        <v>3.2761900000000002</v>
      </c>
      <c r="S472">
        <f t="shared" si="66"/>
        <v>0.83675999999999995</v>
      </c>
      <c r="T472">
        <f t="shared" si="65"/>
        <v>-2.4394300000000002</v>
      </c>
      <c r="U472">
        <f t="shared" si="67"/>
        <v>28</v>
      </c>
      <c r="V472">
        <f t="shared" si="68"/>
        <v>-8.7122500000000005E-2</v>
      </c>
      <c r="W472">
        <f t="shared" si="64"/>
        <v>-871.22500000000002</v>
      </c>
    </row>
    <row r="473" spans="1:29" x14ac:dyDescent="0.3">
      <c r="A473" t="s">
        <v>82</v>
      </c>
      <c r="B473" t="s">
        <v>54</v>
      </c>
      <c r="C473">
        <v>2</v>
      </c>
      <c r="D473">
        <v>6</v>
      </c>
      <c r="E473" t="s">
        <v>64</v>
      </c>
      <c r="F473">
        <v>0.43654999999999999</v>
      </c>
      <c r="G473" s="1">
        <v>45905</v>
      </c>
      <c r="H473">
        <v>2.4504299999999999</v>
      </c>
      <c r="I473" s="1">
        <v>45933</v>
      </c>
      <c r="J473">
        <f t="shared" si="63"/>
        <v>63.617251162500004</v>
      </c>
      <c r="K473">
        <v>5.31</v>
      </c>
      <c r="M473">
        <f t="shared" si="69"/>
        <v>0</v>
      </c>
      <c r="N473">
        <f t="shared" si="70"/>
        <v>-5.31</v>
      </c>
      <c r="O473" t="s">
        <v>157</v>
      </c>
      <c r="P473">
        <v>3.6116000000000001</v>
      </c>
      <c r="S473">
        <f t="shared" si="66"/>
        <v>1.1611700000000003</v>
      </c>
      <c r="T473">
        <f t="shared" si="65"/>
        <v>-2.4504299999999999</v>
      </c>
      <c r="U473">
        <f t="shared" si="67"/>
        <v>28</v>
      </c>
      <c r="V473">
        <f t="shared" si="68"/>
        <v>-8.7515357142857145E-2</v>
      </c>
      <c r="W473">
        <f t="shared" si="64"/>
        <v>-875.15357142857147</v>
      </c>
    </row>
    <row r="474" spans="1:29" x14ac:dyDescent="0.3">
      <c r="A474" t="s">
        <v>82</v>
      </c>
      <c r="B474" t="s">
        <v>54</v>
      </c>
      <c r="C474">
        <v>2</v>
      </c>
      <c r="D474">
        <v>6</v>
      </c>
      <c r="E474" t="s">
        <v>30</v>
      </c>
      <c r="F474">
        <v>0.45651999999999998</v>
      </c>
      <c r="G474" s="1">
        <v>45905</v>
      </c>
      <c r="H474">
        <v>2.4393899999999999</v>
      </c>
      <c r="I474" s="1">
        <v>45933</v>
      </c>
      <c r="J474">
        <f t="shared" si="63"/>
        <v>63.617251162500004</v>
      </c>
      <c r="K474">
        <v>5.31</v>
      </c>
      <c r="M474">
        <f t="shared" si="69"/>
        <v>0</v>
      </c>
      <c r="N474">
        <f t="shared" si="70"/>
        <v>-5.31</v>
      </c>
      <c r="O474" t="s">
        <v>157</v>
      </c>
      <c r="P474">
        <v>3.5589599999999999</v>
      </c>
      <c r="S474">
        <f t="shared" si="66"/>
        <v>1.11957</v>
      </c>
      <c r="T474">
        <f t="shared" si="65"/>
        <v>-2.4393899999999999</v>
      </c>
      <c r="U474">
        <f t="shared" si="67"/>
        <v>28</v>
      </c>
      <c r="V474">
        <f t="shared" si="68"/>
        <v>-8.7121071428571423E-2</v>
      </c>
      <c r="W474">
        <f t="shared" si="64"/>
        <v>-871.21071428571418</v>
      </c>
    </row>
    <row r="475" spans="1:29" x14ac:dyDescent="0.3">
      <c r="A475" t="s">
        <v>82</v>
      </c>
      <c r="B475" t="s">
        <v>54</v>
      </c>
      <c r="C475">
        <v>2</v>
      </c>
      <c r="D475">
        <v>6</v>
      </c>
      <c r="E475" t="s">
        <v>31</v>
      </c>
      <c r="F475">
        <v>0.45788000000000001</v>
      </c>
      <c r="G475" s="1">
        <v>45905</v>
      </c>
      <c r="H475">
        <v>2.4761000000000002</v>
      </c>
      <c r="I475" s="1">
        <v>45933</v>
      </c>
      <c r="J475">
        <f t="shared" si="63"/>
        <v>63.617251162500004</v>
      </c>
      <c r="K475">
        <v>5.31</v>
      </c>
      <c r="M475">
        <f t="shared" si="69"/>
        <v>0</v>
      </c>
      <c r="N475">
        <f t="shared" si="70"/>
        <v>-5.31</v>
      </c>
      <c r="O475" t="s">
        <v>157</v>
      </c>
      <c r="P475">
        <v>3.3905599999999998</v>
      </c>
      <c r="S475">
        <f t="shared" si="66"/>
        <v>0.91445999999999961</v>
      </c>
      <c r="T475">
        <f t="shared" si="65"/>
        <v>-2.4761000000000002</v>
      </c>
      <c r="U475">
        <f t="shared" si="67"/>
        <v>28</v>
      </c>
      <c r="V475">
        <f t="shared" si="68"/>
        <v>-8.8432142857142862E-2</v>
      </c>
      <c r="W475">
        <f t="shared" si="64"/>
        <v>-884.32142857142867</v>
      </c>
    </row>
    <row r="476" spans="1:29" x14ac:dyDescent="0.3">
      <c r="A476" t="s">
        <v>82</v>
      </c>
      <c r="B476" t="s">
        <v>54</v>
      </c>
      <c r="C476">
        <v>2</v>
      </c>
      <c r="D476">
        <v>12</v>
      </c>
      <c r="E476" t="s">
        <v>64</v>
      </c>
      <c r="F476">
        <v>0.43673000000000001</v>
      </c>
      <c r="G476" s="1">
        <v>45905</v>
      </c>
      <c r="H476">
        <v>2.4483100000000002</v>
      </c>
      <c r="I476" s="1">
        <v>45933</v>
      </c>
      <c r="J476">
        <f t="shared" si="63"/>
        <v>63.617251162500004</v>
      </c>
      <c r="K476">
        <v>5.31</v>
      </c>
      <c r="M476">
        <f t="shared" si="69"/>
        <v>0</v>
      </c>
      <c r="N476">
        <f t="shared" si="70"/>
        <v>-5.31</v>
      </c>
      <c r="O476" t="s">
        <v>157</v>
      </c>
      <c r="P476">
        <v>3.3461599999999998</v>
      </c>
      <c r="S476">
        <f t="shared" si="66"/>
        <v>0.89784999999999959</v>
      </c>
      <c r="T476">
        <f t="shared" si="65"/>
        <v>-2.4483100000000002</v>
      </c>
      <c r="U476">
        <f t="shared" si="67"/>
        <v>28</v>
      </c>
      <c r="V476">
        <f t="shared" si="68"/>
        <v>-8.7439642857142869E-2</v>
      </c>
      <c r="W476">
        <f t="shared" si="64"/>
        <v>-874.39642857142871</v>
      </c>
    </row>
    <row r="477" spans="1:29" x14ac:dyDescent="0.3">
      <c r="A477" t="s">
        <v>82</v>
      </c>
      <c r="B477" t="s">
        <v>54</v>
      </c>
      <c r="C477">
        <v>2</v>
      </c>
      <c r="D477">
        <v>12</v>
      </c>
      <c r="E477" t="s">
        <v>30</v>
      </c>
      <c r="F477">
        <v>0.43734000000000001</v>
      </c>
      <c r="G477" s="1">
        <v>45905</v>
      </c>
      <c r="H477">
        <v>2.4576799999999999</v>
      </c>
      <c r="I477" s="1">
        <v>45933</v>
      </c>
      <c r="J477">
        <f t="shared" si="63"/>
        <v>63.617251162500004</v>
      </c>
      <c r="K477">
        <v>5.31</v>
      </c>
      <c r="M477">
        <f t="shared" si="69"/>
        <v>0</v>
      </c>
      <c r="N477">
        <f t="shared" si="70"/>
        <v>-5.31</v>
      </c>
      <c r="O477" t="s">
        <v>157</v>
      </c>
      <c r="P477">
        <v>3.4567299999999999</v>
      </c>
      <c r="S477">
        <f t="shared" si="66"/>
        <v>0.99904999999999999</v>
      </c>
      <c r="T477">
        <f t="shared" si="65"/>
        <v>-2.4576799999999999</v>
      </c>
      <c r="U477">
        <f t="shared" si="67"/>
        <v>28</v>
      </c>
      <c r="V477">
        <f t="shared" si="68"/>
        <v>-8.7774285714285707E-2</v>
      </c>
      <c r="W477">
        <f t="shared" si="64"/>
        <v>-877.74285714285702</v>
      </c>
    </row>
    <row r="478" spans="1:29" x14ac:dyDescent="0.3">
      <c r="A478" t="s">
        <v>82</v>
      </c>
      <c r="B478" t="s">
        <v>54</v>
      </c>
      <c r="C478">
        <v>2</v>
      </c>
      <c r="D478">
        <v>12</v>
      </c>
      <c r="E478" t="s">
        <v>31</v>
      </c>
      <c r="F478">
        <v>0.43719999999999998</v>
      </c>
      <c r="G478" s="1">
        <v>45905</v>
      </c>
      <c r="H478">
        <v>2.4390900000000002</v>
      </c>
      <c r="I478" s="1">
        <v>45933</v>
      </c>
      <c r="J478">
        <f t="shared" si="63"/>
        <v>63.617251162500004</v>
      </c>
      <c r="K478">
        <v>5.31</v>
      </c>
      <c r="M478">
        <f t="shared" si="69"/>
        <v>0</v>
      </c>
      <c r="N478">
        <f t="shared" si="70"/>
        <v>-5.31</v>
      </c>
      <c r="O478" t="s">
        <v>157</v>
      </c>
      <c r="P478">
        <v>3.34782</v>
      </c>
      <c r="S478">
        <f t="shared" si="66"/>
        <v>0.90872999999999982</v>
      </c>
      <c r="T478">
        <f t="shared" si="65"/>
        <v>-2.4390900000000002</v>
      </c>
      <c r="U478">
        <f t="shared" si="67"/>
        <v>28</v>
      </c>
      <c r="V478">
        <f t="shared" si="68"/>
        <v>-8.7110357142857156E-2</v>
      </c>
      <c r="W478">
        <f t="shared" si="64"/>
        <v>-871.10357142857151</v>
      </c>
    </row>
    <row r="479" spans="1:29" x14ac:dyDescent="0.3">
      <c r="A479" t="s">
        <v>82</v>
      </c>
      <c r="B479" t="s">
        <v>54</v>
      </c>
      <c r="C479">
        <v>2</v>
      </c>
      <c r="D479">
        <v>24</v>
      </c>
      <c r="E479" t="s">
        <v>28</v>
      </c>
      <c r="F479">
        <v>0.43393910000000002</v>
      </c>
      <c r="G479" s="1">
        <v>45905</v>
      </c>
      <c r="H479">
        <v>2.40463</v>
      </c>
      <c r="I479" s="1">
        <v>45933</v>
      </c>
      <c r="J479">
        <f t="shared" si="63"/>
        <v>63.617251162500004</v>
      </c>
      <c r="K479">
        <v>5.31</v>
      </c>
      <c r="M479">
        <f t="shared" si="69"/>
        <v>0</v>
      </c>
      <c r="N479">
        <f t="shared" si="70"/>
        <v>-5.31</v>
      </c>
      <c r="O479" t="s">
        <v>157</v>
      </c>
      <c r="P479">
        <v>3.1329600000000002</v>
      </c>
      <c r="S479">
        <f t="shared" si="66"/>
        <v>0.72833000000000014</v>
      </c>
      <c r="T479">
        <f t="shared" si="65"/>
        <v>-2.40463</v>
      </c>
      <c r="U479">
        <f t="shared" si="67"/>
        <v>28</v>
      </c>
      <c r="V479">
        <f t="shared" si="68"/>
        <v>-8.5879642857142863E-2</v>
      </c>
      <c r="W479">
        <f t="shared" si="64"/>
        <v>-858.79642857142858</v>
      </c>
      <c r="AC479" t="s">
        <v>163</v>
      </c>
    </row>
    <row r="480" spans="1:29" x14ac:dyDescent="0.3">
      <c r="A480" t="s">
        <v>82</v>
      </c>
      <c r="B480" t="s">
        <v>54</v>
      </c>
      <c r="C480">
        <v>2</v>
      </c>
      <c r="D480">
        <v>24</v>
      </c>
      <c r="E480" t="s">
        <v>30</v>
      </c>
      <c r="F480">
        <v>0.45372000000000001</v>
      </c>
      <c r="G480" s="1">
        <v>45905</v>
      </c>
      <c r="H480">
        <v>2.4111500000000001</v>
      </c>
      <c r="I480" s="1">
        <v>45933</v>
      </c>
      <c r="J480">
        <f t="shared" si="63"/>
        <v>63.617251162500004</v>
      </c>
      <c r="K480">
        <v>5.31</v>
      </c>
      <c r="M480">
        <f t="shared" si="69"/>
        <v>0</v>
      </c>
      <c r="N480">
        <f t="shared" si="70"/>
        <v>-5.31</v>
      </c>
      <c r="O480" t="s">
        <v>157</v>
      </c>
      <c r="P480">
        <v>3.8592399999999998</v>
      </c>
      <c r="S480">
        <f t="shared" si="66"/>
        <v>1.4480899999999997</v>
      </c>
      <c r="T480">
        <f t="shared" si="65"/>
        <v>-2.4111500000000001</v>
      </c>
      <c r="U480">
        <f t="shared" si="67"/>
        <v>28</v>
      </c>
      <c r="V480">
        <f t="shared" si="68"/>
        <v>-8.6112500000000008E-2</v>
      </c>
      <c r="W480">
        <f t="shared" si="64"/>
        <v>-861.12500000000011</v>
      </c>
    </row>
    <row r="481" spans="1:29" x14ac:dyDescent="0.3">
      <c r="A481" t="s">
        <v>82</v>
      </c>
      <c r="B481" t="s">
        <v>54</v>
      </c>
      <c r="C481">
        <v>2</v>
      </c>
      <c r="D481">
        <v>24</v>
      </c>
      <c r="E481" t="s">
        <v>31</v>
      </c>
      <c r="F481">
        <v>0.43352000000000002</v>
      </c>
      <c r="G481" s="1">
        <v>45905</v>
      </c>
      <c r="H481">
        <v>2.40666</v>
      </c>
      <c r="I481" s="1">
        <v>45933</v>
      </c>
      <c r="J481">
        <f t="shared" si="63"/>
        <v>63.617251162500004</v>
      </c>
      <c r="K481">
        <v>5.31</v>
      </c>
      <c r="M481">
        <f t="shared" si="69"/>
        <v>0</v>
      </c>
      <c r="N481">
        <f t="shared" si="70"/>
        <v>-5.31</v>
      </c>
      <c r="O481" t="s">
        <v>157</v>
      </c>
      <c r="P481">
        <v>4.1405399999999997</v>
      </c>
      <c r="S481">
        <f t="shared" si="66"/>
        <v>1.7338799999999996</v>
      </c>
      <c r="T481">
        <f t="shared" si="65"/>
        <v>-2.40666</v>
      </c>
      <c r="U481">
        <f t="shared" si="67"/>
        <v>28</v>
      </c>
      <c r="V481">
        <f t="shared" si="68"/>
        <v>-8.5952142857142852E-2</v>
      </c>
      <c r="W481">
        <f t="shared" si="64"/>
        <v>-859.52142857142849</v>
      </c>
    </row>
    <row r="482" spans="1:29" x14ac:dyDescent="0.3">
      <c r="A482" t="s">
        <v>82</v>
      </c>
      <c r="B482" t="s">
        <v>54</v>
      </c>
      <c r="C482">
        <v>2</v>
      </c>
      <c r="D482">
        <v>48</v>
      </c>
      <c r="E482" t="s">
        <v>64</v>
      </c>
      <c r="F482">
        <v>0.45328000000000002</v>
      </c>
      <c r="G482" s="1">
        <v>45905</v>
      </c>
      <c r="H482">
        <v>2.4132899999999999</v>
      </c>
      <c r="I482" s="1">
        <v>45933</v>
      </c>
      <c r="J482">
        <f t="shared" si="63"/>
        <v>63.617251162500004</v>
      </c>
      <c r="K482">
        <v>5.31</v>
      </c>
      <c r="M482">
        <f t="shared" si="69"/>
        <v>0</v>
      </c>
      <c r="N482">
        <f t="shared" si="70"/>
        <v>-5.31</v>
      </c>
      <c r="O482" t="s">
        <v>157</v>
      </c>
      <c r="P482">
        <v>3.2330299999999998</v>
      </c>
      <c r="S482">
        <f t="shared" si="66"/>
        <v>0.81973999999999991</v>
      </c>
      <c r="T482">
        <f t="shared" si="65"/>
        <v>-2.4132899999999999</v>
      </c>
      <c r="U482">
        <f t="shared" si="67"/>
        <v>28</v>
      </c>
      <c r="V482">
        <f t="shared" si="68"/>
        <v>-8.6188928571428569E-2</v>
      </c>
      <c r="W482">
        <f t="shared" si="64"/>
        <v>-861.88928571428573</v>
      </c>
    </row>
    <row r="483" spans="1:29" x14ac:dyDescent="0.3">
      <c r="A483" t="s">
        <v>82</v>
      </c>
      <c r="B483" t="s">
        <v>54</v>
      </c>
      <c r="C483">
        <v>2</v>
      </c>
      <c r="D483">
        <v>48</v>
      </c>
      <c r="E483" t="s">
        <v>30</v>
      </c>
      <c r="F483">
        <v>0.43289</v>
      </c>
      <c r="G483" s="1">
        <v>45905</v>
      </c>
      <c r="H483">
        <v>2.42191</v>
      </c>
      <c r="I483" s="1">
        <v>45933</v>
      </c>
      <c r="J483">
        <f t="shared" si="63"/>
        <v>63.617251162500004</v>
      </c>
      <c r="K483">
        <v>5.31</v>
      </c>
      <c r="M483">
        <f t="shared" si="69"/>
        <v>0</v>
      </c>
      <c r="N483">
        <f t="shared" si="70"/>
        <v>-5.31</v>
      </c>
      <c r="O483" t="s">
        <v>157</v>
      </c>
      <c r="P483">
        <v>3.1108899999999999</v>
      </c>
      <c r="S483">
        <f t="shared" si="66"/>
        <v>0.68897999999999993</v>
      </c>
      <c r="T483">
        <f t="shared" si="65"/>
        <v>-2.42191</v>
      </c>
      <c r="U483">
        <f t="shared" si="67"/>
        <v>28</v>
      </c>
      <c r="V483">
        <f t="shared" si="68"/>
        <v>-8.649678571428572E-2</v>
      </c>
      <c r="W483">
        <f t="shared" si="64"/>
        <v>-864.96785714285716</v>
      </c>
    </row>
    <row r="484" spans="1:29" x14ac:dyDescent="0.3">
      <c r="A484" t="s">
        <v>82</v>
      </c>
      <c r="B484" t="s">
        <v>54</v>
      </c>
      <c r="C484">
        <v>2</v>
      </c>
      <c r="D484">
        <v>48</v>
      </c>
      <c r="E484" t="s">
        <v>31</v>
      </c>
      <c r="F484">
        <v>0.43335000000000001</v>
      </c>
      <c r="G484" s="1">
        <v>45905</v>
      </c>
      <c r="H484">
        <v>2.4221900000000001</v>
      </c>
      <c r="I484" s="1">
        <v>45933</v>
      </c>
      <c r="J484">
        <f t="shared" si="63"/>
        <v>63.617251162500004</v>
      </c>
      <c r="K484">
        <v>5.31</v>
      </c>
      <c r="M484">
        <f t="shared" si="69"/>
        <v>0</v>
      </c>
      <c r="N484">
        <f t="shared" si="70"/>
        <v>-5.31</v>
      </c>
      <c r="O484" t="s">
        <v>157</v>
      </c>
      <c r="P484">
        <v>3.27285</v>
      </c>
      <c r="S484">
        <f t="shared" si="66"/>
        <v>0.85065999999999997</v>
      </c>
      <c r="T484">
        <f t="shared" si="65"/>
        <v>-2.4221900000000001</v>
      </c>
      <c r="U484">
        <f t="shared" si="67"/>
        <v>28</v>
      </c>
      <c r="V484">
        <f t="shared" si="68"/>
        <v>-8.6506785714285717E-2</v>
      </c>
      <c r="W484">
        <f t="shared" si="64"/>
        <v>-865.06785714285718</v>
      </c>
    </row>
    <row r="485" spans="1:29" x14ac:dyDescent="0.3">
      <c r="A485" t="s">
        <v>82</v>
      </c>
      <c r="B485" t="s">
        <v>54</v>
      </c>
      <c r="E485" t="s">
        <v>67</v>
      </c>
      <c r="F485">
        <v>0.45794000000000001</v>
      </c>
      <c r="G485" t="s">
        <v>56</v>
      </c>
      <c r="H485">
        <v>2.43723</v>
      </c>
      <c r="I485" t="s">
        <v>56</v>
      </c>
      <c r="J485">
        <f t="shared" si="63"/>
        <v>63.617251162500004</v>
      </c>
      <c r="K485">
        <v>5.31</v>
      </c>
      <c r="M485">
        <f t="shared" si="69"/>
        <v>0</v>
      </c>
      <c r="N485">
        <f t="shared" si="70"/>
        <v>-5.31</v>
      </c>
      <c r="S485">
        <f t="shared" si="66"/>
        <v>-2.43723</v>
      </c>
      <c r="T485">
        <f t="shared" si="65"/>
        <v>-2.43723</v>
      </c>
      <c r="U485" t="e">
        <f t="shared" si="67"/>
        <v>#VALUE!</v>
      </c>
      <c r="V485" t="e">
        <f t="shared" si="68"/>
        <v>#VALUE!</v>
      </c>
      <c r="W485" t="e">
        <f t="shared" si="64"/>
        <v>#VALUE!</v>
      </c>
      <c r="AC485" t="s">
        <v>166</v>
      </c>
    </row>
    <row r="486" spans="1:29" x14ac:dyDescent="0.3">
      <c r="A486" t="s">
        <v>82</v>
      </c>
      <c r="B486" t="s">
        <v>54</v>
      </c>
      <c r="E486" t="s">
        <v>68</v>
      </c>
      <c r="F486">
        <v>0.4582</v>
      </c>
      <c r="G486" t="s">
        <v>56</v>
      </c>
      <c r="H486">
        <v>2.4147099999999999</v>
      </c>
      <c r="I486" t="s">
        <v>56</v>
      </c>
      <c r="J486">
        <f t="shared" si="63"/>
        <v>63.617251162500004</v>
      </c>
      <c r="K486">
        <v>5.31</v>
      </c>
      <c r="M486">
        <f t="shared" si="69"/>
        <v>0</v>
      </c>
      <c r="N486">
        <f t="shared" si="70"/>
        <v>-5.31</v>
      </c>
      <c r="S486">
        <f t="shared" si="66"/>
        <v>-2.4147099999999999</v>
      </c>
      <c r="T486">
        <f t="shared" si="65"/>
        <v>-2.4147099999999999</v>
      </c>
      <c r="U486" t="e">
        <f t="shared" si="67"/>
        <v>#VALUE!</v>
      </c>
      <c r="V486" t="e">
        <f t="shared" si="68"/>
        <v>#VALUE!</v>
      </c>
      <c r="W486" t="e">
        <f t="shared" si="64"/>
        <v>#VALUE!</v>
      </c>
      <c r="AC486" t="s">
        <v>166</v>
      </c>
    </row>
    <row r="487" spans="1:29" x14ac:dyDescent="0.3">
      <c r="A487" t="s">
        <v>82</v>
      </c>
      <c r="B487" t="s">
        <v>54</v>
      </c>
      <c r="E487" t="s">
        <v>69</v>
      </c>
      <c r="F487">
        <v>0.43545</v>
      </c>
      <c r="G487" t="s">
        <v>56</v>
      </c>
      <c r="H487">
        <v>2.4487700000000001</v>
      </c>
      <c r="I487" t="s">
        <v>56</v>
      </c>
      <c r="J487">
        <f t="shared" si="63"/>
        <v>63.617251162500004</v>
      </c>
      <c r="K487">
        <v>5.31</v>
      </c>
      <c r="M487">
        <f t="shared" si="69"/>
        <v>0</v>
      </c>
      <c r="N487">
        <f t="shared" si="70"/>
        <v>-5.31</v>
      </c>
      <c r="S487">
        <f t="shared" si="66"/>
        <v>-2.4487700000000001</v>
      </c>
      <c r="T487">
        <f t="shared" si="65"/>
        <v>-2.4487700000000001</v>
      </c>
      <c r="U487" t="e">
        <f t="shared" si="67"/>
        <v>#VALUE!</v>
      </c>
      <c r="V487" t="e">
        <f t="shared" si="68"/>
        <v>#VALUE!</v>
      </c>
      <c r="W487" t="e">
        <f t="shared" si="64"/>
        <v>#VALUE!</v>
      </c>
      <c r="AC487" t="s">
        <v>166</v>
      </c>
    </row>
    <row r="488" spans="1:29" x14ac:dyDescent="0.3">
      <c r="A488" t="s">
        <v>82</v>
      </c>
      <c r="B488" t="s">
        <v>54</v>
      </c>
      <c r="E488" t="s">
        <v>70</v>
      </c>
      <c r="F488">
        <v>0.45668999999999998</v>
      </c>
      <c r="G488" t="s">
        <v>56</v>
      </c>
      <c r="H488">
        <v>2.4319999999999999</v>
      </c>
      <c r="I488" t="s">
        <v>56</v>
      </c>
      <c r="J488">
        <f t="shared" si="63"/>
        <v>63.617251162500004</v>
      </c>
      <c r="K488">
        <v>5.31</v>
      </c>
      <c r="M488">
        <f t="shared" si="69"/>
        <v>0</v>
      </c>
      <c r="N488">
        <f t="shared" si="70"/>
        <v>-5.31</v>
      </c>
      <c r="S488">
        <f t="shared" si="66"/>
        <v>-2.4319999999999999</v>
      </c>
      <c r="T488">
        <f t="shared" si="65"/>
        <v>-2.4319999999999999</v>
      </c>
      <c r="U488" t="e">
        <f t="shared" si="67"/>
        <v>#VALUE!</v>
      </c>
      <c r="V488" t="e">
        <f t="shared" si="68"/>
        <v>#VALUE!</v>
      </c>
      <c r="W488" t="e">
        <f t="shared" si="64"/>
        <v>#VALUE!</v>
      </c>
      <c r="AC488" t="s">
        <v>166</v>
      </c>
    </row>
    <row r="489" spans="1:29" x14ac:dyDescent="0.3">
      <c r="A489" t="s">
        <v>82</v>
      </c>
      <c r="B489" t="s">
        <v>57</v>
      </c>
      <c r="C489">
        <v>1</v>
      </c>
      <c r="D489">
        <v>0.5</v>
      </c>
      <c r="E489" t="s">
        <v>64</v>
      </c>
      <c r="F489">
        <v>0.45638000000000001</v>
      </c>
      <c r="G489" s="1">
        <v>45908</v>
      </c>
      <c r="H489">
        <v>2.48332</v>
      </c>
      <c r="I489" s="1">
        <v>45936</v>
      </c>
      <c r="J489">
        <f t="shared" si="63"/>
        <v>63.617251162500004</v>
      </c>
      <c r="K489">
        <v>5.31</v>
      </c>
      <c r="M489">
        <f t="shared" si="69"/>
        <v>0</v>
      </c>
      <c r="N489">
        <f t="shared" si="70"/>
        <v>-5.31</v>
      </c>
      <c r="O489" t="s">
        <v>164</v>
      </c>
      <c r="P489">
        <v>8.3560400000000001</v>
      </c>
      <c r="S489">
        <f t="shared" si="66"/>
        <v>5.8727200000000002</v>
      </c>
      <c r="T489">
        <f t="shared" si="65"/>
        <v>-2.48332</v>
      </c>
      <c r="U489">
        <f t="shared" si="67"/>
        <v>28</v>
      </c>
      <c r="V489">
        <f t="shared" si="68"/>
        <v>-8.8690000000000005E-2</v>
      </c>
      <c r="W489">
        <f t="shared" si="64"/>
        <v>-886.90000000000009</v>
      </c>
    </row>
    <row r="490" spans="1:29" x14ac:dyDescent="0.3">
      <c r="A490" t="s">
        <v>82</v>
      </c>
      <c r="B490" t="s">
        <v>57</v>
      </c>
      <c r="C490">
        <v>1</v>
      </c>
      <c r="D490">
        <v>0.5</v>
      </c>
      <c r="E490" t="s">
        <v>30</v>
      </c>
      <c r="F490">
        <v>0.43569999999999998</v>
      </c>
      <c r="G490" s="1">
        <v>45908</v>
      </c>
      <c r="H490">
        <v>2.4904999999999999</v>
      </c>
      <c r="I490" s="1">
        <v>45936</v>
      </c>
      <c r="J490">
        <f t="shared" si="63"/>
        <v>63.617251162500004</v>
      </c>
      <c r="K490">
        <v>5.31</v>
      </c>
      <c r="M490">
        <f t="shared" si="69"/>
        <v>0</v>
      </c>
      <c r="N490">
        <f t="shared" si="70"/>
        <v>-5.31</v>
      </c>
      <c r="O490" t="s">
        <v>164</v>
      </c>
      <c r="P490">
        <v>7.3779500000000002</v>
      </c>
      <c r="S490">
        <f t="shared" si="66"/>
        <v>4.8874500000000003</v>
      </c>
      <c r="T490">
        <f t="shared" si="65"/>
        <v>-2.4904999999999999</v>
      </c>
      <c r="U490">
        <f t="shared" si="67"/>
        <v>28</v>
      </c>
      <c r="V490">
        <f t="shared" si="68"/>
        <v>-8.8946428571428565E-2</v>
      </c>
      <c r="W490">
        <f t="shared" si="64"/>
        <v>-889.46428571428567</v>
      </c>
    </row>
    <row r="491" spans="1:29" x14ac:dyDescent="0.3">
      <c r="A491" t="s">
        <v>82</v>
      </c>
      <c r="B491" t="s">
        <v>57</v>
      </c>
      <c r="C491">
        <v>1</v>
      </c>
      <c r="D491">
        <v>0.5</v>
      </c>
      <c r="E491" t="s">
        <v>31</v>
      </c>
      <c r="F491">
        <v>0.45856000000000002</v>
      </c>
      <c r="G491" s="1">
        <v>45908</v>
      </c>
      <c r="H491">
        <v>2.48245</v>
      </c>
      <c r="I491" s="1">
        <v>45936</v>
      </c>
      <c r="J491">
        <f t="shared" si="63"/>
        <v>63.617251162500004</v>
      </c>
      <c r="K491">
        <v>5.31</v>
      </c>
      <c r="M491">
        <f t="shared" si="69"/>
        <v>0</v>
      </c>
      <c r="N491">
        <f t="shared" si="70"/>
        <v>-5.31</v>
      </c>
      <c r="O491" t="s">
        <v>164</v>
      </c>
      <c r="P491">
        <v>7.58765</v>
      </c>
      <c r="S491">
        <f t="shared" si="66"/>
        <v>5.1052</v>
      </c>
      <c r="T491">
        <f t="shared" si="65"/>
        <v>-2.48245</v>
      </c>
      <c r="U491">
        <f t="shared" si="67"/>
        <v>28</v>
      </c>
      <c r="V491">
        <f t="shared" si="68"/>
        <v>-8.8658928571428569E-2</v>
      </c>
      <c r="W491">
        <f t="shared" si="64"/>
        <v>-886.58928571428567</v>
      </c>
    </row>
    <row r="492" spans="1:29" x14ac:dyDescent="0.3">
      <c r="A492" t="s">
        <v>82</v>
      </c>
      <c r="B492" t="s">
        <v>57</v>
      </c>
      <c r="C492">
        <v>1</v>
      </c>
      <c r="D492">
        <v>2</v>
      </c>
      <c r="E492" t="s">
        <v>64</v>
      </c>
      <c r="F492">
        <v>0.43729000000000001</v>
      </c>
      <c r="G492" s="1">
        <v>45908</v>
      </c>
      <c r="H492">
        <v>2.4649999999999999</v>
      </c>
      <c r="I492" s="1">
        <v>45936</v>
      </c>
      <c r="J492">
        <f t="shared" ref="J492:J555" si="71">4.5*4.5*3.14159265</f>
        <v>63.617251162500004</v>
      </c>
      <c r="K492">
        <v>5.31</v>
      </c>
      <c r="M492">
        <f t="shared" si="69"/>
        <v>0</v>
      </c>
      <c r="N492">
        <f t="shared" si="70"/>
        <v>-5.31</v>
      </c>
      <c r="O492" t="s">
        <v>164</v>
      </c>
      <c r="P492">
        <v>6.8226399999999998</v>
      </c>
      <c r="S492">
        <f t="shared" si="66"/>
        <v>4.35764</v>
      </c>
      <c r="T492">
        <f t="shared" si="65"/>
        <v>-2.4649999999999999</v>
      </c>
      <c r="U492">
        <f t="shared" si="67"/>
        <v>28</v>
      </c>
      <c r="V492">
        <f t="shared" si="68"/>
        <v>-8.8035714285714287E-2</v>
      </c>
      <c r="W492">
        <f t="shared" ref="W492:W528" si="72">V492*10000</f>
        <v>-880.35714285714289</v>
      </c>
    </row>
    <row r="493" spans="1:29" x14ac:dyDescent="0.3">
      <c r="A493" t="s">
        <v>82</v>
      </c>
      <c r="B493" t="s">
        <v>57</v>
      </c>
      <c r="C493">
        <v>1</v>
      </c>
      <c r="D493">
        <v>2</v>
      </c>
      <c r="E493" t="s">
        <v>30</v>
      </c>
      <c r="F493">
        <v>0.45965</v>
      </c>
      <c r="G493" s="1">
        <v>45908</v>
      </c>
      <c r="H493">
        <v>2.4313799999999999</v>
      </c>
      <c r="I493" s="1">
        <v>45936</v>
      </c>
      <c r="J493">
        <f t="shared" si="71"/>
        <v>63.617251162500004</v>
      </c>
      <c r="K493">
        <v>5.31</v>
      </c>
      <c r="M493">
        <f t="shared" si="69"/>
        <v>0</v>
      </c>
      <c r="N493">
        <f t="shared" si="70"/>
        <v>-5.31</v>
      </c>
      <c r="O493" t="s">
        <v>164</v>
      </c>
      <c r="P493">
        <v>9.0316299999999998</v>
      </c>
      <c r="S493">
        <f t="shared" si="66"/>
        <v>6.60025</v>
      </c>
      <c r="T493">
        <f t="shared" si="65"/>
        <v>-2.4313799999999999</v>
      </c>
      <c r="U493">
        <f t="shared" si="67"/>
        <v>28</v>
      </c>
      <c r="V493">
        <f t="shared" si="68"/>
        <v>-8.6834999999999996E-2</v>
      </c>
      <c r="W493">
        <f t="shared" si="72"/>
        <v>-868.34999999999991</v>
      </c>
    </row>
    <row r="494" spans="1:29" x14ac:dyDescent="0.3">
      <c r="A494" t="s">
        <v>82</v>
      </c>
      <c r="B494" t="s">
        <v>57</v>
      </c>
      <c r="C494">
        <v>1</v>
      </c>
      <c r="D494">
        <v>2</v>
      </c>
      <c r="E494" t="s">
        <v>31</v>
      </c>
      <c r="F494">
        <v>0.43591000000000002</v>
      </c>
      <c r="G494" s="1">
        <v>45908</v>
      </c>
      <c r="H494">
        <v>2.45736</v>
      </c>
      <c r="I494" s="1">
        <v>45936</v>
      </c>
      <c r="J494">
        <f t="shared" si="71"/>
        <v>63.617251162500004</v>
      </c>
      <c r="K494">
        <v>5.31</v>
      </c>
      <c r="M494">
        <f t="shared" si="69"/>
        <v>0</v>
      </c>
      <c r="N494">
        <f t="shared" si="70"/>
        <v>-5.31</v>
      </c>
      <c r="O494" t="s">
        <v>164</v>
      </c>
      <c r="P494">
        <v>3.7397499999999999</v>
      </c>
      <c r="S494">
        <f t="shared" si="66"/>
        <v>1.2823899999999999</v>
      </c>
      <c r="T494">
        <f t="shared" si="65"/>
        <v>-2.45736</v>
      </c>
      <c r="U494">
        <f t="shared" si="67"/>
        <v>28</v>
      </c>
      <c r="V494">
        <f t="shared" si="68"/>
        <v>-8.7762857142857142E-2</v>
      </c>
      <c r="W494">
        <f t="shared" si="72"/>
        <v>-877.62857142857138</v>
      </c>
    </row>
    <row r="495" spans="1:29" x14ac:dyDescent="0.3">
      <c r="A495" t="s">
        <v>82</v>
      </c>
      <c r="B495" t="s">
        <v>57</v>
      </c>
      <c r="C495">
        <v>1</v>
      </c>
      <c r="D495">
        <v>6</v>
      </c>
      <c r="E495" t="s">
        <v>64</v>
      </c>
      <c r="F495">
        <v>0.46034999999999998</v>
      </c>
      <c r="G495" s="1">
        <v>45908</v>
      </c>
      <c r="H495">
        <v>2.4439099999999998</v>
      </c>
      <c r="I495" s="1">
        <v>45936</v>
      </c>
      <c r="J495">
        <f t="shared" si="71"/>
        <v>63.617251162500004</v>
      </c>
      <c r="K495">
        <v>5.31</v>
      </c>
      <c r="M495">
        <f t="shared" si="69"/>
        <v>0</v>
      </c>
      <c r="N495">
        <f t="shared" si="70"/>
        <v>-5.31</v>
      </c>
      <c r="O495" t="s">
        <v>164</v>
      </c>
      <c r="P495">
        <v>3.7246000000000001</v>
      </c>
      <c r="S495">
        <f t="shared" si="66"/>
        <v>1.2806900000000003</v>
      </c>
      <c r="T495">
        <f t="shared" ref="T495:T528" si="73">Q495-M495-H495</f>
        <v>-2.4439099999999998</v>
      </c>
      <c r="U495">
        <f t="shared" si="67"/>
        <v>28</v>
      </c>
      <c r="V495">
        <f t="shared" si="68"/>
        <v>-8.7282499999999999E-2</v>
      </c>
      <c r="W495">
        <f t="shared" si="72"/>
        <v>-872.82500000000005</v>
      </c>
    </row>
    <row r="496" spans="1:29" x14ac:dyDescent="0.3">
      <c r="A496" t="s">
        <v>82</v>
      </c>
      <c r="B496" t="s">
        <v>57</v>
      </c>
      <c r="C496">
        <v>1</v>
      </c>
      <c r="D496">
        <v>6</v>
      </c>
      <c r="E496" t="s">
        <v>30</v>
      </c>
      <c r="F496">
        <v>0.43824999999999997</v>
      </c>
      <c r="G496" s="1">
        <v>45908</v>
      </c>
      <c r="H496">
        <v>2.4502100000000002</v>
      </c>
      <c r="I496" s="1">
        <v>45936</v>
      </c>
      <c r="J496">
        <f t="shared" si="71"/>
        <v>63.617251162500004</v>
      </c>
      <c r="K496">
        <v>5.31</v>
      </c>
      <c r="M496">
        <f t="shared" si="69"/>
        <v>0</v>
      </c>
      <c r="N496">
        <f t="shared" si="70"/>
        <v>-5.31</v>
      </c>
      <c r="O496" t="s">
        <v>164</v>
      </c>
      <c r="P496">
        <v>3.5650300000000001</v>
      </c>
      <c r="S496">
        <f t="shared" si="66"/>
        <v>1.1148199999999999</v>
      </c>
      <c r="T496">
        <f t="shared" si="73"/>
        <v>-2.4502100000000002</v>
      </c>
      <c r="U496">
        <f t="shared" si="67"/>
        <v>28</v>
      </c>
      <c r="V496">
        <f t="shared" si="68"/>
        <v>-8.7507500000000002E-2</v>
      </c>
      <c r="W496">
        <f t="shared" si="72"/>
        <v>-875.07500000000005</v>
      </c>
    </row>
    <row r="497" spans="1:23" x14ac:dyDescent="0.3">
      <c r="A497" t="s">
        <v>82</v>
      </c>
      <c r="B497" t="s">
        <v>57</v>
      </c>
      <c r="C497">
        <v>1</v>
      </c>
      <c r="D497">
        <v>6</v>
      </c>
      <c r="E497" t="s">
        <v>31</v>
      </c>
      <c r="F497">
        <v>0.43597999999999998</v>
      </c>
      <c r="G497" s="1">
        <v>45908</v>
      </c>
      <c r="H497">
        <v>2.4658099999999998</v>
      </c>
      <c r="I497" s="1">
        <v>45936</v>
      </c>
      <c r="J497">
        <f t="shared" si="71"/>
        <v>63.617251162500004</v>
      </c>
      <c r="K497">
        <v>5.31</v>
      </c>
      <c r="M497">
        <f t="shared" si="69"/>
        <v>0</v>
      </c>
      <c r="N497">
        <f t="shared" si="70"/>
        <v>-5.31</v>
      </c>
      <c r="O497" t="s">
        <v>164</v>
      </c>
      <c r="P497">
        <v>3.0964299999999998</v>
      </c>
      <c r="S497">
        <f t="shared" si="66"/>
        <v>0.63061999999999996</v>
      </c>
      <c r="T497">
        <f t="shared" si="73"/>
        <v>-2.4658099999999998</v>
      </c>
      <c r="U497">
        <f t="shared" si="67"/>
        <v>28</v>
      </c>
      <c r="V497">
        <f t="shared" si="68"/>
        <v>-8.8064642857142855E-2</v>
      </c>
      <c r="W497">
        <f t="shared" si="72"/>
        <v>-880.6464285714286</v>
      </c>
    </row>
    <row r="498" spans="1:23" x14ac:dyDescent="0.3">
      <c r="A498" t="s">
        <v>82</v>
      </c>
      <c r="B498" t="s">
        <v>57</v>
      </c>
      <c r="C498">
        <v>1</v>
      </c>
      <c r="D498">
        <v>12</v>
      </c>
      <c r="E498" t="s">
        <v>64</v>
      </c>
      <c r="F498">
        <v>0.46009</v>
      </c>
      <c r="G498" s="1">
        <v>45908</v>
      </c>
      <c r="H498">
        <v>2.4605100000000002</v>
      </c>
      <c r="I498" s="1">
        <v>45936</v>
      </c>
      <c r="J498">
        <f t="shared" si="71"/>
        <v>63.617251162500004</v>
      </c>
      <c r="K498">
        <v>5.31</v>
      </c>
      <c r="M498">
        <f t="shared" si="69"/>
        <v>0</v>
      </c>
      <c r="N498">
        <f t="shared" si="70"/>
        <v>-5.31</v>
      </c>
      <c r="O498" t="s">
        <v>164</v>
      </c>
      <c r="P498">
        <v>3.1860900000000001</v>
      </c>
      <c r="S498">
        <f t="shared" si="66"/>
        <v>0.72557999999999989</v>
      </c>
      <c r="T498">
        <f t="shared" si="73"/>
        <v>-2.4605100000000002</v>
      </c>
      <c r="U498">
        <f t="shared" si="67"/>
        <v>28</v>
      </c>
      <c r="V498">
        <f t="shared" si="68"/>
        <v>-8.7875357142857144E-2</v>
      </c>
      <c r="W498">
        <f t="shared" si="72"/>
        <v>-878.75357142857149</v>
      </c>
    </row>
    <row r="499" spans="1:23" x14ac:dyDescent="0.3">
      <c r="A499" t="s">
        <v>82</v>
      </c>
      <c r="B499" t="s">
        <v>57</v>
      </c>
      <c r="C499">
        <v>1</v>
      </c>
      <c r="D499">
        <v>12</v>
      </c>
      <c r="E499" t="s">
        <v>30</v>
      </c>
      <c r="F499">
        <v>0.45949000000000001</v>
      </c>
      <c r="G499" s="1">
        <v>45908</v>
      </c>
      <c r="H499">
        <v>2.4682200000000001</v>
      </c>
      <c r="I499" s="1">
        <v>45936</v>
      </c>
      <c r="J499">
        <f t="shared" si="71"/>
        <v>63.617251162500004</v>
      </c>
      <c r="K499">
        <v>5.31</v>
      </c>
      <c r="M499">
        <f t="shared" si="69"/>
        <v>0</v>
      </c>
      <c r="N499">
        <f t="shared" si="70"/>
        <v>-5.31</v>
      </c>
      <c r="O499" t="s">
        <v>164</v>
      </c>
      <c r="P499">
        <v>4.2985800000000003</v>
      </c>
      <c r="S499">
        <f t="shared" si="66"/>
        <v>1.8303600000000002</v>
      </c>
      <c r="T499">
        <f t="shared" si="73"/>
        <v>-2.4682200000000001</v>
      </c>
      <c r="U499">
        <f t="shared" si="67"/>
        <v>28</v>
      </c>
      <c r="V499">
        <f t="shared" si="68"/>
        <v>-8.8150714285714291E-2</v>
      </c>
      <c r="W499">
        <f t="shared" si="72"/>
        <v>-881.50714285714287</v>
      </c>
    </row>
    <row r="500" spans="1:23" x14ac:dyDescent="0.3">
      <c r="A500" t="s">
        <v>82</v>
      </c>
      <c r="B500" t="s">
        <v>57</v>
      </c>
      <c r="C500">
        <v>1</v>
      </c>
      <c r="D500">
        <v>12</v>
      </c>
      <c r="E500" t="s">
        <v>31</v>
      </c>
      <c r="F500">
        <v>0.43479000000000001</v>
      </c>
      <c r="G500" s="1">
        <v>45908</v>
      </c>
      <c r="H500">
        <v>2.4852500000000002</v>
      </c>
      <c r="I500" s="1">
        <v>45936</v>
      </c>
      <c r="J500">
        <f t="shared" si="71"/>
        <v>63.617251162500004</v>
      </c>
      <c r="K500">
        <v>5.31</v>
      </c>
      <c r="M500">
        <f t="shared" si="69"/>
        <v>0</v>
      </c>
      <c r="N500">
        <f t="shared" si="70"/>
        <v>-5.31</v>
      </c>
      <c r="O500" t="s">
        <v>164</v>
      </c>
      <c r="P500">
        <v>4.3055099999999999</v>
      </c>
      <c r="S500">
        <f t="shared" si="66"/>
        <v>1.8202599999999998</v>
      </c>
      <c r="T500">
        <f t="shared" si="73"/>
        <v>-2.4852500000000002</v>
      </c>
      <c r="U500">
        <f t="shared" si="67"/>
        <v>28</v>
      </c>
      <c r="V500">
        <f t="shared" si="68"/>
        <v>-8.8758928571428572E-2</v>
      </c>
      <c r="W500">
        <f t="shared" si="72"/>
        <v>-887.58928571428567</v>
      </c>
    </row>
    <row r="501" spans="1:23" x14ac:dyDescent="0.3">
      <c r="A501" t="s">
        <v>82</v>
      </c>
      <c r="B501" t="s">
        <v>57</v>
      </c>
      <c r="C501">
        <v>1</v>
      </c>
      <c r="D501">
        <v>24</v>
      </c>
      <c r="E501" t="s">
        <v>28</v>
      </c>
      <c r="F501">
        <v>0.43619000000000002</v>
      </c>
      <c r="G501" s="1">
        <v>45908</v>
      </c>
      <c r="H501">
        <v>2.4660099999999998</v>
      </c>
      <c r="I501" s="1">
        <v>45936</v>
      </c>
      <c r="J501">
        <f t="shared" si="71"/>
        <v>63.617251162500004</v>
      </c>
      <c r="K501">
        <v>5.31</v>
      </c>
      <c r="M501">
        <f t="shared" si="69"/>
        <v>0</v>
      </c>
      <c r="N501">
        <f t="shared" si="70"/>
        <v>-5.31</v>
      </c>
      <c r="O501" t="s">
        <v>164</v>
      </c>
      <c r="P501">
        <v>3.5366300000000002</v>
      </c>
      <c r="S501">
        <f t="shared" si="66"/>
        <v>1.0706200000000003</v>
      </c>
      <c r="T501">
        <f t="shared" si="73"/>
        <v>-2.4660099999999998</v>
      </c>
      <c r="U501">
        <f t="shared" si="67"/>
        <v>28</v>
      </c>
      <c r="V501">
        <f t="shared" si="68"/>
        <v>-8.8071785714285714E-2</v>
      </c>
      <c r="W501">
        <f t="shared" si="72"/>
        <v>-880.71785714285716</v>
      </c>
    </row>
    <row r="502" spans="1:23" x14ac:dyDescent="0.3">
      <c r="A502" t="s">
        <v>82</v>
      </c>
      <c r="B502" t="s">
        <v>57</v>
      </c>
      <c r="C502">
        <v>1</v>
      </c>
      <c r="D502">
        <v>24</v>
      </c>
      <c r="E502" t="s">
        <v>30</v>
      </c>
      <c r="F502">
        <v>0.45974999999999999</v>
      </c>
      <c r="G502" s="1">
        <v>45908</v>
      </c>
      <c r="H502">
        <v>2.4889199999999998</v>
      </c>
      <c r="I502" s="1">
        <v>45936</v>
      </c>
      <c r="J502">
        <f t="shared" si="71"/>
        <v>63.617251162500004</v>
      </c>
      <c r="K502">
        <v>5.31</v>
      </c>
      <c r="M502">
        <f t="shared" si="69"/>
        <v>0</v>
      </c>
      <c r="N502">
        <f t="shared" si="70"/>
        <v>-5.31</v>
      </c>
      <c r="O502" t="s">
        <v>164</v>
      </c>
      <c r="P502">
        <v>3.8040600000000002</v>
      </c>
      <c r="S502">
        <f t="shared" si="66"/>
        <v>1.3151400000000004</v>
      </c>
      <c r="T502">
        <f t="shared" si="73"/>
        <v>-2.4889199999999998</v>
      </c>
      <c r="U502">
        <f t="shared" si="67"/>
        <v>28</v>
      </c>
      <c r="V502">
        <f t="shared" si="68"/>
        <v>-8.8889999999999997E-2</v>
      </c>
      <c r="W502">
        <f t="shared" si="72"/>
        <v>-888.9</v>
      </c>
    </row>
    <row r="503" spans="1:23" x14ac:dyDescent="0.3">
      <c r="A503" t="s">
        <v>82</v>
      </c>
      <c r="B503" t="s">
        <v>57</v>
      </c>
      <c r="C503">
        <v>1</v>
      </c>
      <c r="D503">
        <v>24</v>
      </c>
      <c r="E503" t="s">
        <v>31</v>
      </c>
      <c r="F503">
        <v>0.43651000000000001</v>
      </c>
      <c r="G503" s="1">
        <v>45908</v>
      </c>
      <c r="H503">
        <v>2.44468</v>
      </c>
      <c r="I503" s="1">
        <v>45936</v>
      </c>
      <c r="J503">
        <f t="shared" si="71"/>
        <v>63.617251162500004</v>
      </c>
      <c r="K503">
        <v>5.31</v>
      </c>
      <c r="M503">
        <f t="shared" si="69"/>
        <v>0</v>
      </c>
      <c r="N503">
        <f t="shared" si="70"/>
        <v>-5.31</v>
      </c>
      <c r="O503" t="s">
        <v>164</v>
      </c>
      <c r="P503">
        <v>3.6337799999999998</v>
      </c>
      <c r="S503">
        <f t="shared" si="66"/>
        <v>1.1890999999999998</v>
      </c>
      <c r="T503">
        <f t="shared" si="73"/>
        <v>-2.44468</v>
      </c>
      <c r="U503">
        <f t="shared" si="67"/>
        <v>28</v>
      </c>
      <c r="V503">
        <f t="shared" si="68"/>
        <v>-8.7309999999999999E-2</v>
      </c>
      <c r="W503">
        <f t="shared" si="72"/>
        <v>-873.1</v>
      </c>
    </row>
    <row r="504" spans="1:23" x14ac:dyDescent="0.3">
      <c r="A504" t="s">
        <v>82</v>
      </c>
      <c r="B504" t="s">
        <v>57</v>
      </c>
      <c r="C504">
        <v>1</v>
      </c>
      <c r="D504">
        <v>48</v>
      </c>
      <c r="E504" t="s">
        <v>64</v>
      </c>
      <c r="F504">
        <v>0.43687999999999999</v>
      </c>
      <c r="G504" s="1">
        <v>45908</v>
      </c>
      <c r="H504">
        <v>2.40638</v>
      </c>
      <c r="I504" s="1">
        <v>45936</v>
      </c>
      <c r="J504">
        <f t="shared" si="71"/>
        <v>63.617251162500004</v>
      </c>
      <c r="K504">
        <v>5.31</v>
      </c>
      <c r="M504">
        <f t="shared" si="69"/>
        <v>0</v>
      </c>
      <c r="N504">
        <f t="shared" si="70"/>
        <v>-5.31</v>
      </c>
      <c r="O504" t="s">
        <v>164</v>
      </c>
      <c r="P504">
        <v>2.9544000000000001</v>
      </c>
      <c r="S504">
        <f t="shared" si="66"/>
        <v>0.54802000000000017</v>
      </c>
      <c r="T504">
        <f t="shared" si="73"/>
        <v>-2.40638</v>
      </c>
      <c r="U504">
        <f t="shared" si="67"/>
        <v>28</v>
      </c>
      <c r="V504">
        <f t="shared" si="68"/>
        <v>-8.5942142857142856E-2</v>
      </c>
      <c r="W504">
        <f t="shared" si="72"/>
        <v>-859.42142857142858</v>
      </c>
    </row>
    <row r="505" spans="1:23" x14ac:dyDescent="0.3">
      <c r="A505" t="s">
        <v>82</v>
      </c>
      <c r="B505" t="s">
        <v>57</v>
      </c>
      <c r="C505">
        <v>1</v>
      </c>
      <c r="D505">
        <v>48</v>
      </c>
      <c r="E505" t="s">
        <v>30</v>
      </c>
      <c r="F505">
        <v>0.45906999999999998</v>
      </c>
      <c r="G505" s="1">
        <v>45908</v>
      </c>
      <c r="H505">
        <v>2.4207900000000002</v>
      </c>
      <c r="I505" s="1">
        <v>45936</v>
      </c>
      <c r="J505">
        <f t="shared" si="71"/>
        <v>63.617251162500004</v>
      </c>
      <c r="K505">
        <v>5.31</v>
      </c>
      <c r="M505">
        <f t="shared" si="69"/>
        <v>0</v>
      </c>
      <c r="N505">
        <f t="shared" si="70"/>
        <v>-5.31</v>
      </c>
      <c r="O505" t="s">
        <v>164</v>
      </c>
      <c r="P505">
        <v>3.25874</v>
      </c>
      <c r="S505">
        <f t="shared" si="66"/>
        <v>0.83794999999999975</v>
      </c>
      <c r="T505">
        <f t="shared" si="73"/>
        <v>-2.4207900000000002</v>
      </c>
      <c r="U505">
        <f t="shared" si="67"/>
        <v>28</v>
      </c>
      <c r="V505">
        <f t="shared" si="68"/>
        <v>-8.6456785714285722E-2</v>
      </c>
      <c r="W505">
        <f t="shared" si="72"/>
        <v>-864.56785714285718</v>
      </c>
    </row>
    <row r="506" spans="1:23" x14ac:dyDescent="0.3">
      <c r="A506" t="s">
        <v>82</v>
      </c>
      <c r="B506" t="s">
        <v>57</v>
      </c>
      <c r="C506">
        <v>1</v>
      </c>
      <c r="D506">
        <v>48</v>
      </c>
      <c r="E506" t="s">
        <v>31</v>
      </c>
      <c r="F506">
        <v>0.43625000000000003</v>
      </c>
      <c r="G506" s="1">
        <v>45908</v>
      </c>
      <c r="H506">
        <v>2.4408599999999998</v>
      </c>
      <c r="I506" s="1">
        <v>45936</v>
      </c>
      <c r="J506">
        <f t="shared" si="71"/>
        <v>63.617251162500004</v>
      </c>
      <c r="K506">
        <v>5.31</v>
      </c>
      <c r="M506">
        <f t="shared" si="69"/>
        <v>0</v>
      </c>
      <c r="N506">
        <f t="shared" si="70"/>
        <v>-5.31</v>
      </c>
      <c r="O506" t="s">
        <v>164</v>
      </c>
      <c r="P506">
        <v>3.1399499999999998</v>
      </c>
      <c r="S506">
        <f t="shared" si="66"/>
        <v>0.69908999999999999</v>
      </c>
      <c r="T506">
        <f t="shared" si="73"/>
        <v>-2.4408599999999998</v>
      </c>
      <c r="U506">
        <f t="shared" si="67"/>
        <v>28</v>
      </c>
      <c r="V506">
        <f t="shared" si="68"/>
        <v>-8.717357142857142E-2</v>
      </c>
      <c r="W506">
        <f t="shared" si="72"/>
        <v>-871.73571428571415</v>
      </c>
    </row>
    <row r="507" spans="1:23" x14ac:dyDescent="0.3">
      <c r="A507" t="s">
        <v>82</v>
      </c>
      <c r="B507" t="s">
        <v>57</v>
      </c>
      <c r="C507">
        <v>2</v>
      </c>
      <c r="D507">
        <v>0.5</v>
      </c>
      <c r="E507" t="s">
        <v>64</v>
      </c>
      <c r="F507">
        <v>0.45652999999999999</v>
      </c>
      <c r="G507" s="1">
        <v>45908</v>
      </c>
      <c r="H507">
        <v>2.4346999999999999</v>
      </c>
      <c r="I507" s="1">
        <v>45936</v>
      </c>
      <c r="J507">
        <f t="shared" si="71"/>
        <v>63.617251162500004</v>
      </c>
      <c r="K507">
        <v>5.31</v>
      </c>
      <c r="M507">
        <f t="shared" si="69"/>
        <v>0</v>
      </c>
      <c r="N507">
        <f t="shared" si="70"/>
        <v>-5.31</v>
      </c>
      <c r="O507" t="s">
        <v>165</v>
      </c>
      <c r="P507">
        <v>5.11585</v>
      </c>
      <c r="S507">
        <f t="shared" si="66"/>
        <v>2.6811500000000001</v>
      </c>
      <c r="T507">
        <f t="shared" si="73"/>
        <v>-2.4346999999999999</v>
      </c>
      <c r="U507">
        <f t="shared" si="67"/>
        <v>28</v>
      </c>
      <c r="V507">
        <f t="shared" si="68"/>
        <v>-8.6953571428571422E-2</v>
      </c>
      <c r="W507">
        <f t="shared" si="72"/>
        <v>-869.53571428571422</v>
      </c>
    </row>
    <row r="508" spans="1:23" x14ac:dyDescent="0.3">
      <c r="A508" t="s">
        <v>82</v>
      </c>
      <c r="B508" t="s">
        <v>57</v>
      </c>
      <c r="C508">
        <v>2</v>
      </c>
      <c r="D508">
        <v>0.5</v>
      </c>
      <c r="E508" t="s">
        <v>30</v>
      </c>
      <c r="F508">
        <v>0.43720999999999999</v>
      </c>
      <c r="G508" s="1">
        <v>45908</v>
      </c>
      <c r="H508">
        <v>2.4411</v>
      </c>
      <c r="I508" s="1">
        <v>45936</v>
      </c>
      <c r="J508">
        <f t="shared" si="71"/>
        <v>63.617251162500004</v>
      </c>
      <c r="K508">
        <v>5.31</v>
      </c>
      <c r="M508">
        <f t="shared" si="69"/>
        <v>0</v>
      </c>
      <c r="N508">
        <f t="shared" si="70"/>
        <v>-5.31</v>
      </c>
      <c r="O508" t="s">
        <v>165</v>
      </c>
      <c r="P508">
        <v>7.2110300000000001</v>
      </c>
      <c r="S508">
        <f t="shared" si="66"/>
        <v>4.7699300000000004</v>
      </c>
      <c r="T508">
        <f t="shared" si="73"/>
        <v>-2.4411</v>
      </c>
      <c r="U508">
        <f t="shared" si="67"/>
        <v>28</v>
      </c>
      <c r="V508">
        <f t="shared" si="68"/>
        <v>-8.7182142857142861E-2</v>
      </c>
      <c r="W508">
        <f t="shared" si="72"/>
        <v>-871.82142857142856</v>
      </c>
    </row>
    <row r="509" spans="1:23" x14ac:dyDescent="0.3">
      <c r="A509" t="s">
        <v>82</v>
      </c>
      <c r="B509" t="s">
        <v>57</v>
      </c>
      <c r="C509">
        <v>2</v>
      </c>
      <c r="D509">
        <v>0.5</v>
      </c>
      <c r="E509" t="s">
        <v>31</v>
      </c>
      <c r="F509">
        <v>0.45818999999999999</v>
      </c>
      <c r="G509" s="1">
        <v>45908</v>
      </c>
      <c r="H509">
        <v>2.44157</v>
      </c>
      <c r="I509" s="1">
        <v>45936</v>
      </c>
      <c r="J509">
        <f t="shared" si="71"/>
        <v>63.617251162500004</v>
      </c>
      <c r="K509">
        <v>5.31</v>
      </c>
      <c r="M509">
        <f t="shared" si="69"/>
        <v>0</v>
      </c>
      <c r="N509">
        <f t="shared" si="70"/>
        <v>-5.31</v>
      </c>
      <c r="O509" t="s">
        <v>165</v>
      </c>
      <c r="P509">
        <v>14.876519999999999</v>
      </c>
      <c r="S509">
        <f t="shared" ref="S509:S528" si="74">P509-M509-H509</f>
        <v>12.434949999999999</v>
      </c>
      <c r="T509">
        <f t="shared" si="73"/>
        <v>-2.44157</v>
      </c>
      <c r="U509">
        <f t="shared" si="67"/>
        <v>28</v>
      </c>
      <c r="V509">
        <f t="shared" si="68"/>
        <v>-8.7198928571428566E-2</v>
      </c>
      <c r="W509">
        <f t="shared" si="72"/>
        <v>-871.98928571428564</v>
      </c>
    </row>
    <row r="510" spans="1:23" x14ac:dyDescent="0.3">
      <c r="A510" t="s">
        <v>82</v>
      </c>
      <c r="B510" t="s">
        <v>57</v>
      </c>
      <c r="C510">
        <v>2</v>
      </c>
      <c r="D510">
        <v>2</v>
      </c>
      <c r="E510" t="s">
        <v>64</v>
      </c>
      <c r="F510">
        <v>0.43648999999999999</v>
      </c>
      <c r="G510" s="1">
        <v>45908</v>
      </c>
      <c r="H510">
        <v>2.4470700000000001</v>
      </c>
      <c r="I510" s="1">
        <v>45936</v>
      </c>
      <c r="J510">
        <f t="shared" si="71"/>
        <v>63.617251162500004</v>
      </c>
      <c r="K510">
        <v>5.31</v>
      </c>
      <c r="M510">
        <f t="shared" si="69"/>
        <v>0</v>
      </c>
      <c r="N510">
        <f t="shared" si="70"/>
        <v>-5.31</v>
      </c>
      <c r="O510" t="s">
        <v>165</v>
      </c>
      <c r="P510">
        <v>5.90937</v>
      </c>
      <c r="S510">
        <f t="shared" si="74"/>
        <v>3.4622999999999999</v>
      </c>
      <c r="T510">
        <f t="shared" si="73"/>
        <v>-2.4470700000000001</v>
      </c>
      <c r="U510">
        <f t="shared" ref="U510:U528" si="75">I510-G510</f>
        <v>28</v>
      </c>
      <c r="V510">
        <f t="shared" si="68"/>
        <v>-8.739535714285715E-2</v>
      </c>
      <c r="W510">
        <f t="shared" si="72"/>
        <v>-873.95357142857154</v>
      </c>
    </row>
    <row r="511" spans="1:23" x14ac:dyDescent="0.3">
      <c r="A511" t="s">
        <v>82</v>
      </c>
      <c r="B511" t="s">
        <v>57</v>
      </c>
      <c r="C511">
        <v>2</v>
      </c>
      <c r="D511">
        <v>2</v>
      </c>
      <c r="E511" t="s">
        <v>30</v>
      </c>
      <c r="F511">
        <v>0.43575000000000003</v>
      </c>
      <c r="G511" s="1">
        <v>45908</v>
      </c>
      <c r="H511">
        <v>2.4607600000000001</v>
      </c>
      <c r="I511" s="1">
        <v>45936</v>
      </c>
      <c r="J511">
        <f t="shared" si="71"/>
        <v>63.617251162500004</v>
      </c>
      <c r="K511">
        <v>5.31</v>
      </c>
      <c r="M511">
        <f t="shared" si="69"/>
        <v>0</v>
      </c>
      <c r="N511">
        <f t="shared" si="70"/>
        <v>-5.31</v>
      </c>
      <c r="O511" t="s">
        <v>165</v>
      </c>
      <c r="P511">
        <v>9.9659200000000006</v>
      </c>
      <c r="S511">
        <f t="shared" si="74"/>
        <v>7.5051600000000001</v>
      </c>
      <c r="T511">
        <f t="shared" si="73"/>
        <v>-2.4607600000000001</v>
      </c>
      <c r="U511">
        <f t="shared" si="75"/>
        <v>28</v>
      </c>
      <c r="V511">
        <f t="shared" ref="V511:V528" si="76">T511/U511</f>
        <v>-8.788428571428572E-2</v>
      </c>
      <c r="W511">
        <f t="shared" si="72"/>
        <v>-878.84285714285716</v>
      </c>
    </row>
    <row r="512" spans="1:23" x14ac:dyDescent="0.3">
      <c r="A512" t="s">
        <v>82</v>
      </c>
      <c r="B512" t="s">
        <v>57</v>
      </c>
      <c r="C512">
        <v>2</v>
      </c>
      <c r="D512">
        <v>2</v>
      </c>
      <c r="E512" t="s">
        <v>31</v>
      </c>
      <c r="F512">
        <v>0.45723999999999998</v>
      </c>
      <c r="G512" s="1">
        <v>45908</v>
      </c>
      <c r="H512">
        <v>2.4638399999999998</v>
      </c>
      <c r="I512" s="1">
        <v>45936</v>
      </c>
      <c r="J512">
        <f t="shared" si="71"/>
        <v>63.617251162500004</v>
      </c>
      <c r="K512">
        <v>5.31</v>
      </c>
      <c r="M512">
        <f t="shared" si="69"/>
        <v>0</v>
      </c>
      <c r="N512">
        <f t="shared" si="70"/>
        <v>-5.31</v>
      </c>
      <c r="O512" t="s">
        <v>165</v>
      </c>
      <c r="P512">
        <v>7.7533300000000001</v>
      </c>
      <c r="S512">
        <f t="shared" si="74"/>
        <v>5.2894900000000007</v>
      </c>
      <c r="T512">
        <f t="shared" si="73"/>
        <v>-2.4638399999999998</v>
      </c>
      <c r="U512">
        <f t="shared" si="75"/>
        <v>28</v>
      </c>
      <c r="V512">
        <f t="shared" si="76"/>
        <v>-8.7994285714285705E-2</v>
      </c>
      <c r="W512">
        <f t="shared" si="72"/>
        <v>-879.94285714285706</v>
      </c>
    </row>
    <row r="513" spans="1:29" x14ac:dyDescent="0.3">
      <c r="A513" t="s">
        <v>82</v>
      </c>
      <c r="B513" t="s">
        <v>57</v>
      </c>
      <c r="C513">
        <v>2</v>
      </c>
      <c r="D513">
        <v>6</v>
      </c>
      <c r="E513" t="s">
        <v>64</v>
      </c>
      <c r="F513">
        <v>0.43630999999999998</v>
      </c>
      <c r="G513" s="1">
        <v>45908</v>
      </c>
      <c r="H513">
        <v>2.4348100000000001</v>
      </c>
      <c r="I513" s="1">
        <v>45936</v>
      </c>
      <c r="J513">
        <f t="shared" si="71"/>
        <v>63.617251162500004</v>
      </c>
      <c r="K513">
        <v>5.31</v>
      </c>
      <c r="M513">
        <f t="shared" si="69"/>
        <v>0</v>
      </c>
      <c r="N513">
        <f t="shared" si="70"/>
        <v>-5.31</v>
      </c>
      <c r="O513" t="s">
        <v>165</v>
      </c>
      <c r="P513">
        <v>3.0214699999999999</v>
      </c>
      <c r="S513">
        <f t="shared" si="74"/>
        <v>0.58665999999999974</v>
      </c>
      <c r="T513">
        <f t="shared" si="73"/>
        <v>-2.4348100000000001</v>
      </c>
      <c r="U513">
        <f t="shared" si="75"/>
        <v>28</v>
      </c>
      <c r="V513">
        <f t="shared" si="76"/>
        <v>-8.6957500000000007E-2</v>
      </c>
      <c r="W513">
        <f t="shared" si="72"/>
        <v>-869.57500000000005</v>
      </c>
    </row>
    <row r="514" spans="1:29" x14ac:dyDescent="0.3">
      <c r="A514" t="s">
        <v>82</v>
      </c>
      <c r="B514" t="s">
        <v>57</v>
      </c>
      <c r="C514">
        <v>2</v>
      </c>
      <c r="D514">
        <v>6</v>
      </c>
      <c r="E514" t="s">
        <v>30</v>
      </c>
      <c r="F514">
        <v>0.45621</v>
      </c>
      <c r="G514" s="1">
        <v>45908</v>
      </c>
      <c r="H514">
        <v>2.46061</v>
      </c>
      <c r="I514" s="1">
        <v>45936</v>
      </c>
      <c r="J514">
        <f t="shared" si="71"/>
        <v>63.617251162500004</v>
      </c>
      <c r="K514">
        <v>5.31</v>
      </c>
      <c r="M514">
        <f t="shared" si="69"/>
        <v>0</v>
      </c>
      <c r="N514">
        <f t="shared" si="70"/>
        <v>-5.31</v>
      </c>
      <c r="O514" t="s">
        <v>165</v>
      </c>
      <c r="P514">
        <v>4.3304799999999997</v>
      </c>
      <c r="S514">
        <f t="shared" si="74"/>
        <v>1.8698699999999997</v>
      </c>
      <c r="T514">
        <f t="shared" si="73"/>
        <v>-2.46061</v>
      </c>
      <c r="U514">
        <f t="shared" si="75"/>
        <v>28</v>
      </c>
      <c r="V514">
        <f t="shared" si="76"/>
        <v>-8.7878928571428566E-2</v>
      </c>
      <c r="W514">
        <f t="shared" si="72"/>
        <v>-878.78928571428571</v>
      </c>
    </row>
    <row r="515" spans="1:29" x14ac:dyDescent="0.3">
      <c r="A515" t="s">
        <v>82</v>
      </c>
      <c r="B515" t="s">
        <v>57</v>
      </c>
      <c r="C515">
        <v>2</v>
      </c>
      <c r="D515">
        <v>6</v>
      </c>
      <c r="E515" t="s">
        <v>31</v>
      </c>
      <c r="F515">
        <v>0.43669999999999998</v>
      </c>
      <c r="G515" s="1">
        <v>45908</v>
      </c>
      <c r="H515">
        <v>2.4768400000000002</v>
      </c>
      <c r="I515" s="1">
        <v>45936</v>
      </c>
      <c r="J515">
        <f t="shared" si="71"/>
        <v>63.617251162500004</v>
      </c>
      <c r="K515">
        <v>5.31</v>
      </c>
      <c r="M515">
        <f t="shared" si="69"/>
        <v>0</v>
      </c>
      <c r="N515">
        <f t="shared" si="70"/>
        <v>-5.31</v>
      </c>
      <c r="O515" t="s">
        <v>165</v>
      </c>
      <c r="P515">
        <v>4.3020800000000001</v>
      </c>
      <c r="S515">
        <f t="shared" si="74"/>
        <v>1.82524</v>
      </c>
      <c r="T515">
        <f t="shared" si="73"/>
        <v>-2.4768400000000002</v>
      </c>
      <c r="U515">
        <f t="shared" si="75"/>
        <v>28</v>
      </c>
      <c r="V515">
        <f t="shared" si="76"/>
        <v>-8.8458571428571428E-2</v>
      </c>
      <c r="W515">
        <f t="shared" si="72"/>
        <v>-884.58571428571429</v>
      </c>
    </row>
    <row r="516" spans="1:29" x14ac:dyDescent="0.3">
      <c r="A516" t="s">
        <v>82</v>
      </c>
      <c r="B516" t="s">
        <v>57</v>
      </c>
      <c r="C516">
        <v>2</v>
      </c>
      <c r="D516">
        <v>12</v>
      </c>
      <c r="E516" t="s">
        <v>64</v>
      </c>
      <c r="F516">
        <v>0.45790999999999998</v>
      </c>
      <c r="G516" s="1">
        <v>45908</v>
      </c>
      <c r="H516">
        <v>2.4500000000000002</v>
      </c>
      <c r="I516" s="1">
        <v>45936</v>
      </c>
      <c r="J516">
        <f t="shared" si="71"/>
        <v>63.617251162500004</v>
      </c>
      <c r="K516">
        <v>5.31</v>
      </c>
      <c r="M516">
        <f t="shared" ref="M516:M579" si="77">L516*F516</f>
        <v>0</v>
      </c>
      <c r="N516">
        <f t="shared" si="70"/>
        <v>-5.31</v>
      </c>
      <c r="O516" t="s">
        <v>165</v>
      </c>
      <c r="P516">
        <v>4.6510899999999999</v>
      </c>
      <c r="S516">
        <f t="shared" si="74"/>
        <v>2.2010899999999998</v>
      </c>
      <c r="T516">
        <f t="shared" si="73"/>
        <v>-2.4500000000000002</v>
      </c>
      <c r="U516">
        <f t="shared" si="75"/>
        <v>28</v>
      </c>
      <c r="V516">
        <f t="shared" si="76"/>
        <v>-8.7500000000000008E-2</v>
      </c>
      <c r="W516">
        <f t="shared" si="72"/>
        <v>-875.00000000000011</v>
      </c>
    </row>
    <row r="517" spans="1:29" x14ac:dyDescent="0.3">
      <c r="A517" t="s">
        <v>82</v>
      </c>
      <c r="B517" t="s">
        <v>57</v>
      </c>
      <c r="C517">
        <v>2</v>
      </c>
      <c r="D517">
        <v>12</v>
      </c>
      <c r="E517" t="s">
        <v>30</v>
      </c>
      <c r="F517">
        <v>0.43702000000000002</v>
      </c>
      <c r="G517" s="1">
        <v>45908</v>
      </c>
      <c r="H517">
        <v>2.4540199999999999</v>
      </c>
      <c r="I517" s="1">
        <v>45936</v>
      </c>
      <c r="J517">
        <f t="shared" si="71"/>
        <v>63.617251162500004</v>
      </c>
      <c r="K517">
        <v>5.31</v>
      </c>
      <c r="M517">
        <f t="shared" si="77"/>
        <v>0</v>
      </c>
      <c r="N517">
        <f t="shared" si="70"/>
        <v>-5.31</v>
      </c>
      <c r="O517" t="s">
        <v>165</v>
      </c>
      <c r="P517">
        <v>4.6985000000000001</v>
      </c>
      <c r="S517">
        <f t="shared" si="74"/>
        <v>2.2444800000000003</v>
      </c>
      <c r="T517">
        <f t="shared" si="73"/>
        <v>-2.4540199999999999</v>
      </c>
      <c r="U517">
        <f t="shared" si="75"/>
        <v>28</v>
      </c>
      <c r="V517">
        <f t="shared" si="76"/>
        <v>-8.7643571428571418E-2</v>
      </c>
      <c r="W517">
        <f t="shared" si="72"/>
        <v>-876.4357142857142</v>
      </c>
    </row>
    <row r="518" spans="1:29" x14ac:dyDescent="0.3">
      <c r="A518" t="s">
        <v>82</v>
      </c>
      <c r="B518" t="s">
        <v>57</v>
      </c>
      <c r="C518">
        <v>2</v>
      </c>
      <c r="D518">
        <v>12</v>
      </c>
      <c r="E518" t="s">
        <v>31</v>
      </c>
      <c r="F518">
        <v>0.43669000000000002</v>
      </c>
      <c r="G518" s="1">
        <v>45908</v>
      </c>
      <c r="H518">
        <v>2.4618099999999998</v>
      </c>
      <c r="I518" s="1">
        <v>45936</v>
      </c>
      <c r="J518">
        <f t="shared" si="71"/>
        <v>63.617251162500004</v>
      </c>
      <c r="K518">
        <v>5.31</v>
      </c>
      <c r="M518">
        <f t="shared" si="77"/>
        <v>0</v>
      </c>
      <c r="N518">
        <f t="shared" si="70"/>
        <v>-5.31</v>
      </c>
      <c r="O518" t="s">
        <v>165</v>
      </c>
      <c r="P518">
        <v>4.8505099999999999</v>
      </c>
      <c r="S518">
        <f t="shared" si="74"/>
        <v>2.3887</v>
      </c>
      <c r="T518">
        <f t="shared" si="73"/>
        <v>-2.4618099999999998</v>
      </c>
      <c r="U518">
        <f t="shared" si="75"/>
        <v>28</v>
      </c>
      <c r="V518">
        <f t="shared" si="76"/>
        <v>-8.7921785714285702E-2</v>
      </c>
      <c r="W518">
        <f t="shared" si="72"/>
        <v>-879.21785714285704</v>
      </c>
    </row>
    <row r="519" spans="1:29" x14ac:dyDescent="0.3">
      <c r="A519" t="s">
        <v>82</v>
      </c>
      <c r="B519" t="s">
        <v>57</v>
      </c>
      <c r="C519">
        <v>2</v>
      </c>
      <c r="D519">
        <v>24</v>
      </c>
      <c r="E519" t="s">
        <v>28</v>
      </c>
      <c r="F519">
        <v>0.45950000000000002</v>
      </c>
      <c r="G519" s="1">
        <v>45908</v>
      </c>
      <c r="H519">
        <v>2.4365700000000001</v>
      </c>
      <c r="I519" s="1">
        <v>45936</v>
      </c>
      <c r="J519">
        <f t="shared" si="71"/>
        <v>63.617251162500004</v>
      </c>
      <c r="K519">
        <v>5.31</v>
      </c>
      <c r="M519">
        <f t="shared" si="77"/>
        <v>0</v>
      </c>
      <c r="N519">
        <f t="shared" si="70"/>
        <v>-5.31</v>
      </c>
      <c r="O519" t="s">
        <v>165</v>
      </c>
      <c r="P519">
        <v>3.4483199999999998</v>
      </c>
      <c r="S519">
        <f t="shared" si="74"/>
        <v>1.0117499999999997</v>
      </c>
      <c r="T519">
        <f t="shared" si="73"/>
        <v>-2.4365700000000001</v>
      </c>
      <c r="U519">
        <f t="shared" si="75"/>
        <v>28</v>
      </c>
      <c r="V519">
        <f t="shared" si="76"/>
        <v>-8.7020357142857149E-2</v>
      </c>
      <c r="W519">
        <f t="shared" si="72"/>
        <v>-870.20357142857154</v>
      </c>
    </row>
    <row r="520" spans="1:29" x14ac:dyDescent="0.3">
      <c r="A520" t="s">
        <v>82</v>
      </c>
      <c r="B520" t="s">
        <v>57</v>
      </c>
      <c r="C520">
        <v>2</v>
      </c>
      <c r="D520">
        <v>24</v>
      </c>
      <c r="E520" t="s">
        <v>30</v>
      </c>
      <c r="F520">
        <v>0.43645</v>
      </c>
      <c r="G520" s="1">
        <v>45908</v>
      </c>
      <c r="H520">
        <v>2.4407999999999999</v>
      </c>
      <c r="I520" s="1">
        <v>45936</v>
      </c>
      <c r="J520">
        <f t="shared" si="71"/>
        <v>63.617251162500004</v>
      </c>
      <c r="K520">
        <v>5.31</v>
      </c>
      <c r="M520">
        <f t="shared" si="77"/>
        <v>0</v>
      </c>
      <c r="N520">
        <f t="shared" si="70"/>
        <v>-5.31</v>
      </c>
      <c r="O520" t="s">
        <v>165</v>
      </c>
      <c r="P520">
        <v>3.2407599999999999</v>
      </c>
      <c r="S520">
        <f t="shared" si="74"/>
        <v>0.79996</v>
      </c>
      <c r="T520">
        <f t="shared" si="73"/>
        <v>-2.4407999999999999</v>
      </c>
      <c r="U520">
        <f t="shared" si="75"/>
        <v>28</v>
      </c>
      <c r="V520">
        <f t="shared" si="76"/>
        <v>-8.7171428571428566E-2</v>
      </c>
      <c r="W520">
        <f t="shared" si="72"/>
        <v>-871.71428571428567</v>
      </c>
    </row>
    <row r="521" spans="1:29" x14ac:dyDescent="0.3">
      <c r="A521" t="s">
        <v>82</v>
      </c>
      <c r="B521" t="s">
        <v>57</v>
      </c>
      <c r="C521">
        <v>2</v>
      </c>
      <c r="D521">
        <v>24</v>
      </c>
      <c r="E521" t="s">
        <v>31</v>
      </c>
      <c r="F521">
        <v>0.45905000000000001</v>
      </c>
      <c r="G521" s="1">
        <v>45908</v>
      </c>
      <c r="H521">
        <v>2.44191</v>
      </c>
      <c r="I521" s="1">
        <v>45936</v>
      </c>
      <c r="J521">
        <f t="shared" si="71"/>
        <v>63.617251162500004</v>
      </c>
      <c r="K521">
        <v>5.31</v>
      </c>
      <c r="M521">
        <f t="shared" si="77"/>
        <v>0</v>
      </c>
      <c r="N521">
        <f t="shared" si="70"/>
        <v>-5.31</v>
      </c>
      <c r="O521" t="s">
        <v>165</v>
      </c>
      <c r="P521">
        <v>3.4685100000000002</v>
      </c>
      <c r="S521">
        <f t="shared" si="74"/>
        <v>1.0266000000000002</v>
      </c>
      <c r="T521">
        <f t="shared" si="73"/>
        <v>-2.44191</v>
      </c>
      <c r="U521">
        <f t="shared" si="75"/>
        <v>28</v>
      </c>
      <c r="V521">
        <f t="shared" si="76"/>
        <v>-8.7211071428571429E-2</v>
      </c>
      <c r="W521">
        <f t="shared" si="72"/>
        <v>-872.11071428571427</v>
      </c>
    </row>
    <row r="522" spans="1:29" x14ac:dyDescent="0.3">
      <c r="A522" t="s">
        <v>82</v>
      </c>
      <c r="B522" t="s">
        <v>57</v>
      </c>
      <c r="C522">
        <v>2</v>
      </c>
      <c r="D522">
        <v>48</v>
      </c>
      <c r="E522" t="s">
        <v>64</v>
      </c>
      <c r="F522">
        <v>0.45722000000000002</v>
      </c>
      <c r="G522" s="1">
        <v>45908</v>
      </c>
      <c r="H522">
        <v>2.4424299999999999</v>
      </c>
      <c r="I522" s="1">
        <v>45936</v>
      </c>
      <c r="J522">
        <f t="shared" si="71"/>
        <v>63.617251162500004</v>
      </c>
      <c r="K522">
        <v>5.31</v>
      </c>
      <c r="M522">
        <f t="shared" si="77"/>
        <v>0</v>
      </c>
      <c r="N522">
        <f t="shared" si="70"/>
        <v>-5.31</v>
      </c>
      <c r="O522" t="s">
        <v>165</v>
      </c>
      <c r="P522">
        <v>3.3843200000000002</v>
      </c>
      <c r="S522">
        <f t="shared" si="74"/>
        <v>0.94189000000000034</v>
      </c>
      <c r="T522">
        <f t="shared" si="73"/>
        <v>-2.4424299999999999</v>
      </c>
      <c r="U522">
        <f t="shared" si="75"/>
        <v>28</v>
      </c>
      <c r="V522">
        <f t="shared" si="76"/>
        <v>-8.7229642857142853E-2</v>
      </c>
      <c r="W522">
        <f t="shared" si="72"/>
        <v>-872.29642857142858</v>
      </c>
    </row>
    <row r="523" spans="1:29" x14ac:dyDescent="0.3">
      <c r="A523" t="s">
        <v>82</v>
      </c>
      <c r="B523" t="s">
        <v>57</v>
      </c>
      <c r="C523">
        <v>2</v>
      </c>
      <c r="D523">
        <v>48</v>
      </c>
      <c r="E523" t="s">
        <v>30</v>
      </c>
      <c r="F523">
        <v>0.43615999999999999</v>
      </c>
      <c r="G523" s="1">
        <v>45908</v>
      </c>
      <c r="H523">
        <v>2.4626800000000002</v>
      </c>
      <c r="I523" s="1">
        <v>45936</v>
      </c>
      <c r="J523">
        <f t="shared" si="71"/>
        <v>63.617251162500004</v>
      </c>
      <c r="K523">
        <v>5.31</v>
      </c>
      <c r="M523">
        <f t="shared" si="77"/>
        <v>0</v>
      </c>
      <c r="N523">
        <f t="shared" si="70"/>
        <v>-5.31</v>
      </c>
      <c r="O523" t="s">
        <v>165</v>
      </c>
      <c r="P523">
        <v>3.3628100000000001</v>
      </c>
      <c r="S523">
        <f t="shared" si="74"/>
        <v>0.90012999999999987</v>
      </c>
      <c r="T523">
        <f t="shared" si="73"/>
        <v>-2.4626800000000002</v>
      </c>
      <c r="U523">
        <f t="shared" si="75"/>
        <v>28</v>
      </c>
      <c r="V523">
        <f t="shared" si="76"/>
        <v>-8.7952857142857152E-2</v>
      </c>
      <c r="W523">
        <f t="shared" si="72"/>
        <v>-879.52857142857147</v>
      </c>
    </row>
    <row r="524" spans="1:29" x14ac:dyDescent="0.3">
      <c r="A524" t="s">
        <v>82</v>
      </c>
      <c r="B524" t="s">
        <v>57</v>
      </c>
      <c r="C524">
        <v>2</v>
      </c>
      <c r="D524">
        <v>48</v>
      </c>
      <c r="E524" t="s">
        <v>31</v>
      </c>
      <c r="F524">
        <v>0.43680000000000002</v>
      </c>
      <c r="G524" s="1">
        <v>45908</v>
      </c>
      <c r="H524">
        <v>2.4510299999999998</v>
      </c>
      <c r="I524" s="1">
        <v>45936</v>
      </c>
      <c r="J524">
        <f t="shared" si="71"/>
        <v>63.617251162500004</v>
      </c>
      <c r="K524">
        <v>5.31</v>
      </c>
      <c r="M524">
        <f t="shared" si="77"/>
        <v>0</v>
      </c>
      <c r="N524">
        <f t="shared" si="70"/>
        <v>-5.31</v>
      </c>
      <c r="O524" t="s">
        <v>165</v>
      </c>
      <c r="P524">
        <v>3.2804500000000001</v>
      </c>
      <c r="S524">
        <f t="shared" si="74"/>
        <v>0.82942000000000027</v>
      </c>
      <c r="T524">
        <f t="shared" si="73"/>
        <v>-2.4510299999999998</v>
      </c>
      <c r="U524">
        <f t="shared" si="75"/>
        <v>28</v>
      </c>
      <c r="V524">
        <f t="shared" si="76"/>
        <v>-8.7536785714285706E-2</v>
      </c>
      <c r="W524">
        <f t="shared" si="72"/>
        <v>-875.36785714285702</v>
      </c>
    </row>
    <row r="525" spans="1:29" x14ac:dyDescent="0.3">
      <c r="A525" t="s">
        <v>82</v>
      </c>
      <c r="B525" t="s">
        <v>57</v>
      </c>
      <c r="E525" t="s">
        <v>67</v>
      </c>
      <c r="F525">
        <v>0.45113999999999999</v>
      </c>
      <c r="G525" t="s">
        <v>56</v>
      </c>
      <c r="H525">
        <v>2.4588399999999999</v>
      </c>
      <c r="I525" t="s">
        <v>56</v>
      </c>
      <c r="J525">
        <f t="shared" si="71"/>
        <v>63.617251162500004</v>
      </c>
      <c r="K525">
        <v>5.31</v>
      </c>
      <c r="M525">
        <f t="shared" si="77"/>
        <v>0</v>
      </c>
      <c r="N525">
        <f t="shared" si="70"/>
        <v>-5.31</v>
      </c>
      <c r="S525">
        <f t="shared" si="74"/>
        <v>-2.4588399999999999</v>
      </c>
      <c r="T525">
        <f t="shared" si="73"/>
        <v>-2.4588399999999999</v>
      </c>
      <c r="U525" t="e">
        <f t="shared" si="75"/>
        <v>#VALUE!</v>
      </c>
      <c r="V525" t="e">
        <f t="shared" si="76"/>
        <v>#VALUE!</v>
      </c>
      <c r="W525" t="e">
        <f t="shared" si="72"/>
        <v>#VALUE!</v>
      </c>
      <c r="AC525" t="s">
        <v>167</v>
      </c>
    </row>
    <row r="526" spans="1:29" x14ac:dyDescent="0.3">
      <c r="A526" t="s">
        <v>82</v>
      </c>
      <c r="B526" t="s">
        <v>57</v>
      </c>
      <c r="E526" t="s">
        <v>68</v>
      </c>
      <c r="F526">
        <v>0.43278</v>
      </c>
      <c r="G526" t="s">
        <v>56</v>
      </c>
      <c r="H526">
        <v>2.4506299999999999</v>
      </c>
      <c r="I526" t="s">
        <v>56</v>
      </c>
      <c r="J526">
        <f t="shared" si="71"/>
        <v>63.617251162500004</v>
      </c>
      <c r="K526">
        <v>5.31</v>
      </c>
      <c r="M526">
        <f t="shared" si="77"/>
        <v>0</v>
      </c>
      <c r="N526">
        <f t="shared" si="70"/>
        <v>-5.31</v>
      </c>
      <c r="S526">
        <f t="shared" si="74"/>
        <v>-2.4506299999999999</v>
      </c>
      <c r="T526">
        <f t="shared" si="73"/>
        <v>-2.4506299999999999</v>
      </c>
      <c r="U526" t="e">
        <f t="shared" si="75"/>
        <v>#VALUE!</v>
      </c>
      <c r="V526" t="e">
        <f t="shared" si="76"/>
        <v>#VALUE!</v>
      </c>
      <c r="W526" t="e">
        <f t="shared" si="72"/>
        <v>#VALUE!</v>
      </c>
    </row>
    <row r="527" spans="1:29" x14ac:dyDescent="0.3">
      <c r="A527" t="s">
        <v>82</v>
      </c>
      <c r="B527" t="s">
        <v>57</v>
      </c>
      <c r="E527" t="s">
        <v>69</v>
      </c>
      <c r="F527">
        <v>0.434</v>
      </c>
      <c r="G527" t="s">
        <v>56</v>
      </c>
      <c r="H527">
        <v>2.4481600000000001</v>
      </c>
      <c r="I527" t="s">
        <v>56</v>
      </c>
      <c r="J527">
        <f t="shared" si="71"/>
        <v>63.617251162500004</v>
      </c>
      <c r="K527">
        <v>5.31</v>
      </c>
      <c r="M527">
        <f t="shared" si="77"/>
        <v>0</v>
      </c>
      <c r="N527">
        <f t="shared" si="70"/>
        <v>-5.31</v>
      </c>
      <c r="S527">
        <f t="shared" si="74"/>
        <v>-2.4481600000000001</v>
      </c>
      <c r="T527">
        <f t="shared" si="73"/>
        <v>-2.4481600000000001</v>
      </c>
      <c r="U527" t="e">
        <f t="shared" si="75"/>
        <v>#VALUE!</v>
      </c>
      <c r="V527" t="e">
        <f t="shared" si="76"/>
        <v>#VALUE!</v>
      </c>
      <c r="W527" t="e">
        <f t="shared" si="72"/>
        <v>#VALUE!</v>
      </c>
    </row>
    <row r="528" spans="1:29" x14ac:dyDescent="0.3">
      <c r="A528" t="s">
        <v>82</v>
      </c>
      <c r="B528" t="s">
        <v>57</v>
      </c>
      <c r="E528" t="s">
        <v>70</v>
      </c>
      <c r="F528">
        <v>0.45544000000000001</v>
      </c>
      <c r="G528" t="s">
        <v>56</v>
      </c>
      <c r="H528">
        <v>2.4471099999999999</v>
      </c>
      <c r="I528" t="s">
        <v>56</v>
      </c>
      <c r="J528">
        <f t="shared" si="71"/>
        <v>63.617251162500004</v>
      </c>
      <c r="K528">
        <v>5.31</v>
      </c>
      <c r="M528">
        <f t="shared" si="77"/>
        <v>0</v>
      </c>
      <c r="N528">
        <f t="shared" si="70"/>
        <v>-5.31</v>
      </c>
      <c r="S528">
        <f t="shared" si="74"/>
        <v>-2.4471099999999999</v>
      </c>
      <c r="T528">
        <f t="shared" si="73"/>
        <v>-2.4471099999999999</v>
      </c>
      <c r="U528" t="e">
        <f t="shared" si="75"/>
        <v>#VALUE!</v>
      </c>
      <c r="V528" t="e">
        <f t="shared" si="76"/>
        <v>#VALUE!</v>
      </c>
      <c r="W528" t="e">
        <f t="shared" si="72"/>
        <v>#VALUE!</v>
      </c>
    </row>
    <row r="529" spans="1:29" x14ac:dyDescent="0.3">
      <c r="A529" t="s">
        <v>83</v>
      </c>
      <c r="B529" t="s">
        <v>61</v>
      </c>
      <c r="C529">
        <v>1</v>
      </c>
      <c r="D529">
        <v>0.5</v>
      </c>
      <c r="E529" t="s">
        <v>28</v>
      </c>
      <c r="G529" s="1">
        <v>45938</v>
      </c>
      <c r="I529" s="1">
        <v>45976</v>
      </c>
      <c r="J529">
        <f t="shared" si="71"/>
        <v>63.617251162500004</v>
      </c>
      <c r="K529">
        <v>5.31</v>
      </c>
      <c r="M529">
        <f t="shared" si="77"/>
        <v>0</v>
      </c>
      <c r="N529">
        <f t="shared" si="70"/>
        <v>-5.31</v>
      </c>
      <c r="AC529" t="s">
        <v>245</v>
      </c>
    </row>
    <row r="530" spans="1:29" x14ac:dyDescent="0.3">
      <c r="A530" t="s">
        <v>83</v>
      </c>
      <c r="B530" t="s">
        <v>61</v>
      </c>
      <c r="C530">
        <v>1</v>
      </c>
      <c r="D530">
        <v>0.5</v>
      </c>
      <c r="E530" t="s">
        <v>30</v>
      </c>
      <c r="G530" s="1">
        <v>45938</v>
      </c>
      <c r="I530" s="1">
        <v>45976</v>
      </c>
      <c r="J530">
        <f t="shared" si="71"/>
        <v>63.617251162500004</v>
      </c>
      <c r="K530">
        <v>5.31</v>
      </c>
      <c r="M530">
        <f t="shared" si="77"/>
        <v>0</v>
      </c>
      <c r="N530">
        <f t="shared" si="70"/>
        <v>-5.31</v>
      </c>
    </row>
    <row r="531" spans="1:29" x14ac:dyDescent="0.3">
      <c r="A531" t="s">
        <v>83</v>
      </c>
      <c r="B531" t="s">
        <v>61</v>
      </c>
      <c r="C531">
        <v>1</v>
      </c>
      <c r="D531">
        <v>0.5</v>
      </c>
      <c r="E531" t="s">
        <v>31</v>
      </c>
      <c r="G531" s="1">
        <v>45938</v>
      </c>
      <c r="I531" s="1">
        <v>45976</v>
      </c>
      <c r="J531">
        <f t="shared" si="71"/>
        <v>63.617251162500004</v>
      </c>
      <c r="K531">
        <v>5.31</v>
      </c>
      <c r="M531">
        <f t="shared" si="77"/>
        <v>0</v>
      </c>
      <c r="N531">
        <f t="shared" si="70"/>
        <v>-5.31</v>
      </c>
    </row>
    <row r="532" spans="1:29" x14ac:dyDescent="0.3">
      <c r="A532" t="s">
        <v>83</v>
      </c>
      <c r="B532" t="s">
        <v>61</v>
      </c>
      <c r="C532">
        <v>1</v>
      </c>
      <c r="D532">
        <v>2</v>
      </c>
      <c r="E532" t="s">
        <v>28</v>
      </c>
      <c r="G532" s="1">
        <v>45938</v>
      </c>
      <c r="I532" s="1">
        <v>45976</v>
      </c>
      <c r="J532">
        <f t="shared" si="71"/>
        <v>63.617251162500004</v>
      </c>
      <c r="K532">
        <v>5.31</v>
      </c>
      <c r="M532">
        <f t="shared" si="77"/>
        <v>0</v>
      </c>
      <c r="N532">
        <f t="shared" si="70"/>
        <v>-5.31</v>
      </c>
    </row>
    <row r="533" spans="1:29" x14ac:dyDescent="0.3">
      <c r="A533" t="s">
        <v>83</v>
      </c>
      <c r="B533" t="s">
        <v>61</v>
      </c>
      <c r="C533">
        <v>1</v>
      </c>
      <c r="D533">
        <v>2</v>
      </c>
      <c r="E533" t="s">
        <v>30</v>
      </c>
      <c r="G533" s="1">
        <v>45938</v>
      </c>
      <c r="I533" s="1">
        <v>45976</v>
      </c>
      <c r="J533">
        <f t="shared" si="71"/>
        <v>63.617251162500004</v>
      </c>
      <c r="K533">
        <v>5.31</v>
      </c>
      <c r="M533">
        <f t="shared" si="77"/>
        <v>0</v>
      </c>
      <c r="N533">
        <f t="shared" si="70"/>
        <v>-5.31</v>
      </c>
    </row>
    <row r="534" spans="1:29" x14ac:dyDescent="0.3">
      <c r="A534" t="s">
        <v>83</v>
      </c>
      <c r="B534" t="s">
        <v>61</v>
      </c>
      <c r="C534">
        <v>1</v>
      </c>
      <c r="D534">
        <v>2</v>
      </c>
      <c r="E534" t="s">
        <v>31</v>
      </c>
      <c r="G534" s="1">
        <v>45938</v>
      </c>
      <c r="I534" s="1">
        <v>45976</v>
      </c>
      <c r="J534">
        <f t="shared" si="71"/>
        <v>63.617251162500004</v>
      </c>
      <c r="K534">
        <v>5.31</v>
      </c>
      <c r="M534">
        <f t="shared" si="77"/>
        <v>0</v>
      </c>
      <c r="N534">
        <f t="shared" si="70"/>
        <v>-5.31</v>
      </c>
    </row>
    <row r="535" spans="1:29" x14ac:dyDescent="0.3">
      <c r="A535" t="s">
        <v>83</v>
      </c>
      <c r="B535" t="s">
        <v>61</v>
      </c>
      <c r="C535">
        <v>1</v>
      </c>
      <c r="D535">
        <v>6</v>
      </c>
      <c r="E535" t="s">
        <v>28</v>
      </c>
      <c r="G535" s="1">
        <v>45938</v>
      </c>
      <c r="I535" s="1">
        <v>45976</v>
      </c>
      <c r="J535">
        <f t="shared" si="71"/>
        <v>63.617251162500004</v>
      </c>
      <c r="K535">
        <v>5.31</v>
      </c>
      <c r="M535">
        <f t="shared" si="77"/>
        <v>0</v>
      </c>
      <c r="N535">
        <f t="shared" ref="N535:N598" si="78">L535*J535-K535</f>
        <v>-5.31</v>
      </c>
    </row>
    <row r="536" spans="1:29" x14ac:dyDescent="0.3">
      <c r="A536" t="s">
        <v>83</v>
      </c>
      <c r="B536" t="s">
        <v>61</v>
      </c>
      <c r="C536">
        <v>1</v>
      </c>
      <c r="D536">
        <v>6</v>
      </c>
      <c r="E536" t="s">
        <v>30</v>
      </c>
      <c r="G536" s="1">
        <v>45938</v>
      </c>
      <c r="I536" s="1">
        <v>45976</v>
      </c>
      <c r="J536">
        <f t="shared" si="71"/>
        <v>63.617251162500004</v>
      </c>
      <c r="K536">
        <v>5.31</v>
      </c>
      <c r="M536">
        <f t="shared" si="77"/>
        <v>0</v>
      </c>
      <c r="N536">
        <f t="shared" si="78"/>
        <v>-5.31</v>
      </c>
    </row>
    <row r="537" spans="1:29" x14ac:dyDescent="0.3">
      <c r="A537" t="s">
        <v>83</v>
      </c>
      <c r="B537" t="s">
        <v>61</v>
      </c>
      <c r="C537">
        <v>1</v>
      </c>
      <c r="D537">
        <v>6</v>
      </c>
      <c r="E537" t="s">
        <v>31</v>
      </c>
      <c r="G537" s="1">
        <v>45938</v>
      </c>
      <c r="I537" s="1">
        <v>45976</v>
      </c>
      <c r="J537">
        <f t="shared" si="71"/>
        <v>63.617251162500004</v>
      </c>
      <c r="K537">
        <v>5.31</v>
      </c>
      <c r="M537">
        <f t="shared" si="77"/>
        <v>0</v>
      </c>
      <c r="N537">
        <f t="shared" si="78"/>
        <v>-5.31</v>
      </c>
    </row>
    <row r="538" spans="1:29" x14ac:dyDescent="0.3">
      <c r="A538" t="s">
        <v>83</v>
      </c>
      <c r="B538" t="s">
        <v>61</v>
      </c>
      <c r="C538">
        <v>1</v>
      </c>
      <c r="D538">
        <v>12</v>
      </c>
      <c r="E538" t="s">
        <v>28</v>
      </c>
      <c r="G538" s="1">
        <v>45938</v>
      </c>
      <c r="I538" s="1">
        <v>45976</v>
      </c>
      <c r="J538">
        <f t="shared" si="71"/>
        <v>63.617251162500004</v>
      </c>
      <c r="K538">
        <v>5.31</v>
      </c>
      <c r="M538">
        <f t="shared" si="77"/>
        <v>0</v>
      </c>
      <c r="N538">
        <f t="shared" si="78"/>
        <v>-5.31</v>
      </c>
    </row>
    <row r="539" spans="1:29" x14ac:dyDescent="0.3">
      <c r="A539" t="s">
        <v>83</v>
      </c>
      <c r="B539" t="s">
        <v>61</v>
      </c>
      <c r="C539">
        <v>1</v>
      </c>
      <c r="D539">
        <v>12</v>
      </c>
      <c r="E539" t="s">
        <v>30</v>
      </c>
      <c r="G539" s="1">
        <v>45938</v>
      </c>
      <c r="I539" s="1">
        <v>45976</v>
      </c>
      <c r="J539">
        <f t="shared" si="71"/>
        <v>63.617251162500004</v>
      </c>
      <c r="K539">
        <v>5.31</v>
      </c>
      <c r="M539">
        <f t="shared" si="77"/>
        <v>0</v>
      </c>
      <c r="N539">
        <f t="shared" si="78"/>
        <v>-5.31</v>
      </c>
    </row>
    <row r="540" spans="1:29" x14ac:dyDescent="0.3">
      <c r="A540" t="s">
        <v>83</v>
      </c>
      <c r="B540" t="s">
        <v>61</v>
      </c>
      <c r="C540">
        <v>1</v>
      </c>
      <c r="D540">
        <v>12</v>
      </c>
      <c r="E540" t="s">
        <v>31</v>
      </c>
      <c r="G540" s="1">
        <v>45938</v>
      </c>
      <c r="I540" s="1">
        <v>45976</v>
      </c>
      <c r="J540">
        <f t="shared" si="71"/>
        <v>63.617251162500004</v>
      </c>
      <c r="K540">
        <v>5.31</v>
      </c>
      <c r="M540">
        <f t="shared" si="77"/>
        <v>0</v>
      </c>
      <c r="N540">
        <f t="shared" si="78"/>
        <v>-5.31</v>
      </c>
    </row>
    <row r="541" spans="1:29" x14ac:dyDescent="0.3">
      <c r="A541" t="s">
        <v>83</v>
      </c>
      <c r="B541" t="s">
        <v>61</v>
      </c>
      <c r="C541">
        <v>1</v>
      </c>
      <c r="D541">
        <v>18</v>
      </c>
      <c r="E541" t="s">
        <v>28</v>
      </c>
      <c r="G541" s="1">
        <v>45938</v>
      </c>
      <c r="I541" s="1">
        <v>45976</v>
      </c>
      <c r="J541">
        <f t="shared" si="71"/>
        <v>63.617251162500004</v>
      </c>
      <c r="K541">
        <v>5.31</v>
      </c>
      <c r="M541">
        <f t="shared" si="77"/>
        <v>0</v>
      </c>
      <c r="N541">
        <f t="shared" si="78"/>
        <v>-5.31</v>
      </c>
    </row>
    <row r="542" spans="1:29" x14ac:dyDescent="0.3">
      <c r="A542" t="s">
        <v>83</v>
      </c>
      <c r="B542" t="s">
        <v>61</v>
      </c>
      <c r="C542">
        <v>1</v>
      </c>
      <c r="D542">
        <v>18</v>
      </c>
      <c r="E542" t="s">
        <v>30</v>
      </c>
      <c r="G542" s="1">
        <v>45938</v>
      </c>
      <c r="I542" s="1">
        <v>45976</v>
      </c>
      <c r="J542">
        <f t="shared" si="71"/>
        <v>63.617251162500004</v>
      </c>
      <c r="K542">
        <v>5.31</v>
      </c>
      <c r="M542">
        <f t="shared" si="77"/>
        <v>0</v>
      </c>
      <c r="N542">
        <f t="shared" si="78"/>
        <v>-5.31</v>
      </c>
    </row>
    <row r="543" spans="1:29" x14ac:dyDescent="0.3">
      <c r="A543" t="s">
        <v>83</v>
      </c>
      <c r="B543" t="s">
        <v>61</v>
      </c>
      <c r="C543">
        <v>1</v>
      </c>
      <c r="D543">
        <v>18</v>
      </c>
      <c r="E543" t="s">
        <v>62</v>
      </c>
      <c r="G543" s="1">
        <v>45938</v>
      </c>
      <c r="I543" s="1">
        <v>45976</v>
      </c>
      <c r="J543">
        <f t="shared" si="71"/>
        <v>63.617251162500004</v>
      </c>
      <c r="K543">
        <v>5.31</v>
      </c>
      <c r="M543">
        <f t="shared" si="77"/>
        <v>0</v>
      </c>
      <c r="N543">
        <f t="shared" si="78"/>
        <v>-5.31</v>
      </c>
    </row>
    <row r="544" spans="1:29" x14ac:dyDescent="0.3">
      <c r="A544" t="s">
        <v>83</v>
      </c>
      <c r="B544" t="s">
        <v>61</v>
      </c>
      <c r="C544">
        <v>1</v>
      </c>
      <c r="D544">
        <v>24</v>
      </c>
      <c r="E544" t="s">
        <v>28</v>
      </c>
      <c r="G544" s="1">
        <v>45938</v>
      </c>
      <c r="I544" s="1">
        <v>45976</v>
      </c>
      <c r="J544">
        <f t="shared" si="71"/>
        <v>63.617251162500004</v>
      </c>
      <c r="K544">
        <v>5.31</v>
      </c>
      <c r="M544">
        <f t="shared" si="77"/>
        <v>0</v>
      </c>
      <c r="N544">
        <f t="shared" si="78"/>
        <v>-5.31</v>
      </c>
    </row>
    <row r="545" spans="1:14" x14ac:dyDescent="0.3">
      <c r="A545" t="s">
        <v>83</v>
      </c>
      <c r="B545" t="s">
        <v>61</v>
      </c>
      <c r="C545">
        <v>1</v>
      </c>
      <c r="D545">
        <v>24</v>
      </c>
      <c r="E545" t="s">
        <v>30</v>
      </c>
      <c r="G545" s="1">
        <v>45938</v>
      </c>
      <c r="I545" s="1">
        <v>45976</v>
      </c>
      <c r="J545">
        <f t="shared" si="71"/>
        <v>63.617251162500004</v>
      </c>
      <c r="K545">
        <v>5.31</v>
      </c>
      <c r="M545">
        <f t="shared" si="77"/>
        <v>0</v>
      </c>
      <c r="N545">
        <f t="shared" si="78"/>
        <v>-5.31</v>
      </c>
    </row>
    <row r="546" spans="1:14" x14ac:dyDescent="0.3">
      <c r="A546" t="s">
        <v>83</v>
      </c>
      <c r="B546" t="s">
        <v>61</v>
      </c>
      <c r="C546">
        <v>1</v>
      </c>
      <c r="D546">
        <v>24</v>
      </c>
      <c r="E546" t="s">
        <v>31</v>
      </c>
      <c r="G546" s="1">
        <v>45938</v>
      </c>
      <c r="I546" s="1">
        <v>45976</v>
      </c>
      <c r="J546">
        <f t="shared" si="71"/>
        <v>63.617251162500004</v>
      </c>
      <c r="K546">
        <v>5.31</v>
      </c>
      <c r="M546">
        <f t="shared" si="77"/>
        <v>0</v>
      </c>
      <c r="N546">
        <f t="shared" si="78"/>
        <v>-5.31</v>
      </c>
    </row>
    <row r="547" spans="1:14" x14ac:dyDescent="0.3">
      <c r="A547" t="s">
        <v>83</v>
      </c>
      <c r="B547" t="s">
        <v>61</v>
      </c>
      <c r="C547">
        <v>1</v>
      </c>
      <c r="D547">
        <v>48</v>
      </c>
      <c r="E547" t="s">
        <v>28</v>
      </c>
      <c r="G547" s="1">
        <v>45938</v>
      </c>
      <c r="I547" s="1">
        <v>45976</v>
      </c>
      <c r="J547">
        <f t="shared" si="71"/>
        <v>63.617251162500004</v>
      </c>
      <c r="K547">
        <v>5.31</v>
      </c>
      <c r="M547">
        <f t="shared" si="77"/>
        <v>0</v>
      </c>
      <c r="N547">
        <f t="shared" si="78"/>
        <v>-5.31</v>
      </c>
    </row>
    <row r="548" spans="1:14" x14ac:dyDescent="0.3">
      <c r="A548" t="s">
        <v>83</v>
      </c>
      <c r="B548" t="s">
        <v>61</v>
      </c>
      <c r="C548">
        <v>1</v>
      </c>
      <c r="D548">
        <v>48</v>
      </c>
      <c r="E548" t="s">
        <v>30</v>
      </c>
      <c r="G548" s="1">
        <v>45938</v>
      </c>
      <c r="I548" s="1">
        <v>45976</v>
      </c>
      <c r="J548">
        <f t="shared" si="71"/>
        <v>63.617251162500004</v>
      </c>
      <c r="K548">
        <v>5.31</v>
      </c>
      <c r="M548">
        <f t="shared" si="77"/>
        <v>0</v>
      </c>
      <c r="N548">
        <f t="shared" si="78"/>
        <v>-5.31</v>
      </c>
    </row>
    <row r="549" spans="1:14" x14ac:dyDescent="0.3">
      <c r="A549" t="s">
        <v>83</v>
      </c>
      <c r="B549" t="s">
        <v>61</v>
      </c>
      <c r="C549">
        <v>1</v>
      </c>
      <c r="D549">
        <v>48</v>
      </c>
      <c r="E549" t="s">
        <v>31</v>
      </c>
      <c r="G549" s="1">
        <v>45938</v>
      </c>
      <c r="I549" s="1">
        <v>45976</v>
      </c>
      <c r="J549">
        <f t="shared" si="71"/>
        <v>63.617251162500004</v>
      </c>
      <c r="K549">
        <v>5.31</v>
      </c>
      <c r="M549">
        <f t="shared" si="77"/>
        <v>0</v>
      </c>
      <c r="N549">
        <f t="shared" si="78"/>
        <v>-5.31</v>
      </c>
    </row>
    <row r="550" spans="1:14" x14ac:dyDescent="0.3">
      <c r="A550" t="s">
        <v>83</v>
      </c>
      <c r="B550" t="s">
        <v>61</v>
      </c>
      <c r="C550">
        <v>2</v>
      </c>
      <c r="D550">
        <v>0.5</v>
      </c>
      <c r="E550" t="s">
        <v>28</v>
      </c>
      <c r="G550" s="1">
        <v>45938</v>
      </c>
      <c r="I550" s="1">
        <v>45976</v>
      </c>
      <c r="J550">
        <f t="shared" si="71"/>
        <v>63.617251162500004</v>
      </c>
      <c r="K550">
        <v>5.31</v>
      </c>
      <c r="M550">
        <f t="shared" si="77"/>
        <v>0</v>
      </c>
      <c r="N550">
        <f t="shared" si="78"/>
        <v>-5.31</v>
      </c>
    </row>
    <row r="551" spans="1:14" x14ac:dyDescent="0.3">
      <c r="A551" t="s">
        <v>83</v>
      </c>
      <c r="B551" t="s">
        <v>61</v>
      </c>
      <c r="C551">
        <v>2</v>
      </c>
      <c r="D551">
        <v>0.5</v>
      </c>
      <c r="E551" t="s">
        <v>30</v>
      </c>
      <c r="G551" s="1">
        <v>45938</v>
      </c>
      <c r="I551" s="1">
        <v>45976</v>
      </c>
      <c r="J551">
        <f t="shared" si="71"/>
        <v>63.617251162500004</v>
      </c>
      <c r="K551">
        <v>5.31</v>
      </c>
      <c r="M551">
        <f t="shared" si="77"/>
        <v>0</v>
      </c>
      <c r="N551">
        <f t="shared" si="78"/>
        <v>-5.31</v>
      </c>
    </row>
    <row r="552" spans="1:14" x14ac:dyDescent="0.3">
      <c r="A552" t="s">
        <v>83</v>
      </c>
      <c r="B552" t="s">
        <v>61</v>
      </c>
      <c r="C552">
        <v>2</v>
      </c>
      <c r="D552">
        <v>0.5</v>
      </c>
      <c r="E552" t="s">
        <v>31</v>
      </c>
      <c r="G552" s="1">
        <v>45938</v>
      </c>
      <c r="I552" s="1">
        <v>45976</v>
      </c>
      <c r="J552">
        <f t="shared" si="71"/>
        <v>63.617251162500004</v>
      </c>
      <c r="K552">
        <v>5.31</v>
      </c>
      <c r="M552">
        <f t="shared" si="77"/>
        <v>0</v>
      </c>
      <c r="N552">
        <f t="shared" si="78"/>
        <v>-5.31</v>
      </c>
    </row>
    <row r="553" spans="1:14" x14ac:dyDescent="0.3">
      <c r="A553" t="s">
        <v>83</v>
      </c>
      <c r="B553" t="s">
        <v>61</v>
      </c>
      <c r="C553">
        <v>2</v>
      </c>
      <c r="D553">
        <v>2</v>
      </c>
      <c r="E553" t="s">
        <v>28</v>
      </c>
      <c r="G553" s="1">
        <v>45938</v>
      </c>
      <c r="I553" s="1">
        <v>45976</v>
      </c>
      <c r="J553">
        <f t="shared" si="71"/>
        <v>63.617251162500004</v>
      </c>
      <c r="K553">
        <v>5.31</v>
      </c>
      <c r="M553">
        <f t="shared" si="77"/>
        <v>0</v>
      </c>
      <c r="N553">
        <f t="shared" si="78"/>
        <v>-5.31</v>
      </c>
    </row>
    <row r="554" spans="1:14" x14ac:dyDescent="0.3">
      <c r="A554" t="s">
        <v>83</v>
      </c>
      <c r="B554" t="s">
        <v>61</v>
      </c>
      <c r="C554">
        <v>2</v>
      </c>
      <c r="D554">
        <v>2</v>
      </c>
      <c r="E554" t="s">
        <v>30</v>
      </c>
      <c r="G554" s="1">
        <v>45938</v>
      </c>
      <c r="I554" s="1">
        <v>45976</v>
      </c>
      <c r="J554">
        <f t="shared" si="71"/>
        <v>63.617251162500004</v>
      </c>
      <c r="K554">
        <v>5.31</v>
      </c>
      <c r="M554">
        <f t="shared" si="77"/>
        <v>0</v>
      </c>
      <c r="N554">
        <f t="shared" si="78"/>
        <v>-5.31</v>
      </c>
    </row>
    <row r="555" spans="1:14" x14ac:dyDescent="0.3">
      <c r="A555" t="s">
        <v>83</v>
      </c>
      <c r="B555" t="s">
        <v>61</v>
      </c>
      <c r="C555">
        <v>2</v>
      </c>
      <c r="D555">
        <v>2</v>
      </c>
      <c r="E555" t="s">
        <v>31</v>
      </c>
      <c r="G555" s="1">
        <v>45938</v>
      </c>
      <c r="I555" s="1">
        <v>45976</v>
      </c>
      <c r="J555">
        <f t="shared" si="71"/>
        <v>63.617251162500004</v>
      </c>
      <c r="K555">
        <v>5.31</v>
      </c>
      <c r="M555">
        <f t="shared" si="77"/>
        <v>0</v>
      </c>
      <c r="N555">
        <f t="shared" si="78"/>
        <v>-5.31</v>
      </c>
    </row>
    <row r="556" spans="1:14" x14ac:dyDescent="0.3">
      <c r="A556" t="s">
        <v>83</v>
      </c>
      <c r="B556" t="s">
        <v>61</v>
      </c>
      <c r="C556">
        <v>2</v>
      </c>
      <c r="D556">
        <v>6</v>
      </c>
      <c r="E556" t="s">
        <v>28</v>
      </c>
      <c r="G556" s="1">
        <v>45938</v>
      </c>
      <c r="I556" s="1">
        <v>45976</v>
      </c>
      <c r="J556">
        <f t="shared" ref="J556:J619" si="79">4.5*4.5*3.14159265</f>
        <v>63.617251162500004</v>
      </c>
      <c r="K556">
        <v>5.31</v>
      </c>
      <c r="M556">
        <f t="shared" si="77"/>
        <v>0</v>
      </c>
      <c r="N556">
        <f t="shared" si="78"/>
        <v>-5.31</v>
      </c>
    </row>
    <row r="557" spans="1:14" x14ac:dyDescent="0.3">
      <c r="A557" t="s">
        <v>83</v>
      </c>
      <c r="B557" t="s">
        <v>61</v>
      </c>
      <c r="C557">
        <v>2</v>
      </c>
      <c r="D557">
        <v>6</v>
      </c>
      <c r="E557" t="s">
        <v>30</v>
      </c>
      <c r="G557" s="1">
        <v>45938</v>
      </c>
      <c r="I557" s="1">
        <v>45976</v>
      </c>
      <c r="J557">
        <f t="shared" si="79"/>
        <v>63.617251162500004</v>
      </c>
      <c r="K557">
        <v>5.31</v>
      </c>
      <c r="M557">
        <f t="shared" si="77"/>
        <v>0</v>
      </c>
      <c r="N557">
        <f t="shared" si="78"/>
        <v>-5.31</v>
      </c>
    </row>
    <row r="558" spans="1:14" x14ac:dyDescent="0.3">
      <c r="A558" t="s">
        <v>83</v>
      </c>
      <c r="B558" t="s">
        <v>61</v>
      </c>
      <c r="C558">
        <v>2</v>
      </c>
      <c r="D558">
        <v>6</v>
      </c>
      <c r="E558" t="s">
        <v>31</v>
      </c>
      <c r="G558" s="1">
        <v>45938</v>
      </c>
      <c r="I558" s="1">
        <v>45976</v>
      </c>
      <c r="J558">
        <f t="shared" si="79"/>
        <v>63.617251162500004</v>
      </c>
      <c r="K558">
        <v>5.31</v>
      </c>
      <c r="M558">
        <f t="shared" si="77"/>
        <v>0</v>
      </c>
      <c r="N558">
        <f t="shared" si="78"/>
        <v>-5.31</v>
      </c>
    </row>
    <row r="559" spans="1:14" x14ac:dyDescent="0.3">
      <c r="A559" t="s">
        <v>83</v>
      </c>
      <c r="B559" t="s">
        <v>61</v>
      </c>
      <c r="C559">
        <v>2</v>
      </c>
      <c r="D559">
        <v>12</v>
      </c>
      <c r="E559" t="s">
        <v>28</v>
      </c>
      <c r="G559" s="1">
        <v>45938</v>
      </c>
      <c r="I559" s="1">
        <v>45976</v>
      </c>
      <c r="J559">
        <f t="shared" si="79"/>
        <v>63.617251162500004</v>
      </c>
      <c r="K559">
        <v>5.31</v>
      </c>
      <c r="M559">
        <f t="shared" si="77"/>
        <v>0</v>
      </c>
      <c r="N559">
        <f t="shared" si="78"/>
        <v>-5.31</v>
      </c>
    </row>
    <row r="560" spans="1:14" x14ac:dyDescent="0.3">
      <c r="A560" t="s">
        <v>83</v>
      </c>
      <c r="B560" t="s">
        <v>61</v>
      </c>
      <c r="C560">
        <v>2</v>
      </c>
      <c r="D560">
        <v>12</v>
      </c>
      <c r="E560" t="s">
        <v>30</v>
      </c>
      <c r="G560" s="1">
        <v>45938</v>
      </c>
      <c r="I560" s="1">
        <v>45976</v>
      </c>
      <c r="J560">
        <f t="shared" si="79"/>
        <v>63.617251162500004</v>
      </c>
      <c r="K560">
        <v>5.31</v>
      </c>
      <c r="M560">
        <f t="shared" si="77"/>
        <v>0</v>
      </c>
      <c r="N560">
        <f t="shared" si="78"/>
        <v>-5.31</v>
      </c>
    </row>
    <row r="561" spans="1:14" x14ac:dyDescent="0.3">
      <c r="A561" t="s">
        <v>83</v>
      </c>
      <c r="B561" t="s">
        <v>61</v>
      </c>
      <c r="C561">
        <v>2</v>
      </c>
      <c r="D561">
        <v>12</v>
      </c>
      <c r="E561" t="s">
        <v>31</v>
      </c>
      <c r="G561" s="1">
        <v>45938</v>
      </c>
      <c r="I561" s="1">
        <v>45976</v>
      </c>
      <c r="J561">
        <f t="shared" si="79"/>
        <v>63.617251162500004</v>
      </c>
      <c r="K561">
        <v>5.31</v>
      </c>
      <c r="M561">
        <f t="shared" si="77"/>
        <v>0</v>
      </c>
      <c r="N561">
        <f t="shared" si="78"/>
        <v>-5.31</v>
      </c>
    </row>
    <row r="562" spans="1:14" x14ac:dyDescent="0.3">
      <c r="A562" t="s">
        <v>83</v>
      </c>
      <c r="B562" t="s">
        <v>61</v>
      </c>
      <c r="C562">
        <v>2</v>
      </c>
      <c r="D562">
        <v>24</v>
      </c>
      <c r="E562" t="s">
        <v>28</v>
      </c>
      <c r="G562" s="1">
        <v>45938</v>
      </c>
      <c r="I562" s="1">
        <v>45976</v>
      </c>
      <c r="J562">
        <f t="shared" si="79"/>
        <v>63.617251162500004</v>
      </c>
      <c r="K562">
        <v>5.31</v>
      </c>
      <c r="M562">
        <f t="shared" si="77"/>
        <v>0</v>
      </c>
      <c r="N562">
        <f t="shared" si="78"/>
        <v>-5.31</v>
      </c>
    </row>
    <row r="563" spans="1:14" x14ac:dyDescent="0.3">
      <c r="A563" t="s">
        <v>83</v>
      </c>
      <c r="B563" t="s">
        <v>61</v>
      </c>
      <c r="C563">
        <v>2</v>
      </c>
      <c r="D563">
        <v>24</v>
      </c>
      <c r="E563" t="s">
        <v>30</v>
      </c>
      <c r="G563" s="1">
        <v>45938</v>
      </c>
      <c r="I563" s="1">
        <v>45976</v>
      </c>
      <c r="J563">
        <f t="shared" si="79"/>
        <v>63.617251162500004</v>
      </c>
      <c r="K563">
        <v>5.31</v>
      </c>
      <c r="M563">
        <f t="shared" si="77"/>
        <v>0</v>
      </c>
      <c r="N563">
        <f t="shared" si="78"/>
        <v>-5.31</v>
      </c>
    </row>
    <row r="564" spans="1:14" x14ac:dyDescent="0.3">
      <c r="A564" t="s">
        <v>83</v>
      </c>
      <c r="B564" t="s">
        <v>61</v>
      </c>
      <c r="C564">
        <v>2</v>
      </c>
      <c r="D564">
        <v>24</v>
      </c>
      <c r="E564" t="s">
        <v>31</v>
      </c>
      <c r="G564" s="1">
        <v>45938</v>
      </c>
      <c r="I564" s="1">
        <v>45976</v>
      </c>
      <c r="J564">
        <f t="shared" si="79"/>
        <v>63.617251162500004</v>
      </c>
      <c r="K564">
        <v>5.31</v>
      </c>
      <c r="M564">
        <f t="shared" si="77"/>
        <v>0</v>
      </c>
      <c r="N564">
        <f t="shared" si="78"/>
        <v>-5.31</v>
      </c>
    </row>
    <row r="565" spans="1:14" x14ac:dyDescent="0.3">
      <c r="A565" t="s">
        <v>83</v>
      </c>
      <c r="B565" t="s">
        <v>61</v>
      </c>
      <c r="C565">
        <v>2</v>
      </c>
      <c r="D565">
        <v>48</v>
      </c>
      <c r="E565" t="s">
        <v>28</v>
      </c>
      <c r="G565" s="1">
        <v>45938</v>
      </c>
      <c r="I565" s="1">
        <v>45976</v>
      </c>
      <c r="J565">
        <f t="shared" si="79"/>
        <v>63.617251162500004</v>
      </c>
      <c r="K565">
        <v>5.31</v>
      </c>
      <c r="M565">
        <f t="shared" si="77"/>
        <v>0</v>
      </c>
      <c r="N565">
        <f t="shared" si="78"/>
        <v>-5.31</v>
      </c>
    </row>
    <row r="566" spans="1:14" x14ac:dyDescent="0.3">
      <c r="A566" t="s">
        <v>83</v>
      </c>
      <c r="B566" t="s">
        <v>61</v>
      </c>
      <c r="C566">
        <v>2</v>
      </c>
      <c r="D566">
        <v>48</v>
      </c>
      <c r="E566" t="s">
        <v>30</v>
      </c>
      <c r="G566" s="1">
        <v>45938</v>
      </c>
      <c r="I566" s="1">
        <v>45976</v>
      </c>
      <c r="J566">
        <f t="shared" si="79"/>
        <v>63.617251162500004</v>
      </c>
      <c r="K566">
        <v>5.31</v>
      </c>
      <c r="M566">
        <f t="shared" si="77"/>
        <v>0</v>
      </c>
      <c r="N566">
        <f t="shared" si="78"/>
        <v>-5.31</v>
      </c>
    </row>
    <row r="567" spans="1:14" x14ac:dyDescent="0.3">
      <c r="A567" t="s">
        <v>83</v>
      </c>
      <c r="B567" t="s">
        <v>61</v>
      </c>
      <c r="C567">
        <v>2</v>
      </c>
      <c r="D567">
        <v>48</v>
      </c>
      <c r="E567" t="s">
        <v>31</v>
      </c>
      <c r="G567" s="1">
        <v>45938</v>
      </c>
      <c r="I567" s="1">
        <v>45976</v>
      </c>
      <c r="J567">
        <f t="shared" si="79"/>
        <v>63.617251162500004</v>
      </c>
      <c r="K567">
        <v>5.31</v>
      </c>
      <c r="M567">
        <f t="shared" si="77"/>
        <v>0</v>
      </c>
      <c r="N567">
        <f t="shared" si="78"/>
        <v>-5.31</v>
      </c>
    </row>
    <row r="568" spans="1:14" x14ac:dyDescent="0.3">
      <c r="A568" t="s">
        <v>83</v>
      </c>
      <c r="B568" t="s">
        <v>61</v>
      </c>
      <c r="E568" t="s">
        <v>36</v>
      </c>
      <c r="G568" s="1" t="s">
        <v>56</v>
      </c>
      <c r="I568" s="1" t="s">
        <v>56</v>
      </c>
      <c r="J568">
        <f t="shared" si="79"/>
        <v>63.617251162500004</v>
      </c>
      <c r="K568">
        <v>5.31</v>
      </c>
      <c r="M568">
        <f t="shared" si="77"/>
        <v>0</v>
      </c>
      <c r="N568">
        <f t="shared" si="78"/>
        <v>-5.31</v>
      </c>
    </row>
    <row r="569" spans="1:14" x14ac:dyDescent="0.3">
      <c r="A569" t="s">
        <v>83</v>
      </c>
      <c r="B569" t="s">
        <v>61</v>
      </c>
      <c r="E569" t="s">
        <v>39</v>
      </c>
      <c r="G569" s="1" t="s">
        <v>56</v>
      </c>
      <c r="I569" s="1" t="s">
        <v>56</v>
      </c>
      <c r="J569">
        <f t="shared" si="79"/>
        <v>63.617251162500004</v>
      </c>
      <c r="K569">
        <v>5.31</v>
      </c>
      <c r="M569">
        <f t="shared" si="77"/>
        <v>0</v>
      </c>
      <c r="N569">
        <f t="shared" si="78"/>
        <v>-5.31</v>
      </c>
    </row>
    <row r="570" spans="1:14" x14ac:dyDescent="0.3">
      <c r="A570" t="s">
        <v>83</v>
      </c>
      <c r="B570" t="s">
        <v>61</v>
      </c>
      <c r="E570" t="s">
        <v>41</v>
      </c>
      <c r="G570" s="1" t="s">
        <v>56</v>
      </c>
      <c r="I570" s="1" t="s">
        <v>56</v>
      </c>
      <c r="J570">
        <f t="shared" si="79"/>
        <v>63.617251162500004</v>
      </c>
      <c r="K570">
        <v>5.31</v>
      </c>
      <c r="M570">
        <f t="shared" si="77"/>
        <v>0</v>
      </c>
      <c r="N570">
        <f t="shared" si="78"/>
        <v>-5.31</v>
      </c>
    </row>
    <row r="571" spans="1:14" x14ac:dyDescent="0.3">
      <c r="A571" t="s">
        <v>83</v>
      </c>
      <c r="B571" t="s">
        <v>61</v>
      </c>
      <c r="E571" t="s">
        <v>43</v>
      </c>
      <c r="G571" s="1" t="s">
        <v>56</v>
      </c>
      <c r="I571" s="1" t="s">
        <v>56</v>
      </c>
      <c r="J571">
        <f t="shared" si="79"/>
        <v>63.617251162500004</v>
      </c>
      <c r="K571">
        <v>5.31</v>
      </c>
      <c r="M571">
        <f t="shared" si="77"/>
        <v>0</v>
      </c>
      <c r="N571">
        <f t="shared" si="78"/>
        <v>-5.31</v>
      </c>
    </row>
    <row r="572" spans="1:14" x14ac:dyDescent="0.3">
      <c r="A572" t="s">
        <v>83</v>
      </c>
      <c r="B572" t="s">
        <v>51</v>
      </c>
      <c r="C572">
        <v>1</v>
      </c>
      <c r="D572">
        <v>0.5</v>
      </c>
      <c r="E572" t="s">
        <v>64</v>
      </c>
      <c r="G572" s="1">
        <v>45937</v>
      </c>
      <c r="I572" s="1">
        <v>45965</v>
      </c>
      <c r="J572">
        <f t="shared" si="79"/>
        <v>63.617251162500004</v>
      </c>
      <c r="K572">
        <v>5.31</v>
      </c>
      <c r="M572">
        <f t="shared" si="77"/>
        <v>0</v>
      </c>
      <c r="N572">
        <f t="shared" si="78"/>
        <v>-5.31</v>
      </c>
    </row>
    <row r="573" spans="1:14" x14ac:dyDescent="0.3">
      <c r="A573" t="s">
        <v>83</v>
      </c>
      <c r="B573" t="s">
        <v>51</v>
      </c>
      <c r="C573">
        <v>1</v>
      </c>
      <c r="D573">
        <v>0.5</v>
      </c>
      <c r="E573" t="s">
        <v>30</v>
      </c>
      <c r="G573" s="1">
        <v>45937</v>
      </c>
      <c r="I573" s="1">
        <v>45965</v>
      </c>
      <c r="J573">
        <f t="shared" si="79"/>
        <v>63.617251162500004</v>
      </c>
      <c r="K573">
        <v>5.31</v>
      </c>
      <c r="M573">
        <f t="shared" si="77"/>
        <v>0</v>
      </c>
      <c r="N573">
        <f t="shared" si="78"/>
        <v>-5.31</v>
      </c>
    </row>
    <row r="574" spans="1:14" x14ac:dyDescent="0.3">
      <c r="A574" t="s">
        <v>83</v>
      </c>
      <c r="B574" t="s">
        <v>51</v>
      </c>
      <c r="C574">
        <v>1</v>
      </c>
      <c r="D574">
        <v>0.5</v>
      </c>
      <c r="E574" t="s">
        <v>31</v>
      </c>
      <c r="G574" s="1">
        <v>45937</v>
      </c>
      <c r="I574" s="1">
        <v>45965</v>
      </c>
      <c r="J574">
        <f t="shared" si="79"/>
        <v>63.617251162500004</v>
      </c>
      <c r="K574">
        <v>5.31</v>
      </c>
      <c r="M574">
        <f t="shared" si="77"/>
        <v>0</v>
      </c>
      <c r="N574">
        <f t="shared" si="78"/>
        <v>-5.31</v>
      </c>
    </row>
    <row r="575" spans="1:14" x14ac:dyDescent="0.3">
      <c r="A575" t="s">
        <v>83</v>
      </c>
      <c r="B575" s="7" t="s">
        <v>51</v>
      </c>
      <c r="C575" s="7">
        <v>1</v>
      </c>
      <c r="D575" s="7">
        <v>2</v>
      </c>
      <c r="E575" s="7" t="s">
        <v>64</v>
      </c>
      <c r="G575" s="1">
        <v>45937</v>
      </c>
      <c r="I575" s="1">
        <v>45965</v>
      </c>
      <c r="J575">
        <f t="shared" si="79"/>
        <v>63.617251162500004</v>
      </c>
      <c r="K575">
        <v>5.31</v>
      </c>
      <c r="M575">
        <f t="shared" si="77"/>
        <v>0</v>
      </c>
      <c r="N575">
        <f t="shared" si="78"/>
        <v>-5.31</v>
      </c>
    </row>
    <row r="576" spans="1:14" x14ac:dyDescent="0.3">
      <c r="A576" t="s">
        <v>83</v>
      </c>
      <c r="B576" s="7" t="s">
        <v>51</v>
      </c>
      <c r="C576" s="7">
        <v>1</v>
      </c>
      <c r="D576" s="7">
        <v>2</v>
      </c>
      <c r="E576" s="7" t="s">
        <v>30</v>
      </c>
      <c r="G576" s="1">
        <v>45937</v>
      </c>
      <c r="I576" s="1">
        <v>45965</v>
      </c>
      <c r="J576">
        <f t="shared" si="79"/>
        <v>63.617251162500004</v>
      </c>
      <c r="K576">
        <v>5.31</v>
      </c>
      <c r="M576">
        <f t="shared" si="77"/>
        <v>0</v>
      </c>
      <c r="N576">
        <f t="shared" si="78"/>
        <v>-5.31</v>
      </c>
    </row>
    <row r="577" spans="1:14" x14ac:dyDescent="0.3">
      <c r="A577" t="s">
        <v>83</v>
      </c>
      <c r="B577" s="7" t="s">
        <v>51</v>
      </c>
      <c r="C577" s="7">
        <v>1</v>
      </c>
      <c r="D577" s="7">
        <v>2</v>
      </c>
      <c r="E577" s="7" t="s">
        <v>31</v>
      </c>
      <c r="G577" s="1">
        <v>45937</v>
      </c>
      <c r="I577" s="1">
        <v>45965</v>
      </c>
      <c r="J577">
        <f t="shared" si="79"/>
        <v>63.617251162500004</v>
      </c>
      <c r="K577">
        <v>5.31</v>
      </c>
      <c r="M577">
        <f t="shared" si="77"/>
        <v>0</v>
      </c>
      <c r="N577">
        <f t="shared" si="78"/>
        <v>-5.31</v>
      </c>
    </row>
    <row r="578" spans="1:14" x14ac:dyDescent="0.3">
      <c r="A578" t="s">
        <v>83</v>
      </c>
      <c r="B578" s="7" t="s">
        <v>51</v>
      </c>
      <c r="C578" s="7">
        <v>1</v>
      </c>
      <c r="D578" s="7">
        <v>6</v>
      </c>
      <c r="E578" s="7" t="s">
        <v>64</v>
      </c>
      <c r="G578" s="1">
        <v>45937</v>
      </c>
      <c r="I578" s="1">
        <v>45965</v>
      </c>
      <c r="J578">
        <f t="shared" si="79"/>
        <v>63.617251162500004</v>
      </c>
      <c r="K578">
        <v>5.31</v>
      </c>
      <c r="M578">
        <f t="shared" si="77"/>
        <v>0</v>
      </c>
      <c r="N578">
        <f t="shared" si="78"/>
        <v>-5.31</v>
      </c>
    </row>
    <row r="579" spans="1:14" x14ac:dyDescent="0.3">
      <c r="A579" t="s">
        <v>83</v>
      </c>
      <c r="B579" s="7" t="s">
        <v>51</v>
      </c>
      <c r="C579" s="7">
        <v>1</v>
      </c>
      <c r="D579" s="7">
        <v>6</v>
      </c>
      <c r="E579" s="7" t="s">
        <v>30</v>
      </c>
      <c r="G579" s="1">
        <v>45937</v>
      </c>
      <c r="I579" s="1">
        <v>45965</v>
      </c>
      <c r="J579">
        <f t="shared" si="79"/>
        <v>63.617251162500004</v>
      </c>
      <c r="K579">
        <v>5.31</v>
      </c>
      <c r="M579">
        <f t="shared" si="77"/>
        <v>0</v>
      </c>
      <c r="N579">
        <f t="shared" si="78"/>
        <v>-5.31</v>
      </c>
    </row>
    <row r="580" spans="1:14" x14ac:dyDescent="0.3">
      <c r="A580" t="s">
        <v>83</v>
      </c>
      <c r="B580" s="7" t="s">
        <v>51</v>
      </c>
      <c r="C580" s="7">
        <v>1</v>
      </c>
      <c r="D580" s="7">
        <v>6</v>
      </c>
      <c r="E580" s="7" t="s">
        <v>31</v>
      </c>
      <c r="G580" s="1">
        <v>45937</v>
      </c>
      <c r="I580" s="1">
        <v>45965</v>
      </c>
      <c r="J580">
        <f t="shared" si="79"/>
        <v>63.617251162500004</v>
      </c>
      <c r="K580">
        <v>5.31</v>
      </c>
      <c r="M580">
        <f t="shared" ref="M580:M643" si="80">L580*F580</f>
        <v>0</v>
      </c>
      <c r="N580">
        <f t="shared" si="78"/>
        <v>-5.31</v>
      </c>
    </row>
    <row r="581" spans="1:14" x14ac:dyDescent="0.3">
      <c r="A581" t="s">
        <v>83</v>
      </c>
      <c r="B581" t="s">
        <v>51</v>
      </c>
      <c r="C581">
        <v>1</v>
      </c>
      <c r="D581">
        <v>12</v>
      </c>
      <c r="E581" t="s">
        <v>64</v>
      </c>
      <c r="G581" s="1">
        <v>45937</v>
      </c>
      <c r="I581" s="1">
        <v>45965</v>
      </c>
      <c r="J581">
        <f t="shared" si="79"/>
        <v>63.617251162500004</v>
      </c>
      <c r="K581">
        <v>5.31</v>
      </c>
      <c r="M581">
        <f t="shared" si="80"/>
        <v>0</v>
      </c>
      <c r="N581">
        <f t="shared" si="78"/>
        <v>-5.31</v>
      </c>
    </row>
    <row r="582" spans="1:14" x14ac:dyDescent="0.3">
      <c r="A582" t="s">
        <v>83</v>
      </c>
      <c r="B582" t="s">
        <v>51</v>
      </c>
      <c r="C582">
        <v>1</v>
      </c>
      <c r="D582">
        <v>12</v>
      </c>
      <c r="E582" t="s">
        <v>30</v>
      </c>
      <c r="G582" s="1">
        <v>45937</v>
      </c>
      <c r="I582" s="1">
        <v>45965</v>
      </c>
      <c r="J582">
        <f t="shared" si="79"/>
        <v>63.617251162500004</v>
      </c>
      <c r="K582">
        <v>5.31</v>
      </c>
      <c r="M582">
        <f t="shared" si="80"/>
        <v>0</v>
      </c>
      <c r="N582">
        <f t="shared" si="78"/>
        <v>-5.31</v>
      </c>
    </row>
    <row r="583" spans="1:14" x14ac:dyDescent="0.3">
      <c r="A583" t="s">
        <v>83</v>
      </c>
      <c r="B583" t="s">
        <v>51</v>
      </c>
      <c r="C583">
        <v>1</v>
      </c>
      <c r="D583">
        <v>12</v>
      </c>
      <c r="E583" t="s">
        <v>31</v>
      </c>
      <c r="G583" s="1">
        <v>45937</v>
      </c>
      <c r="I583" s="1">
        <v>45965</v>
      </c>
      <c r="J583">
        <f t="shared" si="79"/>
        <v>63.617251162500004</v>
      </c>
      <c r="K583">
        <v>5.31</v>
      </c>
      <c r="M583">
        <f t="shared" si="80"/>
        <v>0</v>
      </c>
      <c r="N583">
        <f t="shared" si="78"/>
        <v>-5.31</v>
      </c>
    </row>
    <row r="584" spans="1:14" x14ac:dyDescent="0.3">
      <c r="A584" t="s">
        <v>83</v>
      </c>
      <c r="B584" t="s">
        <v>51</v>
      </c>
      <c r="C584">
        <v>1</v>
      </c>
      <c r="D584">
        <v>24</v>
      </c>
      <c r="E584" t="s">
        <v>28</v>
      </c>
      <c r="G584" s="1">
        <v>45937</v>
      </c>
      <c r="I584" s="1">
        <v>45965</v>
      </c>
      <c r="J584">
        <f t="shared" si="79"/>
        <v>63.617251162500004</v>
      </c>
      <c r="K584">
        <v>5.31</v>
      </c>
      <c r="M584">
        <f t="shared" si="80"/>
        <v>0</v>
      </c>
      <c r="N584">
        <f t="shared" si="78"/>
        <v>-5.31</v>
      </c>
    </row>
    <row r="585" spans="1:14" x14ac:dyDescent="0.3">
      <c r="A585" t="s">
        <v>83</v>
      </c>
      <c r="B585" t="s">
        <v>51</v>
      </c>
      <c r="C585">
        <v>1</v>
      </c>
      <c r="D585">
        <v>24</v>
      </c>
      <c r="E585" t="s">
        <v>30</v>
      </c>
      <c r="G585" s="1">
        <v>45937</v>
      </c>
      <c r="I585" s="1">
        <v>45965</v>
      </c>
      <c r="J585">
        <f t="shared" si="79"/>
        <v>63.617251162500004</v>
      </c>
      <c r="K585">
        <v>5.31</v>
      </c>
      <c r="M585">
        <f t="shared" si="80"/>
        <v>0</v>
      </c>
      <c r="N585">
        <f t="shared" si="78"/>
        <v>-5.31</v>
      </c>
    </row>
    <row r="586" spans="1:14" x14ac:dyDescent="0.3">
      <c r="A586" t="s">
        <v>83</v>
      </c>
      <c r="B586" s="7" t="s">
        <v>51</v>
      </c>
      <c r="C586" s="7">
        <v>1</v>
      </c>
      <c r="D586" s="7">
        <v>24</v>
      </c>
      <c r="E586" s="7" t="s">
        <v>31</v>
      </c>
      <c r="G586" s="1">
        <v>45937</v>
      </c>
      <c r="I586" s="1">
        <v>45965</v>
      </c>
      <c r="J586">
        <f t="shared" si="79"/>
        <v>63.617251162500004</v>
      </c>
      <c r="K586">
        <v>5.31</v>
      </c>
      <c r="M586">
        <f t="shared" si="80"/>
        <v>0</v>
      </c>
      <c r="N586">
        <f t="shared" si="78"/>
        <v>-5.31</v>
      </c>
    </row>
    <row r="587" spans="1:14" x14ac:dyDescent="0.3">
      <c r="A587" t="s">
        <v>83</v>
      </c>
      <c r="B587" t="s">
        <v>51</v>
      </c>
      <c r="C587">
        <v>1</v>
      </c>
      <c r="D587">
        <v>48</v>
      </c>
      <c r="E587" t="s">
        <v>64</v>
      </c>
      <c r="G587" s="1">
        <v>45937</v>
      </c>
      <c r="I587" s="1">
        <v>45965</v>
      </c>
      <c r="J587">
        <f t="shared" si="79"/>
        <v>63.617251162500004</v>
      </c>
      <c r="K587">
        <v>5.31</v>
      </c>
      <c r="M587">
        <f t="shared" si="80"/>
        <v>0</v>
      </c>
      <c r="N587">
        <f t="shared" si="78"/>
        <v>-5.31</v>
      </c>
    </row>
    <row r="588" spans="1:14" x14ac:dyDescent="0.3">
      <c r="A588" t="s">
        <v>83</v>
      </c>
      <c r="B588" t="s">
        <v>51</v>
      </c>
      <c r="C588">
        <v>1</v>
      </c>
      <c r="D588">
        <v>48</v>
      </c>
      <c r="E588" t="s">
        <v>30</v>
      </c>
      <c r="G588" s="1">
        <v>45937</v>
      </c>
      <c r="I588" s="1">
        <v>45965</v>
      </c>
      <c r="J588">
        <f t="shared" si="79"/>
        <v>63.617251162500004</v>
      </c>
      <c r="K588">
        <v>5.31</v>
      </c>
      <c r="M588">
        <f t="shared" si="80"/>
        <v>0</v>
      </c>
      <c r="N588">
        <f t="shared" si="78"/>
        <v>-5.31</v>
      </c>
    </row>
    <row r="589" spans="1:14" x14ac:dyDescent="0.3">
      <c r="A589" t="s">
        <v>83</v>
      </c>
      <c r="B589" t="s">
        <v>51</v>
      </c>
      <c r="C589">
        <v>1</v>
      </c>
      <c r="D589">
        <v>48</v>
      </c>
      <c r="E589" t="s">
        <v>31</v>
      </c>
      <c r="G589" s="1">
        <v>45937</v>
      </c>
      <c r="I589" s="1">
        <v>45965</v>
      </c>
      <c r="J589">
        <f t="shared" si="79"/>
        <v>63.617251162500004</v>
      </c>
      <c r="K589">
        <v>5.31</v>
      </c>
      <c r="M589">
        <f t="shared" si="80"/>
        <v>0</v>
      </c>
      <c r="N589">
        <f t="shared" si="78"/>
        <v>-5.31</v>
      </c>
    </row>
    <row r="590" spans="1:14" x14ac:dyDescent="0.3">
      <c r="A590" t="s">
        <v>83</v>
      </c>
      <c r="B590" t="s">
        <v>51</v>
      </c>
      <c r="C590">
        <v>2</v>
      </c>
      <c r="D590">
        <v>0.5</v>
      </c>
      <c r="E590" t="s">
        <v>64</v>
      </c>
      <c r="G590" s="1">
        <v>45937</v>
      </c>
      <c r="I590" s="1">
        <v>45965</v>
      </c>
      <c r="J590">
        <f t="shared" si="79"/>
        <v>63.617251162500004</v>
      </c>
      <c r="K590">
        <v>5.31</v>
      </c>
      <c r="M590">
        <f t="shared" si="80"/>
        <v>0</v>
      </c>
      <c r="N590">
        <f t="shared" si="78"/>
        <v>-5.31</v>
      </c>
    </row>
    <row r="591" spans="1:14" x14ac:dyDescent="0.3">
      <c r="A591" t="s">
        <v>83</v>
      </c>
      <c r="B591" t="s">
        <v>51</v>
      </c>
      <c r="C591">
        <v>2</v>
      </c>
      <c r="D591">
        <v>0.5</v>
      </c>
      <c r="E591" t="s">
        <v>30</v>
      </c>
      <c r="G591" s="1">
        <v>45937</v>
      </c>
      <c r="I591" s="1">
        <v>45965</v>
      </c>
      <c r="J591">
        <f t="shared" si="79"/>
        <v>63.617251162500004</v>
      </c>
      <c r="K591">
        <v>5.31</v>
      </c>
      <c r="M591">
        <f t="shared" si="80"/>
        <v>0</v>
      </c>
      <c r="N591">
        <f t="shared" si="78"/>
        <v>-5.31</v>
      </c>
    </row>
    <row r="592" spans="1:14" x14ac:dyDescent="0.3">
      <c r="A592" t="s">
        <v>83</v>
      </c>
      <c r="B592" t="s">
        <v>51</v>
      </c>
      <c r="C592">
        <v>2</v>
      </c>
      <c r="D592">
        <v>0.5</v>
      </c>
      <c r="E592" t="s">
        <v>31</v>
      </c>
      <c r="G592" s="1">
        <v>45937</v>
      </c>
      <c r="I592" s="1">
        <v>45965</v>
      </c>
      <c r="J592">
        <f t="shared" si="79"/>
        <v>63.617251162500004</v>
      </c>
      <c r="K592">
        <v>5.31</v>
      </c>
      <c r="M592">
        <f t="shared" si="80"/>
        <v>0</v>
      </c>
      <c r="N592">
        <f t="shared" si="78"/>
        <v>-5.31</v>
      </c>
    </row>
    <row r="593" spans="1:14" x14ac:dyDescent="0.3">
      <c r="A593" t="s">
        <v>83</v>
      </c>
      <c r="B593" s="7" t="s">
        <v>51</v>
      </c>
      <c r="C593" s="7">
        <v>2</v>
      </c>
      <c r="D593" s="7">
        <v>2</v>
      </c>
      <c r="E593" s="7" t="s">
        <v>64</v>
      </c>
      <c r="G593" s="1">
        <v>45937</v>
      </c>
      <c r="I593" s="1">
        <v>45965</v>
      </c>
      <c r="J593">
        <f t="shared" si="79"/>
        <v>63.617251162500004</v>
      </c>
      <c r="K593">
        <v>5.31</v>
      </c>
      <c r="M593">
        <f t="shared" si="80"/>
        <v>0</v>
      </c>
      <c r="N593">
        <f t="shared" si="78"/>
        <v>-5.31</v>
      </c>
    </row>
    <row r="594" spans="1:14" x14ac:dyDescent="0.3">
      <c r="A594" t="s">
        <v>83</v>
      </c>
      <c r="B594" s="7" t="s">
        <v>51</v>
      </c>
      <c r="C594" s="7">
        <v>2</v>
      </c>
      <c r="D594" s="7">
        <v>2</v>
      </c>
      <c r="E594" s="7" t="s">
        <v>30</v>
      </c>
      <c r="G594" s="1">
        <v>45937</v>
      </c>
      <c r="I594" s="1">
        <v>45965</v>
      </c>
      <c r="J594">
        <f t="shared" si="79"/>
        <v>63.617251162500004</v>
      </c>
      <c r="K594">
        <v>5.31</v>
      </c>
      <c r="M594">
        <f t="shared" si="80"/>
        <v>0</v>
      </c>
      <c r="N594">
        <f t="shared" si="78"/>
        <v>-5.31</v>
      </c>
    </row>
    <row r="595" spans="1:14" x14ac:dyDescent="0.3">
      <c r="A595" t="s">
        <v>83</v>
      </c>
      <c r="B595" s="7" t="s">
        <v>51</v>
      </c>
      <c r="C595" s="7">
        <v>2</v>
      </c>
      <c r="D595" s="7">
        <v>2</v>
      </c>
      <c r="E595" s="7" t="s">
        <v>31</v>
      </c>
      <c r="G595" s="1">
        <v>45937</v>
      </c>
      <c r="I595" s="1">
        <v>45965</v>
      </c>
      <c r="J595">
        <f t="shared" si="79"/>
        <v>63.617251162500004</v>
      </c>
      <c r="K595">
        <v>5.31</v>
      </c>
      <c r="M595">
        <f t="shared" si="80"/>
        <v>0</v>
      </c>
      <c r="N595">
        <f t="shared" si="78"/>
        <v>-5.31</v>
      </c>
    </row>
    <row r="596" spans="1:14" x14ac:dyDescent="0.3">
      <c r="A596" t="s">
        <v>83</v>
      </c>
      <c r="B596" s="7" t="s">
        <v>51</v>
      </c>
      <c r="C596" s="7">
        <v>2</v>
      </c>
      <c r="D596" s="7">
        <v>6</v>
      </c>
      <c r="E596" s="7" t="s">
        <v>64</v>
      </c>
      <c r="G596" s="1">
        <v>45937</v>
      </c>
      <c r="I596" s="1">
        <v>45965</v>
      </c>
      <c r="J596">
        <f t="shared" si="79"/>
        <v>63.617251162500004</v>
      </c>
      <c r="K596">
        <v>5.31</v>
      </c>
      <c r="M596">
        <f t="shared" si="80"/>
        <v>0</v>
      </c>
      <c r="N596">
        <f t="shared" si="78"/>
        <v>-5.31</v>
      </c>
    </row>
    <row r="597" spans="1:14" x14ac:dyDescent="0.3">
      <c r="A597" t="s">
        <v>83</v>
      </c>
      <c r="B597" s="7" t="s">
        <v>51</v>
      </c>
      <c r="C597" s="7">
        <v>2</v>
      </c>
      <c r="D597" s="7">
        <v>6</v>
      </c>
      <c r="E597" s="7" t="s">
        <v>30</v>
      </c>
      <c r="G597" s="1">
        <v>45937</v>
      </c>
      <c r="I597" s="1">
        <v>45965</v>
      </c>
      <c r="J597">
        <f t="shared" si="79"/>
        <v>63.617251162500004</v>
      </c>
      <c r="K597">
        <v>5.31</v>
      </c>
      <c r="M597">
        <f t="shared" si="80"/>
        <v>0</v>
      </c>
      <c r="N597">
        <f t="shared" si="78"/>
        <v>-5.31</v>
      </c>
    </row>
    <row r="598" spans="1:14" x14ac:dyDescent="0.3">
      <c r="A598" t="s">
        <v>83</v>
      </c>
      <c r="B598" s="7" t="s">
        <v>51</v>
      </c>
      <c r="C598" s="7">
        <v>2</v>
      </c>
      <c r="D598" s="7">
        <v>6</v>
      </c>
      <c r="E598" s="7" t="s">
        <v>31</v>
      </c>
      <c r="G598" s="1">
        <v>45937</v>
      </c>
      <c r="I598" s="1">
        <v>45965</v>
      </c>
      <c r="J598">
        <f t="shared" si="79"/>
        <v>63.617251162500004</v>
      </c>
      <c r="K598">
        <v>5.31</v>
      </c>
      <c r="M598">
        <f t="shared" si="80"/>
        <v>0</v>
      </c>
      <c r="N598">
        <f t="shared" si="78"/>
        <v>-5.31</v>
      </c>
    </row>
    <row r="599" spans="1:14" x14ac:dyDescent="0.3">
      <c r="A599" t="s">
        <v>83</v>
      </c>
      <c r="B599" t="s">
        <v>51</v>
      </c>
      <c r="C599">
        <v>2</v>
      </c>
      <c r="D599">
        <v>12</v>
      </c>
      <c r="E599" t="s">
        <v>64</v>
      </c>
      <c r="G599" s="1">
        <v>45937</v>
      </c>
      <c r="I599" s="1">
        <v>45965</v>
      </c>
      <c r="J599">
        <f t="shared" si="79"/>
        <v>63.617251162500004</v>
      </c>
      <c r="K599">
        <v>5.31</v>
      </c>
      <c r="M599">
        <f t="shared" si="80"/>
        <v>0</v>
      </c>
      <c r="N599">
        <f t="shared" ref="N599:N662" si="81">L599*J599-K599</f>
        <v>-5.31</v>
      </c>
    </row>
    <row r="600" spans="1:14" x14ac:dyDescent="0.3">
      <c r="A600" t="s">
        <v>83</v>
      </c>
      <c r="B600" t="s">
        <v>51</v>
      </c>
      <c r="C600">
        <v>2</v>
      </c>
      <c r="D600">
        <v>12</v>
      </c>
      <c r="E600" t="s">
        <v>30</v>
      </c>
      <c r="G600" s="1">
        <v>45937</v>
      </c>
      <c r="I600" s="1">
        <v>45965</v>
      </c>
      <c r="J600">
        <f t="shared" si="79"/>
        <v>63.617251162500004</v>
      </c>
      <c r="K600">
        <v>5.31</v>
      </c>
      <c r="M600">
        <f t="shared" si="80"/>
        <v>0</v>
      </c>
      <c r="N600">
        <f t="shared" si="81"/>
        <v>-5.31</v>
      </c>
    </row>
    <row r="601" spans="1:14" x14ac:dyDescent="0.3">
      <c r="A601" t="s">
        <v>83</v>
      </c>
      <c r="B601" t="s">
        <v>51</v>
      </c>
      <c r="C601">
        <v>2</v>
      </c>
      <c r="D601">
        <v>12</v>
      </c>
      <c r="E601" t="s">
        <v>31</v>
      </c>
      <c r="G601" s="1">
        <v>45937</v>
      </c>
      <c r="I601" s="1">
        <v>45965</v>
      </c>
      <c r="J601">
        <f t="shared" si="79"/>
        <v>63.617251162500004</v>
      </c>
      <c r="K601">
        <v>5.31</v>
      </c>
      <c r="M601">
        <f t="shared" si="80"/>
        <v>0</v>
      </c>
      <c r="N601">
        <f t="shared" si="81"/>
        <v>-5.31</v>
      </c>
    </row>
    <row r="602" spans="1:14" x14ac:dyDescent="0.3">
      <c r="A602" t="s">
        <v>83</v>
      </c>
      <c r="B602" t="s">
        <v>51</v>
      </c>
      <c r="C602">
        <v>2</v>
      </c>
      <c r="D602">
        <v>24</v>
      </c>
      <c r="E602" t="s">
        <v>28</v>
      </c>
      <c r="G602" s="1">
        <v>45937</v>
      </c>
      <c r="I602" s="1">
        <v>45965</v>
      </c>
      <c r="J602">
        <f t="shared" si="79"/>
        <v>63.617251162500004</v>
      </c>
      <c r="K602">
        <v>5.31</v>
      </c>
      <c r="M602">
        <f t="shared" si="80"/>
        <v>0</v>
      </c>
      <c r="N602">
        <f t="shared" si="81"/>
        <v>-5.31</v>
      </c>
    </row>
    <row r="603" spans="1:14" x14ac:dyDescent="0.3">
      <c r="A603" t="s">
        <v>83</v>
      </c>
      <c r="B603" t="s">
        <v>51</v>
      </c>
      <c r="C603">
        <v>2</v>
      </c>
      <c r="D603">
        <v>24</v>
      </c>
      <c r="E603" t="s">
        <v>30</v>
      </c>
      <c r="G603" s="1">
        <v>45937</v>
      </c>
      <c r="I603" s="1">
        <v>45965</v>
      </c>
      <c r="J603">
        <f t="shared" si="79"/>
        <v>63.617251162500004</v>
      </c>
      <c r="K603">
        <v>5.31</v>
      </c>
      <c r="M603">
        <f t="shared" si="80"/>
        <v>0</v>
      </c>
      <c r="N603">
        <f t="shared" si="81"/>
        <v>-5.31</v>
      </c>
    </row>
    <row r="604" spans="1:14" x14ac:dyDescent="0.3">
      <c r="A604" t="s">
        <v>83</v>
      </c>
      <c r="B604" t="s">
        <v>51</v>
      </c>
      <c r="C604">
        <v>2</v>
      </c>
      <c r="D604">
        <v>24</v>
      </c>
      <c r="E604" t="s">
        <v>31</v>
      </c>
      <c r="G604" s="1">
        <v>45937</v>
      </c>
      <c r="I604" s="1">
        <v>45965</v>
      </c>
      <c r="J604">
        <f t="shared" si="79"/>
        <v>63.617251162500004</v>
      </c>
      <c r="K604">
        <v>5.31</v>
      </c>
      <c r="M604">
        <f t="shared" si="80"/>
        <v>0</v>
      </c>
      <c r="N604">
        <f t="shared" si="81"/>
        <v>-5.31</v>
      </c>
    </row>
    <row r="605" spans="1:14" x14ac:dyDescent="0.3">
      <c r="A605" t="s">
        <v>83</v>
      </c>
      <c r="B605" t="s">
        <v>51</v>
      </c>
      <c r="C605">
        <v>2</v>
      </c>
      <c r="D605">
        <v>48</v>
      </c>
      <c r="E605" t="s">
        <v>64</v>
      </c>
      <c r="G605" s="1">
        <v>45937</v>
      </c>
      <c r="I605" s="1">
        <v>45965</v>
      </c>
      <c r="J605">
        <f t="shared" si="79"/>
        <v>63.617251162500004</v>
      </c>
      <c r="K605">
        <v>5.31</v>
      </c>
      <c r="M605">
        <f t="shared" si="80"/>
        <v>0</v>
      </c>
      <c r="N605">
        <f t="shared" si="81"/>
        <v>-5.31</v>
      </c>
    </row>
    <row r="606" spans="1:14" x14ac:dyDescent="0.3">
      <c r="A606" t="s">
        <v>83</v>
      </c>
      <c r="B606" t="s">
        <v>51</v>
      </c>
      <c r="C606">
        <v>2</v>
      </c>
      <c r="D606">
        <v>48</v>
      </c>
      <c r="E606" t="s">
        <v>30</v>
      </c>
      <c r="G606" s="1">
        <v>45937</v>
      </c>
      <c r="I606" s="1">
        <v>45965</v>
      </c>
      <c r="J606">
        <f t="shared" si="79"/>
        <v>63.617251162500004</v>
      </c>
      <c r="K606">
        <v>5.31</v>
      </c>
      <c r="M606">
        <f t="shared" si="80"/>
        <v>0</v>
      </c>
      <c r="N606">
        <f t="shared" si="81"/>
        <v>-5.31</v>
      </c>
    </row>
    <row r="607" spans="1:14" x14ac:dyDescent="0.3">
      <c r="A607" t="s">
        <v>83</v>
      </c>
      <c r="B607" t="s">
        <v>51</v>
      </c>
      <c r="C607">
        <v>2</v>
      </c>
      <c r="D607">
        <v>48</v>
      </c>
      <c r="E607" t="s">
        <v>31</v>
      </c>
      <c r="G607" s="1">
        <v>45937</v>
      </c>
      <c r="I607" s="1">
        <v>45965</v>
      </c>
      <c r="J607">
        <f t="shared" si="79"/>
        <v>63.617251162500004</v>
      </c>
      <c r="K607">
        <v>5.31</v>
      </c>
      <c r="M607">
        <f t="shared" si="80"/>
        <v>0</v>
      </c>
      <c r="N607">
        <f t="shared" si="81"/>
        <v>-5.31</v>
      </c>
    </row>
    <row r="608" spans="1:14" x14ac:dyDescent="0.3">
      <c r="A608" t="s">
        <v>83</v>
      </c>
      <c r="B608" s="7" t="s">
        <v>51</v>
      </c>
      <c r="C608" s="7"/>
      <c r="D608" s="7"/>
      <c r="E608" s="7" t="s">
        <v>67</v>
      </c>
      <c r="G608" t="s">
        <v>56</v>
      </c>
      <c r="I608" t="s">
        <v>56</v>
      </c>
      <c r="J608">
        <f t="shared" si="79"/>
        <v>63.617251162500004</v>
      </c>
      <c r="K608">
        <v>5.31</v>
      </c>
      <c r="M608">
        <f t="shared" si="80"/>
        <v>0</v>
      </c>
      <c r="N608">
        <f t="shared" si="81"/>
        <v>-5.31</v>
      </c>
    </row>
    <row r="609" spans="1:29" x14ac:dyDescent="0.3">
      <c r="A609" t="s">
        <v>83</v>
      </c>
      <c r="B609" s="7" t="s">
        <v>51</v>
      </c>
      <c r="C609" s="7"/>
      <c r="D609" s="7"/>
      <c r="E609" s="7" t="s">
        <v>68</v>
      </c>
      <c r="G609" t="s">
        <v>56</v>
      </c>
      <c r="I609" t="s">
        <v>56</v>
      </c>
      <c r="J609">
        <f t="shared" si="79"/>
        <v>63.617251162500004</v>
      </c>
      <c r="K609">
        <v>5.31</v>
      </c>
      <c r="M609">
        <f t="shared" si="80"/>
        <v>0</v>
      </c>
      <c r="N609">
        <f t="shared" si="81"/>
        <v>-5.31</v>
      </c>
    </row>
    <row r="610" spans="1:29" x14ac:dyDescent="0.3">
      <c r="A610" t="s">
        <v>83</v>
      </c>
      <c r="B610" s="7" t="s">
        <v>51</v>
      </c>
      <c r="C610" s="7"/>
      <c r="D610" s="7"/>
      <c r="E610" s="7" t="s">
        <v>69</v>
      </c>
      <c r="G610" t="s">
        <v>56</v>
      </c>
      <c r="I610" t="s">
        <v>56</v>
      </c>
      <c r="J610">
        <f t="shared" si="79"/>
        <v>63.617251162500004</v>
      </c>
      <c r="K610">
        <v>5.31</v>
      </c>
      <c r="M610">
        <f t="shared" si="80"/>
        <v>0</v>
      </c>
      <c r="N610">
        <f t="shared" si="81"/>
        <v>-5.31</v>
      </c>
    </row>
    <row r="611" spans="1:29" x14ac:dyDescent="0.3">
      <c r="A611" t="s">
        <v>83</v>
      </c>
      <c r="B611" s="7" t="s">
        <v>51</v>
      </c>
      <c r="C611" s="7"/>
      <c r="D611" s="7"/>
      <c r="E611" s="7" t="s">
        <v>70</v>
      </c>
      <c r="G611" t="s">
        <v>56</v>
      </c>
      <c r="I611" t="s">
        <v>56</v>
      </c>
      <c r="J611">
        <f t="shared" si="79"/>
        <v>63.617251162500004</v>
      </c>
      <c r="K611">
        <v>5.31</v>
      </c>
      <c r="M611">
        <f t="shared" si="80"/>
        <v>0</v>
      </c>
      <c r="N611">
        <f t="shared" si="81"/>
        <v>-5.31</v>
      </c>
    </row>
    <row r="612" spans="1:29" x14ac:dyDescent="0.3">
      <c r="A612" t="s">
        <v>83</v>
      </c>
      <c r="B612" s="7" t="s">
        <v>54</v>
      </c>
      <c r="C612" s="7">
        <v>1</v>
      </c>
      <c r="D612" s="7">
        <v>0.5</v>
      </c>
      <c r="E612" s="7" t="s">
        <v>64</v>
      </c>
      <c r="G612" s="1">
        <v>45933</v>
      </c>
      <c r="I612" s="1">
        <v>45967</v>
      </c>
      <c r="J612">
        <f t="shared" si="79"/>
        <v>63.617251162500004</v>
      </c>
      <c r="K612">
        <v>5.31</v>
      </c>
      <c r="M612">
        <f t="shared" si="80"/>
        <v>0</v>
      </c>
      <c r="N612">
        <f t="shared" si="81"/>
        <v>-5.31</v>
      </c>
      <c r="AC612" t="s">
        <v>245</v>
      </c>
    </row>
    <row r="613" spans="1:29" x14ac:dyDescent="0.3">
      <c r="A613" t="s">
        <v>83</v>
      </c>
      <c r="B613" s="7" t="s">
        <v>54</v>
      </c>
      <c r="C613" s="7">
        <v>1</v>
      </c>
      <c r="D613" s="7">
        <v>0.5</v>
      </c>
      <c r="E613" s="7" t="s">
        <v>30</v>
      </c>
      <c r="G613" s="1">
        <v>45933</v>
      </c>
      <c r="I613" s="1">
        <v>45967</v>
      </c>
      <c r="J613">
        <f t="shared" si="79"/>
        <v>63.617251162500004</v>
      </c>
      <c r="K613">
        <v>5.31</v>
      </c>
      <c r="M613">
        <f t="shared" si="80"/>
        <v>0</v>
      </c>
      <c r="N613">
        <f t="shared" si="81"/>
        <v>-5.31</v>
      </c>
    </row>
    <row r="614" spans="1:29" x14ac:dyDescent="0.3">
      <c r="A614" t="s">
        <v>83</v>
      </c>
      <c r="B614" s="7" t="s">
        <v>54</v>
      </c>
      <c r="C614" s="7">
        <v>1</v>
      </c>
      <c r="D614" s="7">
        <v>0.5</v>
      </c>
      <c r="E614" s="7" t="s">
        <v>31</v>
      </c>
      <c r="G614" s="1">
        <v>45933</v>
      </c>
      <c r="I614" s="1">
        <v>45967</v>
      </c>
      <c r="J614">
        <f t="shared" si="79"/>
        <v>63.617251162500004</v>
      </c>
      <c r="K614">
        <v>5.31</v>
      </c>
      <c r="M614">
        <f t="shared" si="80"/>
        <v>0</v>
      </c>
      <c r="N614">
        <f t="shared" si="81"/>
        <v>-5.31</v>
      </c>
    </row>
    <row r="615" spans="1:29" x14ac:dyDescent="0.3">
      <c r="A615" t="s">
        <v>83</v>
      </c>
      <c r="B615" s="7" t="s">
        <v>54</v>
      </c>
      <c r="C615" s="7">
        <v>1</v>
      </c>
      <c r="D615" s="7">
        <v>2</v>
      </c>
      <c r="E615" s="7" t="s">
        <v>64</v>
      </c>
      <c r="G615" s="1">
        <v>45933</v>
      </c>
      <c r="I615" s="1">
        <v>45967</v>
      </c>
      <c r="J615">
        <f t="shared" si="79"/>
        <v>63.617251162500004</v>
      </c>
      <c r="K615">
        <v>5.31</v>
      </c>
      <c r="M615">
        <f t="shared" si="80"/>
        <v>0</v>
      </c>
      <c r="N615">
        <f t="shared" si="81"/>
        <v>-5.31</v>
      </c>
    </row>
    <row r="616" spans="1:29" x14ac:dyDescent="0.3">
      <c r="A616" t="s">
        <v>83</v>
      </c>
      <c r="B616" s="7" t="s">
        <v>54</v>
      </c>
      <c r="C616" s="7">
        <v>1</v>
      </c>
      <c r="D616" s="7">
        <v>2</v>
      </c>
      <c r="E616" s="7" t="s">
        <v>30</v>
      </c>
      <c r="G616" s="1">
        <v>45933</v>
      </c>
      <c r="I616" s="1">
        <v>45967</v>
      </c>
      <c r="J616">
        <f t="shared" si="79"/>
        <v>63.617251162500004</v>
      </c>
      <c r="K616">
        <v>5.31</v>
      </c>
      <c r="M616">
        <f t="shared" si="80"/>
        <v>0</v>
      </c>
      <c r="N616">
        <f t="shared" si="81"/>
        <v>-5.31</v>
      </c>
    </row>
    <row r="617" spans="1:29" x14ac:dyDescent="0.3">
      <c r="A617" t="s">
        <v>83</v>
      </c>
      <c r="B617" s="7" t="s">
        <v>54</v>
      </c>
      <c r="C617" s="7">
        <v>1</v>
      </c>
      <c r="D617" s="7">
        <v>2</v>
      </c>
      <c r="E617" s="7" t="s">
        <v>31</v>
      </c>
      <c r="G617" s="1">
        <v>45933</v>
      </c>
      <c r="I617" s="1">
        <v>45967</v>
      </c>
      <c r="J617">
        <f t="shared" si="79"/>
        <v>63.617251162500004</v>
      </c>
      <c r="K617">
        <v>5.31</v>
      </c>
      <c r="M617">
        <f t="shared" si="80"/>
        <v>0</v>
      </c>
      <c r="N617">
        <f t="shared" si="81"/>
        <v>-5.31</v>
      </c>
    </row>
    <row r="618" spans="1:29" x14ac:dyDescent="0.3">
      <c r="A618" t="s">
        <v>83</v>
      </c>
      <c r="B618" s="7" t="s">
        <v>54</v>
      </c>
      <c r="C618" s="7">
        <v>1</v>
      </c>
      <c r="D618" s="7">
        <v>6</v>
      </c>
      <c r="E618" s="7" t="s">
        <v>64</v>
      </c>
      <c r="G618" s="1">
        <v>45933</v>
      </c>
      <c r="I618" s="1">
        <v>45967</v>
      </c>
      <c r="J618">
        <f t="shared" si="79"/>
        <v>63.617251162500004</v>
      </c>
      <c r="K618">
        <v>5.31</v>
      </c>
      <c r="M618">
        <f t="shared" si="80"/>
        <v>0</v>
      </c>
      <c r="N618">
        <f t="shared" si="81"/>
        <v>-5.31</v>
      </c>
    </row>
    <row r="619" spans="1:29" x14ac:dyDescent="0.3">
      <c r="A619" t="s">
        <v>83</v>
      </c>
      <c r="B619" s="7" t="s">
        <v>54</v>
      </c>
      <c r="C619" s="7">
        <v>1</v>
      </c>
      <c r="D619" s="7">
        <v>6</v>
      </c>
      <c r="E619" s="7" t="s">
        <v>30</v>
      </c>
      <c r="G619" s="1">
        <v>45933</v>
      </c>
      <c r="I619" s="1">
        <v>45967</v>
      </c>
      <c r="J619">
        <f t="shared" si="79"/>
        <v>63.617251162500004</v>
      </c>
      <c r="K619">
        <v>5.31</v>
      </c>
      <c r="M619">
        <f t="shared" si="80"/>
        <v>0</v>
      </c>
      <c r="N619">
        <f t="shared" si="81"/>
        <v>-5.31</v>
      </c>
    </row>
    <row r="620" spans="1:29" x14ac:dyDescent="0.3">
      <c r="A620" t="s">
        <v>83</v>
      </c>
      <c r="B620" s="7" t="s">
        <v>54</v>
      </c>
      <c r="C620" s="7">
        <v>1</v>
      </c>
      <c r="D620" s="7">
        <v>6</v>
      </c>
      <c r="E620" s="7" t="s">
        <v>31</v>
      </c>
      <c r="G620" s="1">
        <v>45933</v>
      </c>
      <c r="I620" s="1">
        <v>45967</v>
      </c>
      <c r="J620">
        <f t="shared" ref="J620:J683" si="82">4.5*4.5*3.14159265</f>
        <v>63.617251162500004</v>
      </c>
      <c r="K620">
        <v>5.31</v>
      </c>
      <c r="M620">
        <f t="shared" si="80"/>
        <v>0</v>
      </c>
      <c r="N620">
        <f t="shared" si="81"/>
        <v>-5.31</v>
      </c>
    </row>
    <row r="621" spans="1:29" x14ac:dyDescent="0.3">
      <c r="A621" t="s">
        <v>83</v>
      </c>
      <c r="B621" s="7" t="s">
        <v>54</v>
      </c>
      <c r="C621" s="7">
        <v>1</v>
      </c>
      <c r="D621" s="7">
        <v>12</v>
      </c>
      <c r="E621" s="7" t="s">
        <v>64</v>
      </c>
      <c r="G621" s="1">
        <v>45933</v>
      </c>
      <c r="I621" s="1">
        <v>45967</v>
      </c>
      <c r="J621">
        <f t="shared" si="82"/>
        <v>63.617251162500004</v>
      </c>
      <c r="K621">
        <v>5.31</v>
      </c>
      <c r="M621">
        <f t="shared" si="80"/>
        <v>0</v>
      </c>
      <c r="N621">
        <f t="shared" si="81"/>
        <v>-5.31</v>
      </c>
    </row>
    <row r="622" spans="1:29" x14ac:dyDescent="0.3">
      <c r="A622" t="s">
        <v>83</v>
      </c>
      <c r="B622" s="7" t="s">
        <v>54</v>
      </c>
      <c r="C622" s="7">
        <v>1</v>
      </c>
      <c r="D622" s="7">
        <v>12</v>
      </c>
      <c r="E622" s="7" t="s">
        <v>30</v>
      </c>
      <c r="G622" s="1">
        <v>45933</v>
      </c>
      <c r="I622" s="1">
        <v>45967</v>
      </c>
      <c r="J622">
        <f t="shared" si="82"/>
        <v>63.617251162500004</v>
      </c>
      <c r="K622">
        <v>5.31</v>
      </c>
      <c r="M622">
        <f t="shared" si="80"/>
        <v>0</v>
      </c>
      <c r="N622">
        <f t="shared" si="81"/>
        <v>-5.31</v>
      </c>
    </row>
    <row r="623" spans="1:29" x14ac:dyDescent="0.3">
      <c r="A623" t="s">
        <v>83</v>
      </c>
      <c r="B623" s="7" t="s">
        <v>54</v>
      </c>
      <c r="C623" s="7">
        <v>1</v>
      </c>
      <c r="D623" s="7">
        <v>12</v>
      </c>
      <c r="E623" s="7" t="s">
        <v>31</v>
      </c>
      <c r="G623" s="1">
        <v>45933</v>
      </c>
      <c r="I623" s="1">
        <v>45967</v>
      </c>
      <c r="J623">
        <f t="shared" si="82"/>
        <v>63.617251162500004</v>
      </c>
      <c r="K623">
        <v>5.31</v>
      </c>
      <c r="M623">
        <f t="shared" si="80"/>
        <v>0</v>
      </c>
      <c r="N623">
        <f t="shared" si="81"/>
        <v>-5.31</v>
      </c>
    </row>
    <row r="624" spans="1:29" x14ac:dyDescent="0.3">
      <c r="A624" t="s">
        <v>83</v>
      </c>
      <c r="B624" s="7" t="s">
        <v>54</v>
      </c>
      <c r="C624" s="7">
        <v>1</v>
      </c>
      <c r="D624" s="7">
        <v>24</v>
      </c>
      <c r="E624" s="7" t="s">
        <v>28</v>
      </c>
      <c r="G624" s="1">
        <v>45933</v>
      </c>
      <c r="I624" s="1">
        <v>45967</v>
      </c>
      <c r="J624">
        <f t="shared" si="82"/>
        <v>63.617251162500004</v>
      </c>
      <c r="K624">
        <v>5.31</v>
      </c>
      <c r="M624">
        <f t="shared" si="80"/>
        <v>0</v>
      </c>
      <c r="N624">
        <f t="shared" si="81"/>
        <v>-5.31</v>
      </c>
    </row>
    <row r="625" spans="1:14" x14ac:dyDescent="0.3">
      <c r="A625" t="s">
        <v>83</v>
      </c>
      <c r="B625" s="7" t="s">
        <v>54</v>
      </c>
      <c r="C625" s="7">
        <v>1</v>
      </c>
      <c r="D625" s="7">
        <v>24</v>
      </c>
      <c r="E625" s="7" t="s">
        <v>30</v>
      </c>
      <c r="G625" s="1">
        <v>45933</v>
      </c>
      <c r="I625" s="1">
        <v>45967</v>
      </c>
      <c r="J625">
        <f t="shared" si="82"/>
        <v>63.617251162500004</v>
      </c>
      <c r="K625">
        <v>5.31</v>
      </c>
      <c r="M625">
        <f t="shared" si="80"/>
        <v>0</v>
      </c>
      <c r="N625">
        <f t="shared" si="81"/>
        <v>-5.31</v>
      </c>
    </row>
    <row r="626" spans="1:14" x14ac:dyDescent="0.3">
      <c r="A626" t="s">
        <v>83</v>
      </c>
      <c r="B626" s="7" t="s">
        <v>54</v>
      </c>
      <c r="C626" s="7">
        <v>1</v>
      </c>
      <c r="D626" s="7">
        <v>24</v>
      </c>
      <c r="E626" s="7" t="s">
        <v>31</v>
      </c>
      <c r="G626" s="1">
        <v>45933</v>
      </c>
      <c r="I626" s="1">
        <v>45967</v>
      </c>
      <c r="J626">
        <f t="shared" si="82"/>
        <v>63.617251162500004</v>
      </c>
      <c r="K626">
        <v>5.31</v>
      </c>
      <c r="M626">
        <f t="shared" si="80"/>
        <v>0</v>
      </c>
      <c r="N626">
        <f t="shared" si="81"/>
        <v>-5.31</v>
      </c>
    </row>
    <row r="627" spans="1:14" x14ac:dyDescent="0.3">
      <c r="A627" t="s">
        <v>83</v>
      </c>
      <c r="B627" s="7" t="s">
        <v>54</v>
      </c>
      <c r="C627" s="7">
        <v>1</v>
      </c>
      <c r="D627" s="7">
        <v>48</v>
      </c>
      <c r="E627" s="7" t="s">
        <v>64</v>
      </c>
      <c r="G627" s="1">
        <v>45933</v>
      </c>
      <c r="I627" s="1">
        <v>45967</v>
      </c>
      <c r="J627">
        <f t="shared" si="82"/>
        <v>63.617251162500004</v>
      </c>
      <c r="K627">
        <v>5.31</v>
      </c>
      <c r="M627">
        <f t="shared" si="80"/>
        <v>0</v>
      </c>
      <c r="N627" s="7">
        <f t="shared" si="81"/>
        <v>-5.31</v>
      </c>
    </row>
    <row r="628" spans="1:14" x14ac:dyDescent="0.3">
      <c r="A628" t="s">
        <v>83</v>
      </c>
      <c r="B628" s="7" t="s">
        <v>54</v>
      </c>
      <c r="C628" s="7">
        <v>1</v>
      </c>
      <c r="D628" s="7">
        <v>48</v>
      </c>
      <c r="E628" s="7" t="s">
        <v>30</v>
      </c>
      <c r="G628" s="1">
        <v>45933</v>
      </c>
      <c r="I628" s="1">
        <v>45967</v>
      </c>
      <c r="J628">
        <f t="shared" si="82"/>
        <v>63.617251162500004</v>
      </c>
      <c r="K628">
        <v>5.31</v>
      </c>
      <c r="M628" s="7">
        <f t="shared" si="80"/>
        <v>0</v>
      </c>
      <c r="N628">
        <f t="shared" si="81"/>
        <v>-5.31</v>
      </c>
    </row>
    <row r="629" spans="1:14" x14ac:dyDescent="0.3">
      <c r="A629" t="s">
        <v>83</v>
      </c>
      <c r="B629" s="7" t="s">
        <v>54</v>
      </c>
      <c r="C629" s="7">
        <v>1</v>
      </c>
      <c r="D629" s="7">
        <v>48</v>
      </c>
      <c r="E629" s="7" t="s">
        <v>31</v>
      </c>
      <c r="G629" s="1">
        <v>45933</v>
      </c>
      <c r="I629" s="1">
        <v>45967</v>
      </c>
      <c r="J629">
        <f t="shared" si="82"/>
        <v>63.617251162500004</v>
      </c>
      <c r="K629">
        <v>5.31</v>
      </c>
      <c r="M629">
        <f t="shared" si="80"/>
        <v>0</v>
      </c>
      <c r="N629">
        <f t="shared" si="81"/>
        <v>-5.31</v>
      </c>
    </row>
    <row r="630" spans="1:14" x14ac:dyDescent="0.3">
      <c r="A630" t="s">
        <v>83</v>
      </c>
      <c r="B630" t="s">
        <v>54</v>
      </c>
      <c r="C630">
        <v>2</v>
      </c>
      <c r="D630">
        <v>0.5</v>
      </c>
      <c r="E630" t="s">
        <v>64</v>
      </c>
      <c r="G630" s="1">
        <v>45933</v>
      </c>
      <c r="I630" s="1">
        <v>45967</v>
      </c>
      <c r="J630">
        <f t="shared" si="82"/>
        <v>63.617251162500004</v>
      </c>
      <c r="K630">
        <v>5.31</v>
      </c>
      <c r="M630">
        <f t="shared" si="80"/>
        <v>0</v>
      </c>
      <c r="N630">
        <f t="shared" si="81"/>
        <v>-5.31</v>
      </c>
    </row>
    <row r="631" spans="1:14" x14ac:dyDescent="0.3">
      <c r="A631" t="s">
        <v>83</v>
      </c>
      <c r="B631" t="s">
        <v>54</v>
      </c>
      <c r="C631">
        <v>2</v>
      </c>
      <c r="D631">
        <v>0.5</v>
      </c>
      <c r="E631" t="s">
        <v>30</v>
      </c>
      <c r="G631" s="1">
        <v>45933</v>
      </c>
      <c r="I631" s="1">
        <v>45967</v>
      </c>
      <c r="J631">
        <f t="shared" si="82"/>
        <v>63.617251162500004</v>
      </c>
      <c r="K631">
        <v>5.31</v>
      </c>
      <c r="M631">
        <f t="shared" si="80"/>
        <v>0</v>
      </c>
      <c r="N631" s="7">
        <f t="shared" si="81"/>
        <v>-5.31</v>
      </c>
    </row>
    <row r="632" spans="1:14" x14ac:dyDescent="0.3">
      <c r="A632" t="s">
        <v>83</v>
      </c>
      <c r="B632" t="s">
        <v>54</v>
      </c>
      <c r="C632">
        <v>2</v>
      </c>
      <c r="D632">
        <v>0.5</v>
      </c>
      <c r="E632" t="s">
        <v>31</v>
      </c>
      <c r="G632" s="1">
        <v>45933</v>
      </c>
      <c r="I632" s="1">
        <v>45967</v>
      </c>
      <c r="J632">
        <f t="shared" si="82"/>
        <v>63.617251162500004</v>
      </c>
      <c r="K632">
        <v>5.31</v>
      </c>
      <c r="M632" s="7">
        <f t="shared" si="80"/>
        <v>0</v>
      </c>
      <c r="N632" s="7">
        <f t="shared" si="81"/>
        <v>-5.31</v>
      </c>
    </row>
    <row r="633" spans="1:14" x14ac:dyDescent="0.3">
      <c r="A633" t="s">
        <v>83</v>
      </c>
      <c r="B633" t="s">
        <v>54</v>
      </c>
      <c r="C633">
        <v>2</v>
      </c>
      <c r="D633">
        <v>2</v>
      </c>
      <c r="E633" t="s">
        <v>64</v>
      </c>
      <c r="G633" s="1">
        <v>45933</v>
      </c>
      <c r="I633" s="1">
        <v>45967</v>
      </c>
      <c r="J633">
        <f t="shared" si="82"/>
        <v>63.617251162500004</v>
      </c>
      <c r="K633">
        <v>5.31</v>
      </c>
      <c r="M633" s="7">
        <f t="shared" si="80"/>
        <v>0</v>
      </c>
      <c r="N633">
        <f t="shared" si="81"/>
        <v>-5.31</v>
      </c>
    </row>
    <row r="634" spans="1:14" x14ac:dyDescent="0.3">
      <c r="A634" t="s">
        <v>83</v>
      </c>
      <c r="B634" t="s">
        <v>54</v>
      </c>
      <c r="C634">
        <v>2</v>
      </c>
      <c r="D634">
        <v>2</v>
      </c>
      <c r="E634" t="s">
        <v>30</v>
      </c>
      <c r="G634" s="1">
        <v>45933</v>
      </c>
      <c r="I634" s="1">
        <v>45967</v>
      </c>
      <c r="J634">
        <f t="shared" si="82"/>
        <v>63.617251162500004</v>
      </c>
      <c r="K634">
        <v>5.31</v>
      </c>
      <c r="M634">
        <f t="shared" si="80"/>
        <v>0</v>
      </c>
      <c r="N634">
        <f t="shared" si="81"/>
        <v>-5.31</v>
      </c>
    </row>
    <row r="635" spans="1:14" x14ac:dyDescent="0.3">
      <c r="A635" t="s">
        <v>83</v>
      </c>
      <c r="B635" t="s">
        <v>54</v>
      </c>
      <c r="C635">
        <v>2</v>
      </c>
      <c r="D635">
        <v>2</v>
      </c>
      <c r="E635" t="s">
        <v>31</v>
      </c>
      <c r="G635" s="1">
        <v>45933</v>
      </c>
      <c r="I635" s="1">
        <v>45967</v>
      </c>
      <c r="J635">
        <f t="shared" si="82"/>
        <v>63.617251162500004</v>
      </c>
      <c r="K635">
        <v>5.31</v>
      </c>
      <c r="M635">
        <f t="shared" si="80"/>
        <v>0</v>
      </c>
      <c r="N635">
        <f t="shared" si="81"/>
        <v>-5.31</v>
      </c>
    </row>
    <row r="636" spans="1:14" x14ac:dyDescent="0.3">
      <c r="A636" t="s">
        <v>83</v>
      </c>
      <c r="B636" t="s">
        <v>54</v>
      </c>
      <c r="C636">
        <v>2</v>
      </c>
      <c r="D636">
        <v>6</v>
      </c>
      <c r="E636" t="s">
        <v>64</v>
      </c>
      <c r="G636" s="1">
        <v>45933</v>
      </c>
      <c r="I636" s="1">
        <v>45967</v>
      </c>
      <c r="J636">
        <f t="shared" si="82"/>
        <v>63.617251162500004</v>
      </c>
      <c r="K636">
        <v>5.31</v>
      </c>
      <c r="M636">
        <f t="shared" si="80"/>
        <v>0</v>
      </c>
      <c r="N636">
        <f t="shared" si="81"/>
        <v>-5.31</v>
      </c>
    </row>
    <row r="637" spans="1:14" x14ac:dyDescent="0.3">
      <c r="A637" t="s">
        <v>83</v>
      </c>
      <c r="B637" t="s">
        <v>54</v>
      </c>
      <c r="C637">
        <v>2</v>
      </c>
      <c r="D637">
        <v>6</v>
      </c>
      <c r="E637" t="s">
        <v>30</v>
      </c>
      <c r="G637" s="1">
        <v>45933</v>
      </c>
      <c r="I637" s="1">
        <v>45967</v>
      </c>
      <c r="J637">
        <f t="shared" si="82"/>
        <v>63.617251162500004</v>
      </c>
      <c r="K637">
        <v>5.31</v>
      </c>
      <c r="M637">
        <f t="shared" si="80"/>
        <v>0</v>
      </c>
      <c r="N637">
        <f t="shared" si="81"/>
        <v>-5.31</v>
      </c>
    </row>
    <row r="638" spans="1:14" x14ac:dyDescent="0.3">
      <c r="A638" t="s">
        <v>83</v>
      </c>
      <c r="B638" t="s">
        <v>54</v>
      </c>
      <c r="C638">
        <v>2</v>
      </c>
      <c r="D638">
        <v>6</v>
      </c>
      <c r="E638" t="s">
        <v>31</v>
      </c>
      <c r="G638" s="1">
        <v>45933</v>
      </c>
      <c r="I638" s="1">
        <v>45967</v>
      </c>
      <c r="J638">
        <f t="shared" si="82"/>
        <v>63.617251162500004</v>
      </c>
      <c r="K638">
        <v>5.31</v>
      </c>
      <c r="M638">
        <f t="shared" si="80"/>
        <v>0</v>
      </c>
      <c r="N638">
        <f t="shared" si="81"/>
        <v>-5.31</v>
      </c>
    </row>
    <row r="639" spans="1:14" x14ac:dyDescent="0.3">
      <c r="A639" t="s">
        <v>83</v>
      </c>
      <c r="B639" t="s">
        <v>54</v>
      </c>
      <c r="C639">
        <v>2</v>
      </c>
      <c r="D639">
        <v>12</v>
      </c>
      <c r="E639" t="s">
        <v>64</v>
      </c>
      <c r="G639" s="1">
        <v>45933</v>
      </c>
      <c r="I639" s="1">
        <v>45967</v>
      </c>
      <c r="J639">
        <f t="shared" si="82"/>
        <v>63.617251162500004</v>
      </c>
      <c r="K639">
        <v>5.31</v>
      </c>
      <c r="M639">
        <f t="shared" si="80"/>
        <v>0</v>
      </c>
      <c r="N639">
        <f t="shared" si="81"/>
        <v>-5.31</v>
      </c>
    </row>
    <row r="640" spans="1:14" x14ac:dyDescent="0.3">
      <c r="A640" t="s">
        <v>83</v>
      </c>
      <c r="B640" t="s">
        <v>54</v>
      </c>
      <c r="C640">
        <v>2</v>
      </c>
      <c r="D640">
        <v>12</v>
      </c>
      <c r="E640" t="s">
        <v>30</v>
      </c>
      <c r="G640" s="1">
        <v>45933</v>
      </c>
      <c r="I640" s="1">
        <v>45967</v>
      </c>
      <c r="J640">
        <f t="shared" si="82"/>
        <v>63.617251162500004</v>
      </c>
      <c r="K640">
        <v>5.31</v>
      </c>
      <c r="M640">
        <f t="shared" si="80"/>
        <v>0</v>
      </c>
      <c r="N640">
        <f t="shared" si="81"/>
        <v>-5.31</v>
      </c>
    </row>
    <row r="641" spans="1:14" x14ac:dyDescent="0.3">
      <c r="A641" t="s">
        <v>83</v>
      </c>
      <c r="B641" t="s">
        <v>54</v>
      </c>
      <c r="C641">
        <v>2</v>
      </c>
      <c r="D641">
        <v>12</v>
      </c>
      <c r="E641" t="s">
        <v>31</v>
      </c>
      <c r="G641" s="1">
        <v>45933</v>
      </c>
      <c r="I641" s="1">
        <v>45967</v>
      </c>
      <c r="J641">
        <f t="shared" si="82"/>
        <v>63.617251162500004</v>
      </c>
      <c r="K641">
        <v>5.31</v>
      </c>
      <c r="M641">
        <f t="shared" si="80"/>
        <v>0</v>
      </c>
      <c r="N641">
        <f t="shared" si="81"/>
        <v>-5.31</v>
      </c>
    </row>
    <row r="642" spans="1:14" x14ac:dyDescent="0.3">
      <c r="A642" t="s">
        <v>83</v>
      </c>
      <c r="B642" t="s">
        <v>54</v>
      </c>
      <c r="C642">
        <v>2</v>
      </c>
      <c r="D642">
        <v>24</v>
      </c>
      <c r="E642" t="s">
        <v>28</v>
      </c>
      <c r="G642" s="1">
        <v>45933</v>
      </c>
      <c r="I642" s="1">
        <v>45967</v>
      </c>
      <c r="J642">
        <f t="shared" si="82"/>
        <v>63.617251162500004</v>
      </c>
      <c r="K642">
        <v>5.31</v>
      </c>
      <c r="M642">
        <f t="shared" si="80"/>
        <v>0</v>
      </c>
      <c r="N642">
        <f t="shared" si="81"/>
        <v>-5.31</v>
      </c>
    </row>
    <row r="643" spans="1:14" x14ac:dyDescent="0.3">
      <c r="A643" t="s">
        <v>83</v>
      </c>
      <c r="B643" t="s">
        <v>54</v>
      </c>
      <c r="C643">
        <v>2</v>
      </c>
      <c r="D643">
        <v>24</v>
      </c>
      <c r="E643" t="s">
        <v>30</v>
      </c>
      <c r="G643" s="1">
        <v>45933</v>
      </c>
      <c r="I643" s="1">
        <v>45967</v>
      </c>
      <c r="J643">
        <f t="shared" si="82"/>
        <v>63.617251162500004</v>
      </c>
      <c r="K643">
        <v>5.31</v>
      </c>
      <c r="M643">
        <f t="shared" si="80"/>
        <v>0</v>
      </c>
      <c r="N643">
        <f t="shared" si="81"/>
        <v>-5.31</v>
      </c>
    </row>
    <row r="644" spans="1:14" x14ac:dyDescent="0.3">
      <c r="A644" t="s">
        <v>83</v>
      </c>
      <c r="B644" t="s">
        <v>54</v>
      </c>
      <c r="C644">
        <v>2</v>
      </c>
      <c r="D644">
        <v>24</v>
      </c>
      <c r="E644" t="s">
        <v>31</v>
      </c>
      <c r="G644" s="1">
        <v>45933</v>
      </c>
      <c r="I644" s="1">
        <v>45967</v>
      </c>
      <c r="J644">
        <f t="shared" si="82"/>
        <v>63.617251162500004</v>
      </c>
      <c r="K644">
        <v>5.31</v>
      </c>
      <c r="M644">
        <f t="shared" ref="M644:M707" si="83">L644*F644</f>
        <v>0</v>
      </c>
      <c r="N644">
        <f t="shared" si="81"/>
        <v>-5.31</v>
      </c>
    </row>
    <row r="645" spans="1:14" x14ac:dyDescent="0.3">
      <c r="A645" t="s">
        <v>83</v>
      </c>
      <c r="B645" t="s">
        <v>54</v>
      </c>
      <c r="C645">
        <v>2</v>
      </c>
      <c r="D645">
        <v>48</v>
      </c>
      <c r="E645" t="s">
        <v>64</v>
      </c>
      <c r="G645" s="1">
        <v>45933</v>
      </c>
      <c r="I645" s="1">
        <v>45967</v>
      </c>
      <c r="J645">
        <f t="shared" si="82"/>
        <v>63.617251162500004</v>
      </c>
      <c r="K645">
        <v>5.31</v>
      </c>
      <c r="M645">
        <f t="shared" si="83"/>
        <v>0</v>
      </c>
      <c r="N645">
        <f t="shared" si="81"/>
        <v>-5.31</v>
      </c>
    </row>
    <row r="646" spans="1:14" x14ac:dyDescent="0.3">
      <c r="A646" t="s">
        <v>83</v>
      </c>
      <c r="B646" t="s">
        <v>54</v>
      </c>
      <c r="C646">
        <v>2</v>
      </c>
      <c r="D646">
        <v>48</v>
      </c>
      <c r="E646" t="s">
        <v>30</v>
      </c>
      <c r="G646" s="1">
        <v>45933</v>
      </c>
      <c r="I646" s="1">
        <v>45967</v>
      </c>
      <c r="J646">
        <f t="shared" si="82"/>
        <v>63.617251162500004</v>
      </c>
      <c r="K646">
        <v>5.31</v>
      </c>
      <c r="M646">
        <f t="shared" si="83"/>
        <v>0</v>
      </c>
      <c r="N646">
        <f t="shared" si="81"/>
        <v>-5.31</v>
      </c>
    </row>
    <row r="647" spans="1:14" x14ac:dyDescent="0.3">
      <c r="A647" t="s">
        <v>83</v>
      </c>
      <c r="B647" t="s">
        <v>54</v>
      </c>
      <c r="C647">
        <v>2</v>
      </c>
      <c r="D647">
        <v>48</v>
      </c>
      <c r="E647" t="s">
        <v>31</v>
      </c>
      <c r="G647" s="1">
        <v>45933</v>
      </c>
      <c r="I647" s="1">
        <v>45967</v>
      </c>
      <c r="J647">
        <f t="shared" si="82"/>
        <v>63.617251162500004</v>
      </c>
      <c r="K647">
        <v>5.31</v>
      </c>
      <c r="M647">
        <f t="shared" si="83"/>
        <v>0</v>
      </c>
      <c r="N647">
        <f t="shared" si="81"/>
        <v>-5.31</v>
      </c>
    </row>
    <row r="648" spans="1:14" x14ac:dyDescent="0.3">
      <c r="A648" t="s">
        <v>83</v>
      </c>
      <c r="B648" t="s">
        <v>54</v>
      </c>
      <c r="E648" t="s">
        <v>67</v>
      </c>
      <c r="G648" t="s">
        <v>56</v>
      </c>
      <c r="I648" t="s">
        <v>56</v>
      </c>
      <c r="J648">
        <f t="shared" si="82"/>
        <v>63.617251162500004</v>
      </c>
      <c r="K648">
        <v>5.31</v>
      </c>
      <c r="M648">
        <f t="shared" si="83"/>
        <v>0</v>
      </c>
      <c r="N648">
        <f t="shared" si="81"/>
        <v>-5.31</v>
      </c>
    </row>
    <row r="649" spans="1:14" x14ac:dyDescent="0.3">
      <c r="A649" t="s">
        <v>83</v>
      </c>
      <c r="B649" t="s">
        <v>54</v>
      </c>
      <c r="E649" t="s">
        <v>68</v>
      </c>
      <c r="G649" t="s">
        <v>56</v>
      </c>
      <c r="I649" t="s">
        <v>56</v>
      </c>
      <c r="J649">
        <f t="shared" si="82"/>
        <v>63.617251162500004</v>
      </c>
      <c r="K649">
        <v>5.31</v>
      </c>
      <c r="M649">
        <f t="shared" si="83"/>
        <v>0</v>
      </c>
      <c r="N649">
        <f t="shared" si="81"/>
        <v>-5.31</v>
      </c>
    </row>
    <row r="650" spans="1:14" x14ac:dyDescent="0.3">
      <c r="A650" t="s">
        <v>83</v>
      </c>
      <c r="B650" t="s">
        <v>54</v>
      </c>
      <c r="E650" t="s">
        <v>69</v>
      </c>
      <c r="G650" t="s">
        <v>56</v>
      </c>
      <c r="I650" t="s">
        <v>56</v>
      </c>
      <c r="J650">
        <f t="shared" si="82"/>
        <v>63.617251162500004</v>
      </c>
      <c r="K650">
        <v>5.31</v>
      </c>
      <c r="M650">
        <f t="shared" si="83"/>
        <v>0</v>
      </c>
      <c r="N650">
        <f t="shared" si="81"/>
        <v>-5.31</v>
      </c>
    </row>
    <row r="651" spans="1:14" x14ac:dyDescent="0.3">
      <c r="A651" t="s">
        <v>83</v>
      </c>
      <c r="B651" t="s">
        <v>54</v>
      </c>
      <c r="E651" t="s">
        <v>70</v>
      </c>
      <c r="G651" t="s">
        <v>56</v>
      </c>
      <c r="I651" t="s">
        <v>56</v>
      </c>
      <c r="J651">
        <f t="shared" si="82"/>
        <v>63.617251162500004</v>
      </c>
      <c r="K651">
        <v>5.31</v>
      </c>
      <c r="M651">
        <f t="shared" si="83"/>
        <v>0</v>
      </c>
      <c r="N651">
        <f t="shared" si="81"/>
        <v>-5.31</v>
      </c>
    </row>
    <row r="652" spans="1:14" x14ac:dyDescent="0.3">
      <c r="A652" t="s">
        <v>83</v>
      </c>
      <c r="B652" t="s">
        <v>57</v>
      </c>
      <c r="C652">
        <v>1</v>
      </c>
      <c r="D652">
        <v>0.5</v>
      </c>
      <c r="E652" t="s">
        <v>64</v>
      </c>
      <c r="G652" s="1">
        <v>45936</v>
      </c>
      <c r="I652" s="1">
        <v>45964</v>
      </c>
      <c r="J652">
        <f t="shared" si="82"/>
        <v>63.617251162500004</v>
      </c>
      <c r="K652">
        <v>5.31</v>
      </c>
      <c r="M652">
        <f t="shared" si="83"/>
        <v>0</v>
      </c>
      <c r="N652">
        <f t="shared" si="81"/>
        <v>-5.31</v>
      </c>
    </row>
    <row r="653" spans="1:14" x14ac:dyDescent="0.3">
      <c r="A653" t="s">
        <v>83</v>
      </c>
      <c r="B653" t="s">
        <v>57</v>
      </c>
      <c r="C653">
        <v>1</v>
      </c>
      <c r="D653">
        <v>0.5</v>
      </c>
      <c r="E653" t="s">
        <v>30</v>
      </c>
      <c r="G653" s="1">
        <v>45936</v>
      </c>
      <c r="I653" s="1">
        <v>45964</v>
      </c>
      <c r="J653">
        <f t="shared" si="82"/>
        <v>63.617251162500004</v>
      </c>
      <c r="K653">
        <v>5.31</v>
      </c>
      <c r="M653">
        <f t="shared" si="83"/>
        <v>0</v>
      </c>
      <c r="N653">
        <f t="shared" si="81"/>
        <v>-5.31</v>
      </c>
    </row>
    <row r="654" spans="1:14" x14ac:dyDescent="0.3">
      <c r="A654" t="s">
        <v>83</v>
      </c>
      <c r="B654" t="s">
        <v>57</v>
      </c>
      <c r="C654">
        <v>1</v>
      </c>
      <c r="D654">
        <v>0.5</v>
      </c>
      <c r="E654" t="s">
        <v>31</v>
      </c>
      <c r="G654" s="1">
        <v>45936</v>
      </c>
      <c r="I654" s="1">
        <v>45964</v>
      </c>
      <c r="J654">
        <f t="shared" si="82"/>
        <v>63.617251162500004</v>
      </c>
      <c r="K654">
        <v>5.31</v>
      </c>
      <c r="M654">
        <f t="shared" si="83"/>
        <v>0</v>
      </c>
      <c r="N654">
        <f t="shared" si="81"/>
        <v>-5.31</v>
      </c>
    </row>
    <row r="655" spans="1:14" x14ac:dyDescent="0.3">
      <c r="A655" t="s">
        <v>83</v>
      </c>
      <c r="B655" t="s">
        <v>57</v>
      </c>
      <c r="C655">
        <v>1</v>
      </c>
      <c r="D655">
        <v>2</v>
      </c>
      <c r="E655" t="s">
        <v>64</v>
      </c>
      <c r="G655" s="1">
        <v>45936</v>
      </c>
      <c r="I655" s="1">
        <v>45964</v>
      </c>
      <c r="J655">
        <f t="shared" si="82"/>
        <v>63.617251162500004</v>
      </c>
      <c r="K655">
        <v>5.31</v>
      </c>
      <c r="M655">
        <f t="shared" si="83"/>
        <v>0</v>
      </c>
      <c r="N655">
        <f t="shared" si="81"/>
        <v>-5.31</v>
      </c>
    </row>
    <row r="656" spans="1:14" x14ac:dyDescent="0.3">
      <c r="A656" t="s">
        <v>83</v>
      </c>
      <c r="B656" t="s">
        <v>57</v>
      </c>
      <c r="C656">
        <v>1</v>
      </c>
      <c r="D656">
        <v>2</v>
      </c>
      <c r="E656" t="s">
        <v>30</v>
      </c>
      <c r="G656" s="1">
        <v>45936</v>
      </c>
      <c r="I656" s="1">
        <v>45964</v>
      </c>
      <c r="J656">
        <f t="shared" si="82"/>
        <v>63.617251162500004</v>
      </c>
      <c r="K656">
        <v>5.31</v>
      </c>
      <c r="M656">
        <f t="shared" si="83"/>
        <v>0</v>
      </c>
      <c r="N656">
        <f t="shared" si="81"/>
        <v>-5.31</v>
      </c>
    </row>
    <row r="657" spans="1:14" x14ac:dyDescent="0.3">
      <c r="A657" t="s">
        <v>83</v>
      </c>
      <c r="B657" t="s">
        <v>57</v>
      </c>
      <c r="C657">
        <v>1</v>
      </c>
      <c r="D657">
        <v>2</v>
      </c>
      <c r="E657" t="s">
        <v>31</v>
      </c>
      <c r="G657" s="1">
        <v>45936</v>
      </c>
      <c r="I657" s="1">
        <v>45964</v>
      </c>
      <c r="J657">
        <f t="shared" si="82"/>
        <v>63.617251162500004</v>
      </c>
      <c r="K657">
        <v>5.31</v>
      </c>
      <c r="M657">
        <f t="shared" si="83"/>
        <v>0</v>
      </c>
      <c r="N657">
        <f t="shared" si="81"/>
        <v>-5.31</v>
      </c>
    </row>
    <row r="658" spans="1:14" x14ac:dyDescent="0.3">
      <c r="A658" t="s">
        <v>83</v>
      </c>
      <c r="B658" t="s">
        <v>57</v>
      </c>
      <c r="C658">
        <v>1</v>
      </c>
      <c r="D658">
        <v>6</v>
      </c>
      <c r="E658" t="s">
        <v>64</v>
      </c>
      <c r="G658" s="1">
        <v>45936</v>
      </c>
      <c r="I658" s="1">
        <v>45964</v>
      </c>
      <c r="J658">
        <f t="shared" si="82"/>
        <v>63.617251162500004</v>
      </c>
      <c r="K658">
        <v>5.31</v>
      </c>
      <c r="M658">
        <f t="shared" si="83"/>
        <v>0</v>
      </c>
      <c r="N658">
        <f t="shared" si="81"/>
        <v>-5.31</v>
      </c>
    </row>
    <row r="659" spans="1:14" x14ac:dyDescent="0.3">
      <c r="A659" t="s">
        <v>83</v>
      </c>
      <c r="B659" t="s">
        <v>57</v>
      </c>
      <c r="C659">
        <v>1</v>
      </c>
      <c r="D659">
        <v>6</v>
      </c>
      <c r="E659" t="s">
        <v>30</v>
      </c>
      <c r="G659" s="1">
        <v>45936</v>
      </c>
      <c r="I659" s="1">
        <v>45964</v>
      </c>
      <c r="J659">
        <f t="shared" si="82"/>
        <v>63.617251162500004</v>
      </c>
      <c r="K659">
        <v>5.31</v>
      </c>
      <c r="M659">
        <f t="shared" si="83"/>
        <v>0</v>
      </c>
      <c r="N659">
        <f t="shared" si="81"/>
        <v>-5.31</v>
      </c>
    </row>
    <row r="660" spans="1:14" x14ac:dyDescent="0.3">
      <c r="A660" t="s">
        <v>83</v>
      </c>
      <c r="B660" t="s">
        <v>57</v>
      </c>
      <c r="C660">
        <v>1</v>
      </c>
      <c r="D660">
        <v>6</v>
      </c>
      <c r="E660" t="s">
        <v>31</v>
      </c>
      <c r="G660" s="1">
        <v>45936</v>
      </c>
      <c r="I660" s="1">
        <v>45964</v>
      </c>
      <c r="J660">
        <f t="shared" si="82"/>
        <v>63.617251162500004</v>
      </c>
      <c r="K660">
        <v>5.31</v>
      </c>
      <c r="M660">
        <f t="shared" si="83"/>
        <v>0</v>
      </c>
      <c r="N660">
        <f t="shared" si="81"/>
        <v>-5.31</v>
      </c>
    </row>
    <row r="661" spans="1:14" x14ac:dyDescent="0.3">
      <c r="A661" t="s">
        <v>83</v>
      </c>
      <c r="B661" t="s">
        <v>57</v>
      </c>
      <c r="C661">
        <v>1</v>
      </c>
      <c r="D661">
        <v>12</v>
      </c>
      <c r="E661" t="s">
        <v>64</v>
      </c>
      <c r="G661" s="1">
        <v>45936</v>
      </c>
      <c r="I661" s="1">
        <v>45964</v>
      </c>
      <c r="J661">
        <f t="shared" si="82"/>
        <v>63.617251162500004</v>
      </c>
      <c r="K661">
        <v>5.31</v>
      </c>
      <c r="M661">
        <f t="shared" si="83"/>
        <v>0</v>
      </c>
      <c r="N661">
        <f t="shared" si="81"/>
        <v>-5.31</v>
      </c>
    </row>
    <row r="662" spans="1:14" x14ac:dyDescent="0.3">
      <c r="A662" t="s">
        <v>83</v>
      </c>
      <c r="B662" t="s">
        <v>57</v>
      </c>
      <c r="C662">
        <v>1</v>
      </c>
      <c r="D662">
        <v>12</v>
      </c>
      <c r="E662" t="s">
        <v>30</v>
      </c>
      <c r="G662" s="1">
        <v>45936</v>
      </c>
      <c r="I662" s="1">
        <v>45964</v>
      </c>
      <c r="J662">
        <f t="shared" si="82"/>
        <v>63.617251162500004</v>
      </c>
      <c r="K662">
        <v>5.31</v>
      </c>
      <c r="M662">
        <f t="shared" si="83"/>
        <v>0</v>
      </c>
      <c r="N662">
        <f t="shared" si="81"/>
        <v>-5.31</v>
      </c>
    </row>
    <row r="663" spans="1:14" x14ac:dyDescent="0.3">
      <c r="A663" t="s">
        <v>83</v>
      </c>
      <c r="B663" t="s">
        <v>57</v>
      </c>
      <c r="C663">
        <v>1</v>
      </c>
      <c r="D663">
        <v>12</v>
      </c>
      <c r="E663" t="s">
        <v>31</v>
      </c>
      <c r="G663" s="1">
        <v>45936</v>
      </c>
      <c r="I663" s="1">
        <v>45964</v>
      </c>
      <c r="J663">
        <f t="shared" si="82"/>
        <v>63.617251162500004</v>
      </c>
      <c r="K663">
        <v>5.31</v>
      </c>
      <c r="M663">
        <f t="shared" si="83"/>
        <v>0</v>
      </c>
      <c r="N663">
        <f t="shared" ref="N663:N726" si="84">L663*J663-K663</f>
        <v>-5.31</v>
      </c>
    </row>
    <row r="664" spans="1:14" x14ac:dyDescent="0.3">
      <c r="A664" t="s">
        <v>83</v>
      </c>
      <c r="B664" t="s">
        <v>57</v>
      </c>
      <c r="C664">
        <v>1</v>
      </c>
      <c r="D664">
        <v>24</v>
      </c>
      <c r="E664" t="s">
        <v>28</v>
      </c>
      <c r="G664" s="1">
        <v>45936</v>
      </c>
      <c r="I664" s="1">
        <v>45964</v>
      </c>
      <c r="J664">
        <f t="shared" si="82"/>
        <v>63.617251162500004</v>
      </c>
      <c r="K664">
        <v>5.31</v>
      </c>
      <c r="M664">
        <f t="shared" si="83"/>
        <v>0</v>
      </c>
      <c r="N664">
        <f t="shared" si="84"/>
        <v>-5.31</v>
      </c>
    </row>
    <row r="665" spans="1:14" x14ac:dyDescent="0.3">
      <c r="A665" t="s">
        <v>83</v>
      </c>
      <c r="B665" t="s">
        <v>57</v>
      </c>
      <c r="C665">
        <v>1</v>
      </c>
      <c r="D665">
        <v>24</v>
      </c>
      <c r="E665" t="s">
        <v>30</v>
      </c>
      <c r="G665" s="1">
        <v>45936</v>
      </c>
      <c r="I665" s="1">
        <v>45964</v>
      </c>
      <c r="J665">
        <f t="shared" si="82"/>
        <v>63.617251162500004</v>
      </c>
      <c r="K665">
        <v>5.31</v>
      </c>
      <c r="M665">
        <f t="shared" si="83"/>
        <v>0</v>
      </c>
      <c r="N665">
        <f t="shared" si="84"/>
        <v>-5.31</v>
      </c>
    </row>
    <row r="666" spans="1:14" x14ac:dyDescent="0.3">
      <c r="A666" t="s">
        <v>83</v>
      </c>
      <c r="B666" t="s">
        <v>57</v>
      </c>
      <c r="C666">
        <v>1</v>
      </c>
      <c r="D666">
        <v>24</v>
      </c>
      <c r="E666" t="s">
        <v>31</v>
      </c>
      <c r="G666" s="1">
        <v>45936</v>
      </c>
      <c r="I666" s="1">
        <v>45964</v>
      </c>
      <c r="J666">
        <f t="shared" si="82"/>
        <v>63.617251162500004</v>
      </c>
      <c r="K666">
        <v>5.31</v>
      </c>
      <c r="M666">
        <f t="shared" si="83"/>
        <v>0</v>
      </c>
      <c r="N666">
        <f t="shared" si="84"/>
        <v>-5.31</v>
      </c>
    </row>
    <row r="667" spans="1:14" x14ac:dyDescent="0.3">
      <c r="A667" t="s">
        <v>83</v>
      </c>
      <c r="B667" t="s">
        <v>57</v>
      </c>
      <c r="C667">
        <v>1</v>
      </c>
      <c r="D667">
        <v>48</v>
      </c>
      <c r="E667" t="s">
        <v>64</v>
      </c>
      <c r="G667" s="1">
        <v>45936</v>
      </c>
      <c r="I667" s="1">
        <v>45964</v>
      </c>
      <c r="J667">
        <f t="shared" si="82"/>
        <v>63.617251162500004</v>
      </c>
      <c r="K667">
        <v>5.31</v>
      </c>
      <c r="M667">
        <f t="shared" si="83"/>
        <v>0</v>
      </c>
      <c r="N667">
        <f t="shared" si="84"/>
        <v>-5.31</v>
      </c>
    </row>
    <row r="668" spans="1:14" x14ac:dyDescent="0.3">
      <c r="A668" t="s">
        <v>83</v>
      </c>
      <c r="B668" t="s">
        <v>57</v>
      </c>
      <c r="C668">
        <v>1</v>
      </c>
      <c r="D668">
        <v>48</v>
      </c>
      <c r="E668" t="s">
        <v>30</v>
      </c>
      <c r="G668" s="1">
        <v>45936</v>
      </c>
      <c r="I668" s="1">
        <v>45964</v>
      </c>
      <c r="J668">
        <f t="shared" si="82"/>
        <v>63.617251162500004</v>
      </c>
      <c r="K668">
        <v>5.31</v>
      </c>
      <c r="M668">
        <f t="shared" si="83"/>
        <v>0</v>
      </c>
      <c r="N668">
        <f t="shared" si="84"/>
        <v>-5.31</v>
      </c>
    </row>
    <row r="669" spans="1:14" x14ac:dyDescent="0.3">
      <c r="A669" t="s">
        <v>83</v>
      </c>
      <c r="B669" t="s">
        <v>57</v>
      </c>
      <c r="C669">
        <v>1</v>
      </c>
      <c r="D669">
        <v>48</v>
      </c>
      <c r="E669" t="s">
        <v>31</v>
      </c>
      <c r="G669" s="1">
        <v>45936</v>
      </c>
      <c r="I669" s="1">
        <v>45964</v>
      </c>
      <c r="J669">
        <f t="shared" si="82"/>
        <v>63.617251162500004</v>
      </c>
      <c r="K669">
        <v>5.31</v>
      </c>
      <c r="M669">
        <f t="shared" si="83"/>
        <v>0</v>
      </c>
      <c r="N669">
        <f t="shared" si="84"/>
        <v>-5.31</v>
      </c>
    </row>
    <row r="670" spans="1:14" x14ac:dyDescent="0.3">
      <c r="A670" t="s">
        <v>83</v>
      </c>
      <c r="B670" t="s">
        <v>57</v>
      </c>
      <c r="C670">
        <v>2</v>
      </c>
      <c r="D670">
        <v>0.5</v>
      </c>
      <c r="E670" t="s">
        <v>64</v>
      </c>
      <c r="G670" s="1">
        <v>45936</v>
      </c>
      <c r="I670" s="1">
        <v>45964</v>
      </c>
      <c r="J670">
        <f t="shared" si="82"/>
        <v>63.617251162500004</v>
      </c>
      <c r="K670">
        <v>5.31</v>
      </c>
      <c r="M670">
        <f t="shared" si="83"/>
        <v>0</v>
      </c>
      <c r="N670">
        <f t="shared" si="84"/>
        <v>-5.31</v>
      </c>
    </row>
    <row r="671" spans="1:14" x14ac:dyDescent="0.3">
      <c r="A671" t="s">
        <v>83</v>
      </c>
      <c r="B671" t="s">
        <v>57</v>
      </c>
      <c r="C671">
        <v>2</v>
      </c>
      <c r="D671">
        <v>0.5</v>
      </c>
      <c r="E671" t="s">
        <v>30</v>
      </c>
      <c r="G671" s="1">
        <v>45936</v>
      </c>
      <c r="I671" s="1">
        <v>45964</v>
      </c>
      <c r="J671">
        <f t="shared" si="82"/>
        <v>63.617251162500004</v>
      </c>
      <c r="K671">
        <v>5.31</v>
      </c>
      <c r="M671">
        <f t="shared" si="83"/>
        <v>0</v>
      </c>
      <c r="N671">
        <f t="shared" si="84"/>
        <v>-5.31</v>
      </c>
    </row>
    <row r="672" spans="1:14" x14ac:dyDescent="0.3">
      <c r="A672" t="s">
        <v>83</v>
      </c>
      <c r="B672" t="s">
        <v>57</v>
      </c>
      <c r="C672">
        <v>2</v>
      </c>
      <c r="D672">
        <v>0.5</v>
      </c>
      <c r="E672" t="s">
        <v>31</v>
      </c>
      <c r="G672" s="1">
        <v>45936</v>
      </c>
      <c r="I672" s="1">
        <v>45964</v>
      </c>
      <c r="J672">
        <f t="shared" si="82"/>
        <v>63.617251162500004</v>
      </c>
      <c r="K672">
        <v>5.31</v>
      </c>
      <c r="M672">
        <f t="shared" si="83"/>
        <v>0</v>
      </c>
      <c r="N672">
        <f t="shared" si="84"/>
        <v>-5.31</v>
      </c>
    </row>
    <row r="673" spans="1:14" x14ac:dyDescent="0.3">
      <c r="A673" t="s">
        <v>83</v>
      </c>
      <c r="B673" t="s">
        <v>57</v>
      </c>
      <c r="C673">
        <v>2</v>
      </c>
      <c r="D673">
        <v>2</v>
      </c>
      <c r="E673" t="s">
        <v>64</v>
      </c>
      <c r="G673" s="1">
        <v>45936</v>
      </c>
      <c r="I673" s="1">
        <v>45964</v>
      </c>
      <c r="J673">
        <f t="shared" si="82"/>
        <v>63.617251162500004</v>
      </c>
      <c r="K673">
        <v>5.31</v>
      </c>
      <c r="M673">
        <f t="shared" si="83"/>
        <v>0</v>
      </c>
      <c r="N673">
        <f t="shared" si="84"/>
        <v>-5.31</v>
      </c>
    </row>
    <row r="674" spans="1:14" x14ac:dyDescent="0.3">
      <c r="A674" t="s">
        <v>83</v>
      </c>
      <c r="B674" t="s">
        <v>57</v>
      </c>
      <c r="C674">
        <v>2</v>
      </c>
      <c r="D674">
        <v>2</v>
      </c>
      <c r="E674" t="s">
        <v>30</v>
      </c>
      <c r="G674" s="1">
        <v>45936</v>
      </c>
      <c r="I674" s="1">
        <v>45964</v>
      </c>
      <c r="J674">
        <f t="shared" si="82"/>
        <v>63.617251162500004</v>
      </c>
      <c r="K674">
        <v>5.31</v>
      </c>
      <c r="M674">
        <f t="shared" si="83"/>
        <v>0</v>
      </c>
      <c r="N674">
        <f t="shared" si="84"/>
        <v>-5.31</v>
      </c>
    </row>
    <row r="675" spans="1:14" x14ac:dyDescent="0.3">
      <c r="A675" t="s">
        <v>83</v>
      </c>
      <c r="B675" t="s">
        <v>57</v>
      </c>
      <c r="C675">
        <v>2</v>
      </c>
      <c r="D675">
        <v>2</v>
      </c>
      <c r="E675" t="s">
        <v>31</v>
      </c>
      <c r="G675" s="1">
        <v>45936</v>
      </c>
      <c r="I675" s="1">
        <v>45964</v>
      </c>
      <c r="J675">
        <f t="shared" si="82"/>
        <v>63.617251162500004</v>
      </c>
      <c r="K675">
        <v>5.31</v>
      </c>
      <c r="M675">
        <f t="shared" si="83"/>
        <v>0</v>
      </c>
      <c r="N675">
        <f t="shared" si="84"/>
        <v>-5.31</v>
      </c>
    </row>
    <row r="676" spans="1:14" x14ac:dyDescent="0.3">
      <c r="A676" t="s">
        <v>83</v>
      </c>
      <c r="B676" t="s">
        <v>57</v>
      </c>
      <c r="C676">
        <v>2</v>
      </c>
      <c r="D676">
        <v>6</v>
      </c>
      <c r="E676" t="s">
        <v>64</v>
      </c>
      <c r="G676" s="1">
        <v>45936</v>
      </c>
      <c r="I676" s="1">
        <v>45964</v>
      </c>
      <c r="J676">
        <f t="shared" si="82"/>
        <v>63.617251162500004</v>
      </c>
      <c r="K676">
        <v>5.31</v>
      </c>
      <c r="M676">
        <f t="shared" si="83"/>
        <v>0</v>
      </c>
      <c r="N676">
        <f t="shared" si="84"/>
        <v>-5.31</v>
      </c>
    </row>
    <row r="677" spans="1:14" x14ac:dyDescent="0.3">
      <c r="A677" t="s">
        <v>83</v>
      </c>
      <c r="B677" t="s">
        <v>57</v>
      </c>
      <c r="C677">
        <v>2</v>
      </c>
      <c r="D677">
        <v>6</v>
      </c>
      <c r="E677" t="s">
        <v>30</v>
      </c>
      <c r="G677" s="1">
        <v>45936</v>
      </c>
      <c r="I677" s="1">
        <v>45964</v>
      </c>
      <c r="J677">
        <f t="shared" si="82"/>
        <v>63.617251162500004</v>
      </c>
      <c r="K677">
        <v>5.31</v>
      </c>
      <c r="M677">
        <f t="shared" si="83"/>
        <v>0</v>
      </c>
      <c r="N677">
        <f t="shared" si="84"/>
        <v>-5.31</v>
      </c>
    </row>
    <row r="678" spans="1:14" x14ac:dyDescent="0.3">
      <c r="A678" t="s">
        <v>83</v>
      </c>
      <c r="B678" t="s">
        <v>57</v>
      </c>
      <c r="C678">
        <v>2</v>
      </c>
      <c r="D678">
        <v>6</v>
      </c>
      <c r="E678" t="s">
        <v>31</v>
      </c>
      <c r="G678" s="1">
        <v>45936</v>
      </c>
      <c r="I678" s="1">
        <v>45964</v>
      </c>
      <c r="J678">
        <f t="shared" si="82"/>
        <v>63.617251162500004</v>
      </c>
      <c r="K678">
        <v>5.31</v>
      </c>
      <c r="M678">
        <f t="shared" si="83"/>
        <v>0</v>
      </c>
      <c r="N678">
        <f t="shared" si="84"/>
        <v>-5.31</v>
      </c>
    </row>
    <row r="679" spans="1:14" x14ac:dyDescent="0.3">
      <c r="A679" t="s">
        <v>83</v>
      </c>
      <c r="B679" t="s">
        <v>57</v>
      </c>
      <c r="C679">
        <v>2</v>
      </c>
      <c r="D679">
        <v>12</v>
      </c>
      <c r="E679" t="s">
        <v>64</v>
      </c>
      <c r="G679" s="1">
        <v>45936</v>
      </c>
      <c r="I679" s="1">
        <v>45964</v>
      </c>
      <c r="J679">
        <f t="shared" si="82"/>
        <v>63.617251162500004</v>
      </c>
      <c r="K679">
        <v>5.31</v>
      </c>
      <c r="M679">
        <f t="shared" si="83"/>
        <v>0</v>
      </c>
      <c r="N679">
        <f t="shared" si="84"/>
        <v>-5.31</v>
      </c>
    </row>
    <row r="680" spans="1:14" x14ac:dyDescent="0.3">
      <c r="A680" t="s">
        <v>83</v>
      </c>
      <c r="B680" t="s">
        <v>57</v>
      </c>
      <c r="C680">
        <v>2</v>
      </c>
      <c r="D680">
        <v>12</v>
      </c>
      <c r="E680" t="s">
        <v>30</v>
      </c>
      <c r="G680" s="1">
        <v>45936</v>
      </c>
      <c r="I680" s="1">
        <v>45964</v>
      </c>
      <c r="J680">
        <f t="shared" si="82"/>
        <v>63.617251162500004</v>
      </c>
      <c r="K680">
        <v>5.31</v>
      </c>
      <c r="M680">
        <f t="shared" si="83"/>
        <v>0</v>
      </c>
      <c r="N680">
        <f t="shared" si="84"/>
        <v>-5.31</v>
      </c>
    </row>
    <row r="681" spans="1:14" x14ac:dyDescent="0.3">
      <c r="A681" t="s">
        <v>83</v>
      </c>
      <c r="B681" t="s">
        <v>57</v>
      </c>
      <c r="C681">
        <v>2</v>
      </c>
      <c r="D681">
        <v>12</v>
      </c>
      <c r="E681" t="s">
        <v>31</v>
      </c>
      <c r="G681" s="1">
        <v>45936</v>
      </c>
      <c r="I681" s="1">
        <v>45964</v>
      </c>
      <c r="J681">
        <f t="shared" si="82"/>
        <v>63.617251162500004</v>
      </c>
      <c r="K681">
        <v>5.31</v>
      </c>
      <c r="M681">
        <f t="shared" si="83"/>
        <v>0</v>
      </c>
      <c r="N681">
        <f t="shared" si="84"/>
        <v>-5.31</v>
      </c>
    </row>
    <row r="682" spans="1:14" x14ac:dyDescent="0.3">
      <c r="A682" t="s">
        <v>83</v>
      </c>
      <c r="B682" t="s">
        <v>57</v>
      </c>
      <c r="C682">
        <v>2</v>
      </c>
      <c r="D682">
        <v>24</v>
      </c>
      <c r="E682" t="s">
        <v>28</v>
      </c>
      <c r="G682" s="1">
        <v>45936</v>
      </c>
      <c r="I682" s="1">
        <v>45964</v>
      </c>
      <c r="J682">
        <f t="shared" si="82"/>
        <v>63.617251162500004</v>
      </c>
      <c r="K682">
        <v>5.31</v>
      </c>
      <c r="M682">
        <f t="shared" si="83"/>
        <v>0</v>
      </c>
      <c r="N682">
        <f t="shared" si="84"/>
        <v>-5.31</v>
      </c>
    </row>
    <row r="683" spans="1:14" x14ac:dyDescent="0.3">
      <c r="A683" t="s">
        <v>83</v>
      </c>
      <c r="B683" t="s">
        <v>57</v>
      </c>
      <c r="C683">
        <v>2</v>
      </c>
      <c r="D683">
        <v>24</v>
      </c>
      <c r="E683" t="s">
        <v>30</v>
      </c>
      <c r="G683" s="1">
        <v>45936</v>
      </c>
      <c r="I683" s="1">
        <v>45964</v>
      </c>
      <c r="J683">
        <f t="shared" si="82"/>
        <v>63.617251162500004</v>
      </c>
      <c r="K683">
        <v>5.31</v>
      </c>
      <c r="M683">
        <f t="shared" si="83"/>
        <v>0</v>
      </c>
      <c r="N683">
        <f t="shared" si="84"/>
        <v>-5.31</v>
      </c>
    </row>
    <row r="684" spans="1:14" x14ac:dyDescent="0.3">
      <c r="A684" t="s">
        <v>83</v>
      </c>
      <c r="B684" t="s">
        <v>57</v>
      </c>
      <c r="C684">
        <v>2</v>
      </c>
      <c r="D684">
        <v>24</v>
      </c>
      <c r="E684" t="s">
        <v>31</v>
      </c>
      <c r="G684" s="1">
        <v>45936</v>
      </c>
      <c r="I684" s="1">
        <v>45964</v>
      </c>
      <c r="J684">
        <f t="shared" ref="J684:J747" si="85">4.5*4.5*3.14159265</f>
        <v>63.617251162500004</v>
      </c>
      <c r="K684">
        <v>5.31</v>
      </c>
      <c r="M684">
        <f t="shared" si="83"/>
        <v>0</v>
      </c>
      <c r="N684">
        <f t="shared" si="84"/>
        <v>-5.31</v>
      </c>
    </row>
    <row r="685" spans="1:14" x14ac:dyDescent="0.3">
      <c r="A685" t="s">
        <v>83</v>
      </c>
      <c r="B685" t="s">
        <v>57</v>
      </c>
      <c r="C685">
        <v>2</v>
      </c>
      <c r="D685">
        <v>48</v>
      </c>
      <c r="E685" t="s">
        <v>64</v>
      </c>
      <c r="G685" s="1">
        <v>45936</v>
      </c>
      <c r="I685" s="1">
        <v>45964</v>
      </c>
      <c r="J685">
        <f t="shared" si="85"/>
        <v>63.617251162500004</v>
      </c>
      <c r="K685">
        <v>5.31</v>
      </c>
      <c r="M685">
        <f t="shared" si="83"/>
        <v>0</v>
      </c>
      <c r="N685">
        <f t="shared" si="84"/>
        <v>-5.31</v>
      </c>
    </row>
    <row r="686" spans="1:14" x14ac:dyDescent="0.3">
      <c r="A686" t="s">
        <v>83</v>
      </c>
      <c r="B686" t="s">
        <v>57</v>
      </c>
      <c r="C686">
        <v>2</v>
      </c>
      <c r="D686">
        <v>48</v>
      </c>
      <c r="E686" t="s">
        <v>30</v>
      </c>
      <c r="G686" s="1">
        <v>45936</v>
      </c>
      <c r="I686" s="1">
        <v>45964</v>
      </c>
      <c r="J686">
        <f t="shared" si="85"/>
        <v>63.617251162500004</v>
      </c>
      <c r="K686">
        <v>5.31</v>
      </c>
      <c r="M686">
        <f t="shared" si="83"/>
        <v>0</v>
      </c>
      <c r="N686">
        <f t="shared" si="84"/>
        <v>-5.31</v>
      </c>
    </row>
    <row r="687" spans="1:14" x14ac:dyDescent="0.3">
      <c r="A687" t="s">
        <v>83</v>
      </c>
      <c r="B687" t="s">
        <v>57</v>
      </c>
      <c r="C687">
        <v>2</v>
      </c>
      <c r="D687">
        <v>48</v>
      </c>
      <c r="E687" t="s">
        <v>31</v>
      </c>
      <c r="G687" s="1">
        <v>45936</v>
      </c>
      <c r="I687" s="1">
        <v>45964</v>
      </c>
      <c r="J687">
        <f t="shared" si="85"/>
        <v>63.617251162500004</v>
      </c>
      <c r="K687">
        <v>5.31</v>
      </c>
      <c r="M687">
        <f t="shared" si="83"/>
        <v>0</v>
      </c>
      <c r="N687">
        <f t="shared" si="84"/>
        <v>-5.31</v>
      </c>
    </row>
    <row r="688" spans="1:14" x14ac:dyDescent="0.3">
      <c r="A688" t="s">
        <v>83</v>
      </c>
      <c r="B688" t="s">
        <v>57</v>
      </c>
      <c r="E688" t="s">
        <v>67</v>
      </c>
      <c r="G688" t="s">
        <v>56</v>
      </c>
      <c r="I688" s="1">
        <v>45964</v>
      </c>
      <c r="J688">
        <f t="shared" si="85"/>
        <v>63.617251162500004</v>
      </c>
      <c r="K688">
        <v>5.31</v>
      </c>
      <c r="M688">
        <f t="shared" si="83"/>
        <v>0</v>
      </c>
      <c r="N688">
        <f t="shared" si="84"/>
        <v>-5.31</v>
      </c>
    </row>
    <row r="689" spans="1:14" x14ac:dyDescent="0.3">
      <c r="A689" t="s">
        <v>83</v>
      </c>
      <c r="B689" t="s">
        <v>57</v>
      </c>
      <c r="E689" t="s">
        <v>68</v>
      </c>
      <c r="G689" t="s">
        <v>56</v>
      </c>
      <c r="I689" s="1">
        <v>45964</v>
      </c>
      <c r="J689">
        <f t="shared" si="85"/>
        <v>63.617251162500004</v>
      </c>
      <c r="K689">
        <v>5.31</v>
      </c>
      <c r="M689">
        <f t="shared" si="83"/>
        <v>0</v>
      </c>
      <c r="N689">
        <f t="shared" si="84"/>
        <v>-5.31</v>
      </c>
    </row>
    <row r="690" spans="1:14" x14ac:dyDescent="0.3">
      <c r="A690" t="s">
        <v>83</v>
      </c>
      <c r="B690" t="s">
        <v>57</v>
      </c>
      <c r="E690" t="s">
        <v>69</v>
      </c>
      <c r="G690" t="s">
        <v>56</v>
      </c>
      <c r="I690" s="1">
        <v>45964</v>
      </c>
      <c r="J690">
        <f t="shared" si="85"/>
        <v>63.617251162500004</v>
      </c>
      <c r="K690">
        <v>5.31</v>
      </c>
      <c r="M690">
        <f t="shared" si="83"/>
        <v>0</v>
      </c>
      <c r="N690">
        <f t="shared" si="84"/>
        <v>-5.31</v>
      </c>
    </row>
    <row r="691" spans="1:14" x14ac:dyDescent="0.3">
      <c r="A691" t="s">
        <v>83</v>
      </c>
      <c r="B691" t="s">
        <v>57</v>
      </c>
      <c r="E691" t="s">
        <v>70</v>
      </c>
      <c r="G691" t="s">
        <v>56</v>
      </c>
      <c r="I691" t="s">
        <v>56</v>
      </c>
      <c r="J691">
        <f t="shared" si="85"/>
        <v>63.617251162500004</v>
      </c>
      <c r="K691">
        <v>5.31</v>
      </c>
      <c r="M691">
        <f t="shared" si="83"/>
        <v>0</v>
      </c>
      <c r="N691">
        <f t="shared" si="84"/>
        <v>-5.31</v>
      </c>
    </row>
    <row r="692" spans="1:14" x14ac:dyDescent="0.3">
      <c r="A692" s="7" t="s">
        <v>168</v>
      </c>
      <c r="B692" t="s">
        <v>61</v>
      </c>
      <c r="C692">
        <v>1</v>
      </c>
      <c r="D692">
        <v>0.5</v>
      </c>
      <c r="E692" t="s">
        <v>28</v>
      </c>
      <c r="G692" s="1">
        <v>45976</v>
      </c>
      <c r="I692" s="1">
        <v>46003</v>
      </c>
      <c r="J692">
        <f t="shared" si="85"/>
        <v>63.617251162500004</v>
      </c>
      <c r="K692">
        <v>5.31</v>
      </c>
      <c r="M692">
        <f t="shared" si="83"/>
        <v>0</v>
      </c>
      <c r="N692">
        <f t="shared" si="84"/>
        <v>-5.31</v>
      </c>
    </row>
    <row r="693" spans="1:14" x14ac:dyDescent="0.3">
      <c r="A693" t="s">
        <v>247</v>
      </c>
      <c r="B693" t="s">
        <v>61</v>
      </c>
      <c r="C693">
        <v>1</v>
      </c>
      <c r="D693">
        <v>0.5</v>
      </c>
      <c r="E693" t="s">
        <v>30</v>
      </c>
      <c r="G693" s="1">
        <v>45976</v>
      </c>
      <c r="I693" s="1">
        <v>46003</v>
      </c>
      <c r="J693">
        <f t="shared" si="85"/>
        <v>63.617251162500004</v>
      </c>
      <c r="K693">
        <v>5.31</v>
      </c>
      <c r="M693">
        <f t="shared" si="83"/>
        <v>0</v>
      </c>
      <c r="N693">
        <f t="shared" si="84"/>
        <v>-5.31</v>
      </c>
    </row>
    <row r="694" spans="1:14" x14ac:dyDescent="0.3">
      <c r="A694" t="s">
        <v>247</v>
      </c>
      <c r="B694" t="s">
        <v>61</v>
      </c>
      <c r="C694">
        <v>1</v>
      </c>
      <c r="D694">
        <v>0.5</v>
      </c>
      <c r="E694" t="s">
        <v>31</v>
      </c>
      <c r="G694" s="1">
        <v>45976</v>
      </c>
      <c r="I694" s="1">
        <v>46003</v>
      </c>
      <c r="J694">
        <f t="shared" si="85"/>
        <v>63.617251162500004</v>
      </c>
      <c r="K694">
        <v>5.31</v>
      </c>
      <c r="M694">
        <f t="shared" si="83"/>
        <v>0</v>
      </c>
      <c r="N694">
        <f t="shared" si="84"/>
        <v>-5.31</v>
      </c>
    </row>
    <row r="695" spans="1:14" x14ac:dyDescent="0.3">
      <c r="A695" t="s">
        <v>247</v>
      </c>
      <c r="B695" t="s">
        <v>61</v>
      </c>
      <c r="C695">
        <v>1</v>
      </c>
      <c r="D695">
        <v>2</v>
      </c>
      <c r="E695" t="s">
        <v>28</v>
      </c>
      <c r="G695" s="1">
        <v>45976</v>
      </c>
      <c r="I695" s="1">
        <v>46003</v>
      </c>
      <c r="J695">
        <f t="shared" si="85"/>
        <v>63.617251162500004</v>
      </c>
      <c r="K695">
        <v>5.31</v>
      </c>
      <c r="M695">
        <f t="shared" si="83"/>
        <v>0</v>
      </c>
      <c r="N695">
        <f t="shared" si="84"/>
        <v>-5.31</v>
      </c>
    </row>
    <row r="696" spans="1:14" x14ac:dyDescent="0.3">
      <c r="A696" t="s">
        <v>247</v>
      </c>
      <c r="B696" t="s">
        <v>61</v>
      </c>
      <c r="C696">
        <v>1</v>
      </c>
      <c r="D696">
        <v>2</v>
      </c>
      <c r="E696" t="s">
        <v>30</v>
      </c>
      <c r="G696" s="1">
        <v>45976</v>
      </c>
      <c r="I696" s="1">
        <v>46003</v>
      </c>
      <c r="J696">
        <f t="shared" si="85"/>
        <v>63.617251162500004</v>
      </c>
      <c r="K696">
        <v>5.31</v>
      </c>
      <c r="M696">
        <f t="shared" si="83"/>
        <v>0</v>
      </c>
      <c r="N696">
        <f t="shared" si="84"/>
        <v>-5.31</v>
      </c>
    </row>
    <row r="697" spans="1:14" x14ac:dyDescent="0.3">
      <c r="A697" t="s">
        <v>247</v>
      </c>
      <c r="B697" t="s">
        <v>61</v>
      </c>
      <c r="C697">
        <v>1</v>
      </c>
      <c r="D697">
        <v>2</v>
      </c>
      <c r="E697" t="s">
        <v>31</v>
      </c>
      <c r="G697" s="1">
        <v>45976</v>
      </c>
      <c r="I697" s="1">
        <v>46003</v>
      </c>
      <c r="J697">
        <f t="shared" si="85"/>
        <v>63.617251162500004</v>
      </c>
      <c r="K697">
        <v>5.31</v>
      </c>
      <c r="M697">
        <f t="shared" si="83"/>
        <v>0</v>
      </c>
      <c r="N697">
        <f t="shared" si="84"/>
        <v>-5.31</v>
      </c>
    </row>
    <row r="698" spans="1:14" x14ac:dyDescent="0.3">
      <c r="A698" t="s">
        <v>247</v>
      </c>
      <c r="B698" t="s">
        <v>61</v>
      </c>
      <c r="C698">
        <v>1</v>
      </c>
      <c r="D698">
        <v>6</v>
      </c>
      <c r="E698" t="s">
        <v>28</v>
      </c>
      <c r="G698" s="1">
        <v>45976</v>
      </c>
      <c r="I698" s="1">
        <v>46003</v>
      </c>
      <c r="J698">
        <f t="shared" si="85"/>
        <v>63.617251162500004</v>
      </c>
      <c r="K698">
        <v>5.31</v>
      </c>
      <c r="M698">
        <f t="shared" si="83"/>
        <v>0</v>
      </c>
      <c r="N698">
        <f t="shared" si="84"/>
        <v>-5.31</v>
      </c>
    </row>
    <row r="699" spans="1:14" x14ac:dyDescent="0.3">
      <c r="A699" t="s">
        <v>247</v>
      </c>
      <c r="B699" t="s">
        <v>61</v>
      </c>
      <c r="C699">
        <v>1</v>
      </c>
      <c r="D699">
        <v>6</v>
      </c>
      <c r="E699" t="s">
        <v>30</v>
      </c>
      <c r="G699" s="1">
        <v>45976</v>
      </c>
      <c r="I699" s="1">
        <v>46003</v>
      </c>
      <c r="J699">
        <f t="shared" si="85"/>
        <v>63.617251162500004</v>
      </c>
      <c r="K699">
        <v>5.31</v>
      </c>
      <c r="M699">
        <f t="shared" si="83"/>
        <v>0</v>
      </c>
      <c r="N699">
        <f t="shared" si="84"/>
        <v>-5.31</v>
      </c>
    </row>
    <row r="700" spans="1:14" x14ac:dyDescent="0.3">
      <c r="A700" t="s">
        <v>247</v>
      </c>
      <c r="B700" t="s">
        <v>61</v>
      </c>
      <c r="C700">
        <v>1</v>
      </c>
      <c r="D700">
        <v>6</v>
      </c>
      <c r="E700" t="s">
        <v>31</v>
      </c>
      <c r="G700" s="1">
        <v>45976</v>
      </c>
      <c r="I700" s="1">
        <v>46003</v>
      </c>
      <c r="J700">
        <f t="shared" si="85"/>
        <v>63.617251162500004</v>
      </c>
      <c r="K700">
        <v>5.31</v>
      </c>
      <c r="M700">
        <f t="shared" si="83"/>
        <v>0</v>
      </c>
      <c r="N700">
        <f t="shared" si="84"/>
        <v>-5.31</v>
      </c>
    </row>
    <row r="701" spans="1:14" x14ac:dyDescent="0.3">
      <c r="A701" t="s">
        <v>247</v>
      </c>
      <c r="B701" t="s">
        <v>61</v>
      </c>
      <c r="C701">
        <v>1</v>
      </c>
      <c r="D701">
        <v>12</v>
      </c>
      <c r="E701" t="s">
        <v>28</v>
      </c>
      <c r="G701" s="1">
        <v>45976</v>
      </c>
      <c r="I701" s="1">
        <v>46003</v>
      </c>
      <c r="J701">
        <f t="shared" si="85"/>
        <v>63.617251162500004</v>
      </c>
      <c r="K701">
        <v>5.31</v>
      </c>
      <c r="M701">
        <f t="shared" si="83"/>
        <v>0</v>
      </c>
      <c r="N701">
        <f t="shared" si="84"/>
        <v>-5.31</v>
      </c>
    </row>
    <row r="702" spans="1:14" x14ac:dyDescent="0.3">
      <c r="A702" t="s">
        <v>247</v>
      </c>
      <c r="B702" t="s">
        <v>61</v>
      </c>
      <c r="C702">
        <v>1</v>
      </c>
      <c r="D702">
        <v>12</v>
      </c>
      <c r="E702" t="s">
        <v>30</v>
      </c>
      <c r="G702" s="1">
        <v>45976</v>
      </c>
      <c r="I702" s="1">
        <v>46003</v>
      </c>
      <c r="J702">
        <f t="shared" si="85"/>
        <v>63.617251162500004</v>
      </c>
      <c r="K702">
        <v>5.31</v>
      </c>
      <c r="M702">
        <f t="shared" si="83"/>
        <v>0</v>
      </c>
      <c r="N702">
        <f t="shared" si="84"/>
        <v>-5.31</v>
      </c>
    </row>
    <row r="703" spans="1:14" x14ac:dyDescent="0.3">
      <c r="A703" t="s">
        <v>247</v>
      </c>
      <c r="B703" t="s">
        <v>61</v>
      </c>
      <c r="C703">
        <v>1</v>
      </c>
      <c r="D703">
        <v>12</v>
      </c>
      <c r="E703" t="s">
        <v>31</v>
      </c>
      <c r="G703" s="1">
        <v>45976</v>
      </c>
      <c r="I703" s="1">
        <v>46003</v>
      </c>
      <c r="J703">
        <f t="shared" si="85"/>
        <v>63.617251162500004</v>
      </c>
      <c r="K703">
        <v>5.31</v>
      </c>
      <c r="M703">
        <f t="shared" si="83"/>
        <v>0</v>
      </c>
      <c r="N703">
        <f t="shared" si="84"/>
        <v>-5.31</v>
      </c>
    </row>
    <row r="704" spans="1:14" x14ac:dyDescent="0.3">
      <c r="A704" t="s">
        <v>247</v>
      </c>
      <c r="B704" t="s">
        <v>61</v>
      </c>
      <c r="C704">
        <v>1</v>
      </c>
      <c r="D704">
        <v>18</v>
      </c>
      <c r="E704" t="s">
        <v>28</v>
      </c>
      <c r="G704" s="1">
        <v>45976</v>
      </c>
      <c r="I704" s="1">
        <v>46003</v>
      </c>
      <c r="J704">
        <f t="shared" si="85"/>
        <v>63.617251162500004</v>
      </c>
      <c r="K704">
        <v>5.31</v>
      </c>
      <c r="M704">
        <f t="shared" si="83"/>
        <v>0</v>
      </c>
      <c r="N704">
        <f t="shared" si="84"/>
        <v>-5.31</v>
      </c>
    </row>
    <row r="705" spans="1:14" x14ac:dyDescent="0.3">
      <c r="A705" t="s">
        <v>247</v>
      </c>
      <c r="B705" t="s">
        <v>61</v>
      </c>
      <c r="C705">
        <v>1</v>
      </c>
      <c r="D705">
        <v>18</v>
      </c>
      <c r="E705" t="s">
        <v>30</v>
      </c>
      <c r="G705" s="1">
        <v>45976</v>
      </c>
      <c r="I705" s="1">
        <v>46003</v>
      </c>
      <c r="J705">
        <f t="shared" si="85"/>
        <v>63.617251162500004</v>
      </c>
      <c r="K705">
        <v>5.31</v>
      </c>
      <c r="M705">
        <f t="shared" si="83"/>
        <v>0</v>
      </c>
      <c r="N705">
        <f t="shared" si="84"/>
        <v>-5.31</v>
      </c>
    </row>
    <row r="706" spans="1:14" x14ac:dyDescent="0.3">
      <c r="A706" t="s">
        <v>247</v>
      </c>
      <c r="B706" t="s">
        <v>61</v>
      </c>
      <c r="C706">
        <v>1</v>
      </c>
      <c r="D706">
        <v>18</v>
      </c>
      <c r="E706" t="s">
        <v>62</v>
      </c>
      <c r="G706" s="1">
        <v>45976</v>
      </c>
      <c r="I706" s="1">
        <v>46003</v>
      </c>
      <c r="J706">
        <f t="shared" si="85"/>
        <v>63.617251162500004</v>
      </c>
      <c r="K706">
        <v>5.31</v>
      </c>
      <c r="M706">
        <f t="shared" si="83"/>
        <v>0</v>
      </c>
      <c r="N706">
        <f t="shared" si="84"/>
        <v>-5.31</v>
      </c>
    </row>
    <row r="707" spans="1:14" x14ac:dyDescent="0.3">
      <c r="A707" t="s">
        <v>247</v>
      </c>
      <c r="B707" t="s">
        <v>61</v>
      </c>
      <c r="C707">
        <v>1</v>
      </c>
      <c r="D707">
        <v>24</v>
      </c>
      <c r="E707" t="s">
        <v>28</v>
      </c>
      <c r="G707" s="1">
        <v>45976</v>
      </c>
      <c r="I707" s="1">
        <v>46003</v>
      </c>
      <c r="J707">
        <f t="shared" si="85"/>
        <v>63.617251162500004</v>
      </c>
      <c r="K707">
        <v>5.31</v>
      </c>
      <c r="M707">
        <f t="shared" si="83"/>
        <v>0</v>
      </c>
      <c r="N707">
        <f t="shared" si="84"/>
        <v>-5.31</v>
      </c>
    </row>
    <row r="708" spans="1:14" x14ac:dyDescent="0.3">
      <c r="A708" t="s">
        <v>247</v>
      </c>
      <c r="B708" t="s">
        <v>61</v>
      </c>
      <c r="C708">
        <v>1</v>
      </c>
      <c r="D708">
        <v>24</v>
      </c>
      <c r="E708" t="s">
        <v>30</v>
      </c>
      <c r="G708" s="1">
        <v>45976</v>
      </c>
      <c r="I708" s="1">
        <v>46003</v>
      </c>
      <c r="J708">
        <f t="shared" si="85"/>
        <v>63.617251162500004</v>
      </c>
      <c r="K708">
        <v>5.31</v>
      </c>
      <c r="M708">
        <f t="shared" ref="M708:M771" si="86">L708*F708</f>
        <v>0</v>
      </c>
      <c r="N708">
        <f t="shared" si="84"/>
        <v>-5.31</v>
      </c>
    </row>
    <row r="709" spans="1:14" x14ac:dyDescent="0.3">
      <c r="A709" t="s">
        <v>247</v>
      </c>
      <c r="B709" t="s">
        <v>61</v>
      </c>
      <c r="C709">
        <v>1</v>
      </c>
      <c r="D709">
        <v>24</v>
      </c>
      <c r="E709" t="s">
        <v>31</v>
      </c>
      <c r="G709" s="1">
        <v>45976</v>
      </c>
      <c r="I709" s="1">
        <v>46003</v>
      </c>
      <c r="J709">
        <f t="shared" si="85"/>
        <v>63.617251162500004</v>
      </c>
      <c r="K709">
        <v>5.31</v>
      </c>
      <c r="M709">
        <f t="shared" si="86"/>
        <v>0</v>
      </c>
      <c r="N709">
        <f t="shared" si="84"/>
        <v>-5.31</v>
      </c>
    </row>
    <row r="710" spans="1:14" x14ac:dyDescent="0.3">
      <c r="A710" t="s">
        <v>247</v>
      </c>
      <c r="B710" t="s">
        <v>61</v>
      </c>
      <c r="C710">
        <v>1</v>
      </c>
      <c r="D710">
        <v>48</v>
      </c>
      <c r="E710" t="s">
        <v>28</v>
      </c>
      <c r="G710" s="1">
        <v>45976</v>
      </c>
      <c r="I710" s="1">
        <v>46003</v>
      </c>
      <c r="J710">
        <f t="shared" si="85"/>
        <v>63.617251162500004</v>
      </c>
      <c r="K710">
        <v>5.31</v>
      </c>
      <c r="M710">
        <f t="shared" si="86"/>
        <v>0</v>
      </c>
      <c r="N710">
        <f t="shared" si="84"/>
        <v>-5.31</v>
      </c>
    </row>
    <row r="711" spans="1:14" x14ac:dyDescent="0.3">
      <c r="A711" t="s">
        <v>247</v>
      </c>
      <c r="B711" t="s">
        <v>61</v>
      </c>
      <c r="C711">
        <v>1</v>
      </c>
      <c r="D711">
        <v>48</v>
      </c>
      <c r="E711" t="s">
        <v>30</v>
      </c>
      <c r="G711" s="1">
        <v>45976</v>
      </c>
      <c r="I711" s="1">
        <v>46003</v>
      </c>
      <c r="J711">
        <f t="shared" si="85"/>
        <v>63.617251162500004</v>
      </c>
      <c r="K711">
        <v>5.31</v>
      </c>
      <c r="M711">
        <f t="shared" si="86"/>
        <v>0</v>
      </c>
      <c r="N711">
        <f t="shared" si="84"/>
        <v>-5.31</v>
      </c>
    </row>
    <row r="712" spans="1:14" x14ac:dyDescent="0.3">
      <c r="A712" t="s">
        <v>247</v>
      </c>
      <c r="B712" t="s">
        <v>61</v>
      </c>
      <c r="C712">
        <v>1</v>
      </c>
      <c r="D712">
        <v>48</v>
      </c>
      <c r="E712" t="s">
        <v>31</v>
      </c>
      <c r="G712" s="1">
        <v>45976</v>
      </c>
      <c r="I712" s="1">
        <v>46003</v>
      </c>
      <c r="J712">
        <f t="shared" si="85"/>
        <v>63.617251162500004</v>
      </c>
      <c r="K712">
        <v>5.31</v>
      </c>
      <c r="M712">
        <f t="shared" si="86"/>
        <v>0</v>
      </c>
      <c r="N712">
        <f t="shared" si="84"/>
        <v>-5.31</v>
      </c>
    </row>
    <row r="713" spans="1:14" x14ac:dyDescent="0.3">
      <c r="A713" t="s">
        <v>247</v>
      </c>
      <c r="B713" t="s">
        <v>61</v>
      </c>
      <c r="C713">
        <v>2</v>
      </c>
      <c r="D713">
        <v>0.5</v>
      </c>
      <c r="E713" t="s">
        <v>28</v>
      </c>
      <c r="G713" s="1">
        <v>45976</v>
      </c>
      <c r="I713" s="1">
        <v>46003</v>
      </c>
      <c r="J713">
        <f t="shared" si="85"/>
        <v>63.617251162500004</v>
      </c>
      <c r="K713">
        <v>5.31</v>
      </c>
      <c r="M713">
        <f t="shared" si="86"/>
        <v>0</v>
      </c>
      <c r="N713">
        <f t="shared" si="84"/>
        <v>-5.31</v>
      </c>
    </row>
    <row r="714" spans="1:14" x14ac:dyDescent="0.3">
      <c r="A714" t="s">
        <v>247</v>
      </c>
      <c r="B714" t="s">
        <v>61</v>
      </c>
      <c r="C714">
        <v>2</v>
      </c>
      <c r="D714">
        <v>0.5</v>
      </c>
      <c r="E714" t="s">
        <v>30</v>
      </c>
      <c r="G714" s="1">
        <v>45976</v>
      </c>
      <c r="I714" s="1">
        <v>46003</v>
      </c>
      <c r="J714">
        <f t="shared" si="85"/>
        <v>63.617251162500004</v>
      </c>
      <c r="K714">
        <v>5.31</v>
      </c>
      <c r="M714">
        <f t="shared" si="86"/>
        <v>0</v>
      </c>
      <c r="N714">
        <f t="shared" si="84"/>
        <v>-5.31</v>
      </c>
    </row>
    <row r="715" spans="1:14" x14ac:dyDescent="0.3">
      <c r="A715" t="s">
        <v>247</v>
      </c>
      <c r="B715" t="s">
        <v>61</v>
      </c>
      <c r="C715">
        <v>2</v>
      </c>
      <c r="D715">
        <v>0.5</v>
      </c>
      <c r="E715" t="s">
        <v>31</v>
      </c>
      <c r="G715" s="1">
        <v>45976</v>
      </c>
      <c r="I715" s="1">
        <v>46003</v>
      </c>
      <c r="J715">
        <f t="shared" si="85"/>
        <v>63.617251162500004</v>
      </c>
      <c r="K715">
        <v>5.31</v>
      </c>
      <c r="M715">
        <f t="shared" si="86"/>
        <v>0</v>
      </c>
      <c r="N715">
        <f t="shared" si="84"/>
        <v>-5.31</v>
      </c>
    </row>
    <row r="716" spans="1:14" x14ac:dyDescent="0.3">
      <c r="A716" t="s">
        <v>247</v>
      </c>
      <c r="B716" t="s">
        <v>61</v>
      </c>
      <c r="C716">
        <v>2</v>
      </c>
      <c r="D716">
        <v>2</v>
      </c>
      <c r="E716" t="s">
        <v>28</v>
      </c>
      <c r="G716" s="1">
        <v>45976</v>
      </c>
      <c r="I716" s="1">
        <v>46003</v>
      </c>
      <c r="J716">
        <f t="shared" si="85"/>
        <v>63.617251162500004</v>
      </c>
      <c r="K716">
        <v>5.31</v>
      </c>
      <c r="M716">
        <f t="shared" si="86"/>
        <v>0</v>
      </c>
      <c r="N716">
        <f t="shared" si="84"/>
        <v>-5.31</v>
      </c>
    </row>
    <row r="717" spans="1:14" x14ac:dyDescent="0.3">
      <c r="A717" t="s">
        <v>247</v>
      </c>
      <c r="B717" t="s">
        <v>61</v>
      </c>
      <c r="C717">
        <v>2</v>
      </c>
      <c r="D717">
        <v>2</v>
      </c>
      <c r="E717" t="s">
        <v>30</v>
      </c>
      <c r="G717" s="1">
        <v>45976</v>
      </c>
      <c r="I717" s="1">
        <v>46003</v>
      </c>
      <c r="J717">
        <f t="shared" si="85"/>
        <v>63.617251162500004</v>
      </c>
      <c r="K717">
        <v>5.31</v>
      </c>
      <c r="M717">
        <f t="shared" si="86"/>
        <v>0</v>
      </c>
      <c r="N717">
        <f t="shared" si="84"/>
        <v>-5.31</v>
      </c>
    </row>
    <row r="718" spans="1:14" x14ac:dyDescent="0.3">
      <c r="A718" t="s">
        <v>247</v>
      </c>
      <c r="B718" t="s">
        <v>61</v>
      </c>
      <c r="C718">
        <v>2</v>
      </c>
      <c r="D718">
        <v>2</v>
      </c>
      <c r="E718" t="s">
        <v>31</v>
      </c>
      <c r="G718" s="1">
        <v>45976</v>
      </c>
      <c r="I718" s="1">
        <v>46003</v>
      </c>
      <c r="J718">
        <f t="shared" si="85"/>
        <v>63.617251162500004</v>
      </c>
      <c r="K718">
        <v>5.31</v>
      </c>
      <c r="M718">
        <f t="shared" si="86"/>
        <v>0</v>
      </c>
      <c r="N718">
        <f t="shared" si="84"/>
        <v>-5.31</v>
      </c>
    </row>
    <row r="719" spans="1:14" x14ac:dyDescent="0.3">
      <c r="A719" t="s">
        <v>247</v>
      </c>
      <c r="B719" t="s">
        <v>61</v>
      </c>
      <c r="C719">
        <v>2</v>
      </c>
      <c r="D719">
        <v>6</v>
      </c>
      <c r="E719" t="s">
        <v>28</v>
      </c>
      <c r="G719" s="1">
        <v>45976</v>
      </c>
      <c r="I719" s="1">
        <v>46003</v>
      </c>
      <c r="J719">
        <f t="shared" si="85"/>
        <v>63.617251162500004</v>
      </c>
      <c r="K719">
        <v>5.31</v>
      </c>
      <c r="M719">
        <f t="shared" si="86"/>
        <v>0</v>
      </c>
      <c r="N719">
        <f t="shared" si="84"/>
        <v>-5.31</v>
      </c>
    </row>
    <row r="720" spans="1:14" x14ac:dyDescent="0.3">
      <c r="A720" t="s">
        <v>247</v>
      </c>
      <c r="B720" t="s">
        <v>61</v>
      </c>
      <c r="C720">
        <v>2</v>
      </c>
      <c r="D720">
        <v>6</v>
      </c>
      <c r="E720" t="s">
        <v>30</v>
      </c>
      <c r="G720" s="1">
        <v>45976</v>
      </c>
      <c r="I720" s="1">
        <v>46003</v>
      </c>
      <c r="J720">
        <f t="shared" si="85"/>
        <v>63.617251162500004</v>
      </c>
      <c r="K720">
        <v>5.31</v>
      </c>
      <c r="M720">
        <f t="shared" si="86"/>
        <v>0</v>
      </c>
      <c r="N720">
        <f t="shared" si="84"/>
        <v>-5.31</v>
      </c>
    </row>
    <row r="721" spans="1:14" x14ac:dyDescent="0.3">
      <c r="A721" t="s">
        <v>247</v>
      </c>
      <c r="B721" t="s">
        <v>61</v>
      </c>
      <c r="C721">
        <v>2</v>
      </c>
      <c r="D721">
        <v>6</v>
      </c>
      <c r="E721" t="s">
        <v>31</v>
      </c>
      <c r="G721" s="1">
        <v>45976</v>
      </c>
      <c r="I721" s="1">
        <v>46003</v>
      </c>
      <c r="J721">
        <f t="shared" si="85"/>
        <v>63.617251162500004</v>
      </c>
      <c r="K721">
        <v>5.31</v>
      </c>
      <c r="M721">
        <f t="shared" si="86"/>
        <v>0</v>
      </c>
      <c r="N721">
        <f t="shared" si="84"/>
        <v>-5.31</v>
      </c>
    </row>
    <row r="722" spans="1:14" x14ac:dyDescent="0.3">
      <c r="A722" t="s">
        <v>247</v>
      </c>
      <c r="B722" t="s">
        <v>61</v>
      </c>
      <c r="C722">
        <v>2</v>
      </c>
      <c r="D722">
        <v>12</v>
      </c>
      <c r="E722" t="s">
        <v>28</v>
      </c>
      <c r="G722" s="1">
        <v>45976</v>
      </c>
      <c r="I722" s="1">
        <v>46003</v>
      </c>
      <c r="J722">
        <f t="shared" si="85"/>
        <v>63.617251162500004</v>
      </c>
      <c r="K722">
        <v>5.31</v>
      </c>
      <c r="M722">
        <f t="shared" si="86"/>
        <v>0</v>
      </c>
      <c r="N722">
        <f t="shared" si="84"/>
        <v>-5.31</v>
      </c>
    </row>
    <row r="723" spans="1:14" x14ac:dyDescent="0.3">
      <c r="A723" t="s">
        <v>247</v>
      </c>
      <c r="B723" t="s">
        <v>61</v>
      </c>
      <c r="C723">
        <v>2</v>
      </c>
      <c r="D723">
        <v>12</v>
      </c>
      <c r="E723" t="s">
        <v>30</v>
      </c>
      <c r="G723" s="1">
        <v>45976</v>
      </c>
      <c r="I723" s="1">
        <v>46003</v>
      </c>
      <c r="J723">
        <f t="shared" si="85"/>
        <v>63.617251162500004</v>
      </c>
      <c r="K723">
        <v>5.31</v>
      </c>
      <c r="M723">
        <f t="shared" si="86"/>
        <v>0</v>
      </c>
      <c r="N723">
        <f t="shared" si="84"/>
        <v>-5.31</v>
      </c>
    </row>
    <row r="724" spans="1:14" x14ac:dyDescent="0.3">
      <c r="A724" t="s">
        <v>247</v>
      </c>
      <c r="B724" t="s">
        <v>61</v>
      </c>
      <c r="C724">
        <v>2</v>
      </c>
      <c r="D724">
        <v>12</v>
      </c>
      <c r="E724" t="s">
        <v>31</v>
      </c>
      <c r="G724" s="1">
        <v>45976</v>
      </c>
      <c r="I724" s="1">
        <v>46003</v>
      </c>
      <c r="J724">
        <f t="shared" si="85"/>
        <v>63.617251162500004</v>
      </c>
      <c r="K724">
        <v>5.31</v>
      </c>
      <c r="M724">
        <f t="shared" si="86"/>
        <v>0</v>
      </c>
      <c r="N724">
        <f t="shared" si="84"/>
        <v>-5.31</v>
      </c>
    </row>
    <row r="725" spans="1:14" x14ac:dyDescent="0.3">
      <c r="A725" t="s">
        <v>247</v>
      </c>
      <c r="B725" t="s">
        <v>61</v>
      </c>
      <c r="C725">
        <v>2</v>
      </c>
      <c r="D725">
        <v>18</v>
      </c>
      <c r="E725" t="s">
        <v>64</v>
      </c>
      <c r="G725" s="1">
        <v>45976</v>
      </c>
      <c r="I725" s="1">
        <v>46003</v>
      </c>
      <c r="J725">
        <f t="shared" si="85"/>
        <v>63.617251162500004</v>
      </c>
      <c r="K725">
        <v>5.31</v>
      </c>
      <c r="M725">
        <f t="shared" si="86"/>
        <v>0</v>
      </c>
      <c r="N725">
        <f t="shared" si="84"/>
        <v>-5.31</v>
      </c>
    </row>
    <row r="726" spans="1:14" x14ac:dyDescent="0.3">
      <c r="A726" t="s">
        <v>247</v>
      </c>
      <c r="B726" t="s">
        <v>61</v>
      </c>
      <c r="C726">
        <v>2</v>
      </c>
      <c r="D726">
        <v>18</v>
      </c>
      <c r="E726" t="s">
        <v>30</v>
      </c>
      <c r="G726" s="1">
        <v>45976</v>
      </c>
      <c r="I726" s="1">
        <v>46003</v>
      </c>
      <c r="J726">
        <f t="shared" si="85"/>
        <v>63.617251162500004</v>
      </c>
      <c r="K726">
        <v>5.31</v>
      </c>
      <c r="M726">
        <f t="shared" si="86"/>
        <v>0</v>
      </c>
      <c r="N726">
        <f t="shared" si="84"/>
        <v>-5.31</v>
      </c>
    </row>
    <row r="727" spans="1:14" x14ac:dyDescent="0.3">
      <c r="A727" t="s">
        <v>247</v>
      </c>
      <c r="B727" t="s">
        <v>61</v>
      </c>
      <c r="C727">
        <v>2</v>
      </c>
      <c r="D727">
        <v>18</v>
      </c>
      <c r="E727" t="s">
        <v>31</v>
      </c>
      <c r="G727" s="1">
        <v>45976</v>
      </c>
      <c r="I727" s="1">
        <v>46003</v>
      </c>
      <c r="J727">
        <f t="shared" si="85"/>
        <v>63.617251162500004</v>
      </c>
      <c r="K727">
        <v>5.31</v>
      </c>
      <c r="M727">
        <f t="shared" si="86"/>
        <v>0</v>
      </c>
      <c r="N727">
        <f t="shared" ref="N727:N790" si="87">L727*J727-K727</f>
        <v>-5.31</v>
      </c>
    </row>
    <row r="728" spans="1:14" x14ac:dyDescent="0.3">
      <c r="A728" t="s">
        <v>247</v>
      </c>
      <c r="B728" t="s">
        <v>61</v>
      </c>
      <c r="C728">
        <v>2</v>
      </c>
      <c r="D728">
        <v>24</v>
      </c>
      <c r="E728" t="s">
        <v>28</v>
      </c>
      <c r="G728" s="1">
        <v>45976</v>
      </c>
      <c r="I728" s="1">
        <v>46003</v>
      </c>
      <c r="J728">
        <f t="shared" si="85"/>
        <v>63.617251162500004</v>
      </c>
      <c r="K728">
        <v>5.31</v>
      </c>
      <c r="M728">
        <f t="shared" si="86"/>
        <v>0</v>
      </c>
      <c r="N728">
        <f t="shared" si="87"/>
        <v>-5.31</v>
      </c>
    </row>
    <row r="729" spans="1:14" x14ac:dyDescent="0.3">
      <c r="A729" t="s">
        <v>247</v>
      </c>
      <c r="B729" t="s">
        <v>61</v>
      </c>
      <c r="C729">
        <v>2</v>
      </c>
      <c r="D729">
        <v>24</v>
      </c>
      <c r="E729" t="s">
        <v>30</v>
      </c>
      <c r="G729" s="1">
        <v>45976</v>
      </c>
      <c r="I729" s="1">
        <v>46003</v>
      </c>
      <c r="J729">
        <f t="shared" si="85"/>
        <v>63.617251162500004</v>
      </c>
      <c r="K729">
        <v>5.31</v>
      </c>
      <c r="M729">
        <f t="shared" si="86"/>
        <v>0</v>
      </c>
      <c r="N729">
        <f t="shared" ref="N729:N792" si="88">(L729*J729)-K729</f>
        <v>-5.31</v>
      </c>
    </row>
    <row r="730" spans="1:14" x14ac:dyDescent="0.3">
      <c r="A730" t="s">
        <v>247</v>
      </c>
      <c r="B730" t="s">
        <v>61</v>
      </c>
      <c r="C730">
        <v>2</v>
      </c>
      <c r="D730">
        <v>24</v>
      </c>
      <c r="E730" t="s">
        <v>31</v>
      </c>
      <c r="G730" s="1">
        <v>45976</v>
      </c>
      <c r="I730" s="1">
        <v>46003</v>
      </c>
      <c r="J730">
        <f t="shared" si="85"/>
        <v>63.617251162500004</v>
      </c>
      <c r="K730">
        <v>5.31</v>
      </c>
      <c r="M730">
        <f t="shared" si="86"/>
        <v>0</v>
      </c>
      <c r="N730">
        <f t="shared" si="88"/>
        <v>-5.31</v>
      </c>
    </row>
    <row r="731" spans="1:14" x14ac:dyDescent="0.3">
      <c r="A731" t="s">
        <v>247</v>
      </c>
      <c r="B731" t="s">
        <v>61</v>
      </c>
      <c r="C731">
        <v>2</v>
      </c>
      <c r="D731">
        <v>48</v>
      </c>
      <c r="E731" t="s">
        <v>28</v>
      </c>
      <c r="G731" s="1">
        <v>45976</v>
      </c>
      <c r="I731" s="1">
        <v>46003</v>
      </c>
      <c r="J731">
        <f t="shared" si="85"/>
        <v>63.617251162500004</v>
      </c>
      <c r="K731">
        <v>5.31</v>
      </c>
      <c r="M731">
        <f t="shared" si="86"/>
        <v>0</v>
      </c>
      <c r="N731">
        <f t="shared" si="88"/>
        <v>-5.31</v>
      </c>
    </row>
    <row r="732" spans="1:14" x14ac:dyDescent="0.3">
      <c r="A732" t="s">
        <v>247</v>
      </c>
      <c r="B732" t="s">
        <v>61</v>
      </c>
      <c r="C732">
        <v>2</v>
      </c>
      <c r="D732">
        <v>48</v>
      </c>
      <c r="E732" t="s">
        <v>30</v>
      </c>
      <c r="G732" s="1">
        <v>45976</v>
      </c>
      <c r="I732" s="1">
        <v>46003</v>
      </c>
      <c r="J732">
        <f t="shared" si="85"/>
        <v>63.617251162500004</v>
      </c>
      <c r="K732">
        <v>5.31</v>
      </c>
      <c r="M732">
        <f t="shared" si="86"/>
        <v>0</v>
      </c>
      <c r="N732">
        <f t="shared" si="88"/>
        <v>-5.31</v>
      </c>
    </row>
    <row r="733" spans="1:14" x14ac:dyDescent="0.3">
      <c r="A733" t="s">
        <v>247</v>
      </c>
      <c r="B733" t="s">
        <v>61</v>
      </c>
      <c r="C733">
        <v>2</v>
      </c>
      <c r="D733">
        <v>48</v>
      </c>
      <c r="E733" t="s">
        <v>31</v>
      </c>
      <c r="G733" s="1">
        <v>45976</v>
      </c>
      <c r="I733" s="1">
        <v>46003</v>
      </c>
      <c r="J733">
        <f t="shared" si="85"/>
        <v>63.617251162500004</v>
      </c>
      <c r="K733">
        <v>5.31</v>
      </c>
      <c r="M733">
        <f t="shared" si="86"/>
        <v>0</v>
      </c>
      <c r="N733">
        <f t="shared" si="88"/>
        <v>-5.31</v>
      </c>
    </row>
    <row r="734" spans="1:14" x14ac:dyDescent="0.3">
      <c r="A734" t="s">
        <v>247</v>
      </c>
      <c r="B734" t="s">
        <v>61</v>
      </c>
      <c r="E734" t="s">
        <v>36</v>
      </c>
      <c r="J734">
        <f t="shared" si="85"/>
        <v>63.617251162500004</v>
      </c>
      <c r="K734">
        <v>5.31</v>
      </c>
      <c r="M734">
        <f t="shared" si="86"/>
        <v>0</v>
      </c>
      <c r="N734">
        <f t="shared" si="88"/>
        <v>-5.31</v>
      </c>
    </row>
    <row r="735" spans="1:14" x14ac:dyDescent="0.3">
      <c r="A735" t="s">
        <v>247</v>
      </c>
      <c r="B735" t="s">
        <v>61</v>
      </c>
      <c r="E735" t="s">
        <v>39</v>
      </c>
      <c r="J735">
        <f t="shared" si="85"/>
        <v>63.617251162500004</v>
      </c>
      <c r="K735">
        <v>5.31</v>
      </c>
      <c r="M735">
        <f t="shared" si="86"/>
        <v>0</v>
      </c>
      <c r="N735">
        <f t="shared" si="88"/>
        <v>-5.31</v>
      </c>
    </row>
    <row r="736" spans="1:14" x14ac:dyDescent="0.3">
      <c r="A736" t="s">
        <v>247</v>
      </c>
      <c r="B736" t="s">
        <v>61</v>
      </c>
      <c r="E736" t="s">
        <v>41</v>
      </c>
      <c r="J736">
        <f t="shared" si="85"/>
        <v>63.617251162500004</v>
      </c>
      <c r="K736">
        <v>5.31</v>
      </c>
      <c r="M736">
        <f t="shared" si="86"/>
        <v>0</v>
      </c>
      <c r="N736">
        <f t="shared" si="88"/>
        <v>-5.31</v>
      </c>
    </row>
    <row r="737" spans="1:29" x14ac:dyDescent="0.3">
      <c r="A737" t="s">
        <v>247</v>
      </c>
      <c r="B737" t="s">
        <v>61</v>
      </c>
      <c r="E737" t="s">
        <v>43</v>
      </c>
      <c r="J737">
        <f t="shared" si="85"/>
        <v>63.617251162500004</v>
      </c>
      <c r="K737">
        <v>5.31</v>
      </c>
      <c r="M737">
        <f t="shared" si="86"/>
        <v>0</v>
      </c>
      <c r="N737">
        <f t="shared" si="88"/>
        <v>-5.31</v>
      </c>
    </row>
    <row r="738" spans="1:29" x14ac:dyDescent="0.3">
      <c r="A738" t="s">
        <v>247</v>
      </c>
      <c r="B738" t="s">
        <v>51</v>
      </c>
      <c r="C738">
        <v>1</v>
      </c>
      <c r="D738">
        <v>0.5</v>
      </c>
      <c r="E738" t="s">
        <v>64</v>
      </c>
      <c r="G738" s="1">
        <v>45965</v>
      </c>
      <c r="I738" s="1">
        <v>46002</v>
      </c>
      <c r="J738">
        <f t="shared" si="85"/>
        <v>63.617251162500004</v>
      </c>
      <c r="K738">
        <v>5.31</v>
      </c>
      <c r="M738">
        <f t="shared" si="86"/>
        <v>0</v>
      </c>
      <c r="N738">
        <f t="shared" si="88"/>
        <v>-5.31</v>
      </c>
      <c r="AC738" t="s">
        <v>246</v>
      </c>
    </row>
    <row r="739" spans="1:29" x14ac:dyDescent="0.3">
      <c r="A739" t="s">
        <v>247</v>
      </c>
      <c r="B739" t="s">
        <v>51</v>
      </c>
      <c r="C739">
        <v>1</v>
      </c>
      <c r="D739">
        <v>0.5</v>
      </c>
      <c r="E739" t="s">
        <v>30</v>
      </c>
      <c r="G739" s="1">
        <v>45965</v>
      </c>
      <c r="I739" s="1">
        <v>46002</v>
      </c>
      <c r="J739">
        <f t="shared" si="85"/>
        <v>63.617251162500004</v>
      </c>
      <c r="K739">
        <v>5.31</v>
      </c>
      <c r="M739">
        <f t="shared" si="86"/>
        <v>0</v>
      </c>
      <c r="N739">
        <f t="shared" si="88"/>
        <v>-5.31</v>
      </c>
    </row>
    <row r="740" spans="1:29" x14ac:dyDescent="0.3">
      <c r="A740" t="s">
        <v>247</v>
      </c>
      <c r="B740" t="s">
        <v>51</v>
      </c>
      <c r="C740">
        <v>1</v>
      </c>
      <c r="D740">
        <v>0.5</v>
      </c>
      <c r="E740" t="s">
        <v>31</v>
      </c>
      <c r="G740" s="1">
        <v>45965</v>
      </c>
      <c r="I740" s="1">
        <v>46002</v>
      </c>
      <c r="J740">
        <f t="shared" si="85"/>
        <v>63.617251162500004</v>
      </c>
      <c r="K740">
        <v>5.31</v>
      </c>
      <c r="M740">
        <f t="shared" si="86"/>
        <v>0</v>
      </c>
      <c r="N740">
        <f t="shared" si="88"/>
        <v>-5.31</v>
      </c>
    </row>
    <row r="741" spans="1:29" x14ac:dyDescent="0.3">
      <c r="A741" t="s">
        <v>247</v>
      </c>
      <c r="B741" s="7" t="s">
        <v>51</v>
      </c>
      <c r="C741" s="7">
        <v>1</v>
      </c>
      <c r="D741" s="7">
        <v>2</v>
      </c>
      <c r="E741" s="7" t="s">
        <v>64</v>
      </c>
      <c r="G741" s="1">
        <v>45965</v>
      </c>
      <c r="I741" s="1">
        <v>46002</v>
      </c>
      <c r="J741">
        <f t="shared" si="85"/>
        <v>63.617251162500004</v>
      </c>
      <c r="K741">
        <v>5.31</v>
      </c>
      <c r="M741">
        <f t="shared" si="86"/>
        <v>0</v>
      </c>
      <c r="N741">
        <f t="shared" si="88"/>
        <v>-5.31</v>
      </c>
    </row>
    <row r="742" spans="1:29" x14ac:dyDescent="0.3">
      <c r="A742" t="s">
        <v>247</v>
      </c>
      <c r="B742" s="7" t="s">
        <v>51</v>
      </c>
      <c r="C742" s="7">
        <v>1</v>
      </c>
      <c r="D742" s="7">
        <v>2</v>
      </c>
      <c r="E742" s="7" t="s">
        <v>30</v>
      </c>
      <c r="G742" s="1">
        <v>45965</v>
      </c>
      <c r="I742" s="1">
        <v>46002</v>
      </c>
      <c r="J742">
        <f t="shared" si="85"/>
        <v>63.617251162500004</v>
      </c>
      <c r="K742">
        <v>5.31</v>
      </c>
      <c r="M742">
        <f t="shared" si="86"/>
        <v>0</v>
      </c>
      <c r="N742">
        <f t="shared" si="88"/>
        <v>-5.31</v>
      </c>
    </row>
    <row r="743" spans="1:29" x14ac:dyDescent="0.3">
      <c r="A743" t="s">
        <v>247</v>
      </c>
      <c r="B743" s="7" t="s">
        <v>51</v>
      </c>
      <c r="C743" s="7">
        <v>1</v>
      </c>
      <c r="D743" s="7">
        <v>2</v>
      </c>
      <c r="E743" s="7" t="s">
        <v>31</v>
      </c>
      <c r="G743" s="1">
        <v>45965</v>
      </c>
      <c r="I743" s="1">
        <v>46002</v>
      </c>
      <c r="J743">
        <f t="shared" si="85"/>
        <v>63.617251162500004</v>
      </c>
      <c r="K743">
        <v>5.31</v>
      </c>
      <c r="M743">
        <f t="shared" si="86"/>
        <v>0</v>
      </c>
      <c r="N743">
        <f t="shared" si="88"/>
        <v>-5.31</v>
      </c>
    </row>
    <row r="744" spans="1:29" x14ac:dyDescent="0.3">
      <c r="A744" t="s">
        <v>247</v>
      </c>
      <c r="B744" s="7" t="s">
        <v>51</v>
      </c>
      <c r="C744" s="7">
        <v>1</v>
      </c>
      <c r="D744" s="7">
        <v>6</v>
      </c>
      <c r="E744" s="7" t="s">
        <v>64</v>
      </c>
      <c r="G744" s="1">
        <v>45965</v>
      </c>
      <c r="I744" s="1">
        <v>46002</v>
      </c>
      <c r="J744">
        <f t="shared" si="85"/>
        <v>63.617251162500004</v>
      </c>
      <c r="K744">
        <v>5.31</v>
      </c>
      <c r="M744">
        <f t="shared" si="86"/>
        <v>0</v>
      </c>
      <c r="N744">
        <f t="shared" si="88"/>
        <v>-5.31</v>
      </c>
    </row>
    <row r="745" spans="1:29" x14ac:dyDescent="0.3">
      <c r="A745" t="s">
        <v>247</v>
      </c>
      <c r="B745" s="7" t="s">
        <v>51</v>
      </c>
      <c r="C745" s="7">
        <v>1</v>
      </c>
      <c r="D745" s="7">
        <v>6</v>
      </c>
      <c r="E745" s="7" t="s">
        <v>30</v>
      </c>
      <c r="G745" s="1">
        <v>45965</v>
      </c>
      <c r="I745" s="1">
        <v>46002</v>
      </c>
      <c r="J745">
        <f t="shared" si="85"/>
        <v>63.617251162500004</v>
      </c>
      <c r="K745">
        <v>5.31</v>
      </c>
      <c r="M745">
        <f t="shared" si="86"/>
        <v>0</v>
      </c>
      <c r="N745">
        <f t="shared" si="88"/>
        <v>-5.31</v>
      </c>
    </row>
    <row r="746" spans="1:29" x14ac:dyDescent="0.3">
      <c r="A746" t="s">
        <v>247</v>
      </c>
      <c r="B746" s="7" t="s">
        <v>51</v>
      </c>
      <c r="C746" s="7">
        <v>1</v>
      </c>
      <c r="D746" s="7">
        <v>6</v>
      </c>
      <c r="E746" s="7" t="s">
        <v>31</v>
      </c>
      <c r="G746" s="1">
        <v>45965</v>
      </c>
      <c r="I746" s="1">
        <v>46002</v>
      </c>
      <c r="J746">
        <f t="shared" si="85"/>
        <v>63.617251162500004</v>
      </c>
      <c r="K746">
        <v>5.31</v>
      </c>
      <c r="M746">
        <f t="shared" si="86"/>
        <v>0</v>
      </c>
      <c r="N746">
        <f t="shared" si="88"/>
        <v>-5.31</v>
      </c>
    </row>
    <row r="747" spans="1:29" x14ac:dyDescent="0.3">
      <c r="A747" t="s">
        <v>247</v>
      </c>
      <c r="B747" t="s">
        <v>51</v>
      </c>
      <c r="C747">
        <v>1</v>
      </c>
      <c r="D747">
        <v>12</v>
      </c>
      <c r="E747" t="s">
        <v>64</v>
      </c>
      <c r="G747" s="1">
        <v>45965</v>
      </c>
      <c r="I747" s="1">
        <v>46002</v>
      </c>
      <c r="J747">
        <f t="shared" si="85"/>
        <v>63.617251162500004</v>
      </c>
      <c r="K747">
        <v>5.31</v>
      </c>
      <c r="M747">
        <f t="shared" si="86"/>
        <v>0</v>
      </c>
      <c r="N747">
        <f t="shared" si="88"/>
        <v>-5.31</v>
      </c>
    </row>
    <row r="748" spans="1:29" x14ac:dyDescent="0.3">
      <c r="A748" t="s">
        <v>247</v>
      </c>
      <c r="B748" t="s">
        <v>51</v>
      </c>
      <c r="C748">
        <v>1</v>
      </c>
      <c r="D748">
        <v>12</v>
      </c>
      <c r="E748" t="s">
        <v>30</v>
      </c>
      <c r="G748" s="1">
        <v>45965</v>
      </c>
      <c r="I748" s="1">
        <v>46002</v>
      </c>
      <c r="J748">
        <f t="shared" ref="J748:J811" si="89">4.5*4.5*3.14159265</f>
        <v>63.617251162500004</v>
      </c>
      <c r="K748">
        <v>5.31</v>
      </c>
      <c r="M748">
        <f t="shared" si="86"/>
        <v>0</v>
      </c>
      <c r="N748">
        <f t="shared" si="88"/>
        <v>-5.31</v>
      </c>
    </row>
    <row r="749" spans="1:29" x14ac:dyDescent="0.3">
      <c r="A749" t="s">
        <v>247</v>
      </c>
      <c r="B749" t="s">
        <v>51</v>
      </c>
      <c r="C749">
        <v>1</v>
      </c>
      <c r="D749">
        <v>12</v>
      </c>
      <c r="E749" t="s">
        <v>31</v>
      </c>
      <c r="G749" s="1">
        <v>45965</v>
      </c>
      <c r="I749" s="1">
        <v>46002</v>
      </c>
      <c r="J749">
        <f t="shared" si="89"/>
        <v>63.617251162500004</v>
      </c>
      <c r="K749">
        <v>5.31</v>
      </c>
      <c r="M749">
        <f t="shared" si="86"/>
        <v>0</v>
      </c>
      <c r="N749">
        <f t="shared" si="88"/>
        <v>-5.31</v>
      </c>
    </row>
    <row r="750" spans="1:29" x14ac:dyDescent="0.3">
      <c r="A750" t="s">
        <v>247</v>
      </c>
      <c r="B750" t="s">
        <v>51</v>
      </c>
      <c r="C750">
        <v>1</v>
      </c>
      <c r="D750">
        <v>18</v>
      </c>
      <c r="E750" t="s">
        <v>64</v>
      </c>
      <c r="G750" s="1">
        <v>45965</v>
      </c>
      <c r="I750" s="1">
        <v>46002</v>
      </c>
      <c r="J750">
        <f t="shared" si="89"/>
        <v>63.617251162500004</v>
      </c>
      <c r="K750">
        <v>5.31</v>
      </c>
      <c r="M750">
        <f t="shared" si="86"/>
        <v>0</v>
      </c>
      <c r="N750">
        <f t="shared" si="88"/>
        <v>-5.31</v>
      </c>
    </row>
    <row r="751" spans="1:29" x14ac:dyDescent="0.3">
      <c r="A751" t="s">
        <v>247</v>
      </c>
      <c r="B751" t="s">
        <v>51</v>
      </c>
      <c r="C751">
        <v>1</v>
      </c>
      <c r="D751">
        <v>18</v>
      </c>
      <c r="E751" t="s">
        <v>30</v>
      </c>
      <c r="G751" s="1">
        <v>45965</v>
      </c>
      <c r="I751" s="1">
        <v>46002</v>
      </c>
      <c r="J751">
        <f t="shared" si="89"/>
        <v>63.617251162500004</v>
      </c>
      <c r="K751">
        <v>5.31</v>
      </c>
      <c r="M751">
        <f t="shared" si="86"/>
        <v>0</v>
      </c>
      <c r="N751">
        <f t="shared" si="88"/>
        <v>-5.31</v>
      </c>
    </row>
    <row r="752" spans="1:29" x14ac:dyDescent="0.3">
      <c r="A752" t="s">
        <v>247</v>
      </c>
      <c r="B752" t="s">
        <v>51</v>
      </c>
      <c r="C752">
        <v>1</v>
      </c>
      <c r="D752">
        <v>18</v>
      </c>
      <c r="E752" t="s">
        <v>31</v>
      </c>
      <c r="G752" s="1">
        <v>45965</v>
      </c>
      <c r="I752" s="1">
        <v>46002</v>
      </c>
      <c r="J752">
        <f t="shared" si="89"/>
        <v>63.617251162500004</v>
      </c>
      <c r="K752">
        <v>5.31</v>
      </c>
      <c r="M752">
        <f t="shared" si="86"/>
        <v>0</v>
      </c>
      <c r="N752">
        <f t="shared" si="88"/>
        <v>-5.31</v>
      </c>
    </row>
    <row r="753" spans="1:14" x14ac:dyDescent="0.3">
      <c r="A753" t="s">
        <v>247</v>
      </c>
      <c r="B753" t="s">
        <v>51</v>
      </c>
      <c r="C753">
        <v>1</v>
      </c>
      <c r="D753">
        <v>24</v>
      </c>
      <c r="E753" t="s">
        <v>28</v>
      </c>
      <c r="G753" s="1">
        <v>45965</v>
      </c>
      <c r="I753" s="1">
        <v>46002</v>
      </c>
      <c r="J753">
        <f t="shared" si="89"/>
        <v>63.617251162500004</v>
      </c>
      <c r="K753">
        <v>5.31</v>
      </c>
      <c r="M753">
        <f t="shared" si="86"/>
        <v>0</v>
      </c>
      <c r="N753">
        <f t="shared" si="88"/>
        <v>-5.31</v>
      </c>
    </row>
    <row r="754" spans="1:14" x14ac:dyDescent="0.3">
      <c r="A754" t="s">
        <v>247</v>
      </c>
      <c r="B754" t="s">
        <v>51</v>
      </c>
      <c r="C754">
        <v>1</v>
      </c>
      <c r="D754">
        <v>24</v>
      </c>
      <c r="E754" t="s">
        <v>30</v>
      </c>
      <c r="G754" s="1">
        <v>45965</v>
      </c>
      <c r="I754" s="1">
        <v>46002</v>
      </c>
      <c r="J754">
        <f t="shared" si="89"/>
        <v>63.617251162500004</v>
      </c>
      <c r="K754">
        <v>5.31</v>
      </c>
      <c r="M754">
        <f t="shared" si="86"/>
        <v>0</v>
      </c>
      <c r="N754">
        <f t="shared" si="88"/>
        <v>-5.31</v>
      </c>
    </row>
    <row r="755" spans="1:14" x14ac:dyDescent="0.3">
      <c r="A755" t="s">
        <v>247</v>
      </c>
      <c r="B755" s="7" t="s">
        <v>51</v>
      </c>
      <c r="C755" s="7">
        <v>1</v>
      </c>
      <c r="D755" s="7">
        <v>24</v>
      </c>
      <c r="E755" s="7" t="s">
        <v>31</v>
      </c>
      <c r="G755" s="1">
        <v>45965</v>
      </c>
      <c r="I755" s="1">
        <v>46002</v>
      </c>
      <c r="J755">
        <f t="shared" si="89"/>
        <v>63.617251162500004</v>
      </c>
      <c r="K755">
        <v>5.31</v>
      </c>
      <c r="M755">
        <f t="shared" si="86"/>
        <v>0</v>
      </c>
      <c r="N755">
        <f t="shared" si="88"/>
        <v>-5.31</v>
      </c>
    </row>
    <row r="756" spans="1:14" x14ac:dyDescent="0.3">
      <c r="A756" t="s">
        <v>247</v>
      </c>
      <c r="B756" t="s">
        <v>51</v>
      </c>
      <c r="C756">
        <v>1</v>
      </c>
      <c r="D756">
        <v>48</v>
      </c>
      <c r="E756" t="s">
        <v>64</v>
      </c>
      <c r="G756" s="1">
        <v>45965</v>
      </c>
      <c r="I756" s="1">
        <v>46002</v>
      </c>
      <c r="J756">
        <f t="shared" si="89"/>
        <v>63.617251162500004</v>
      </c>
      <c r="K756">
        <v>5.31</v>
      </c>
      <c r="M756">
        <f t="shared" si="86"/>
        <v>0</v>
      </c>
      <c r="N756">
        <f t="shared" si="88"/>
        <v>-5.31</v>
      </c>
    </row>
    <row r="757" spans="1:14" x14ac:dyDescent="0.3">
      <c r="A757" t="s">
        <v>247</v>
      </c>
      <c r="B757" t="s">
        <v>51</v>
      </c>
      <c r="C757">
        <v>1</v>
      </c>
      <c r="D757">
        <v>48</v>
      </c>
      <c r="E757" t="s">
        <v>30</v>
      </c>
      <c r="G757" s="1">
        <v>45965</v>
      </c>
      <c r="I757" s="1">
        <v>46002</v>
      </c>
      <c r="J757">
        <f t="shared" si="89"/>
        <v>63.617251162500004</v>
      </c>
      <c r="K757">
        <v>5.31</v>
      </c>
      <c r="M757">
        <f t="shared" si="86"/>
        <v>0</v>
      </c>
      <c r="N757">
        <f t="shared" si="88"/>
        <v>-5.31</v>
      </c>
    </row>
    <row r="758" spans="1:14" x14ac:dyDescent="0.3">
      <c r="A758" t="s">
        <v>247</v>
      </c>
      <c r="B758" t="s">
        <v>51</v>
      </c>
      <c r="C758">
        <v>1</v>
      </c>
      <c r="D758">
        <v>48</v>
      </c>
      <c r="E758" t="s">
        <v>31</v>
      </c>
      <c r="G758" s="1">
        <v>45965</v>
      </c>
      <c r="I758" s="1">
        <v>46002</v>
      </c>
      <c r="J758">
        <f t="shared" si="89"/>
        <v>63.617251162500004</v>
      </c>
      <c r="K758">
        <v>5.31</v>
      </c>
      <c r="M758">
        <f t="shared" si="86"/>
        <v>0</v>
      </c>
      <c r="N758">
        <f t="shared" si="88"/>
        <v>-5.31</v>
      </c>
    </row>
    <row r="759" spans="1:14" x14ac:dyDescent="0.3">
      <c r="A759" t="s">
        <v>247</v>
      </c>
      <c r="B759" t="s">
        <v>51</v>
      </c>
      <c r="C759">
        <v>2</v>
      </c>
      <c r="D759">
        <v>0.5</v>
      </c>
      <c r="E759" t="s">
        <v>64</v>
      </c>
      <c r="G759" s="1">
        <v>45965</v>
      </c>
      <c r="I759" s="1">
        <v>46002</v>
      </c>
      <c r="J759">
        <f t="shared" si="89"/>
        <v>63.617251162500004</v>
      </c>
      <c r="K759">
        <v>5.31</v>
      </c>
      <c r="M759">
        <f t="shared" si="86"/>
        <v>0</v>
      </c>
      <c r="N759">
        <f t="shared" si="88"/>
        <v>-5.31</v>
      </c>
    </row>
    <row r="760" spans="1:14" x14ac:dyDescent="0.3">
      <c r="A760" t="s">
        <v>247</v>
      </c>
      <c r="B760" t="s">
        <v>51</v>
      </c>
      <c r="C760">
        <v>2</v>
      </c>
      <c r="D760">
        <v>0.5</v>
      </c>
      <c r="E760" t="s">
        <v>30</v>
      </c>
      <c r="G760" s="1">
        <v>45965</v>
      </c>
      <c r="I760" s="1">
        <v>46002</v>
      </c>
      <c r="J760">
        <f t="shared" si="89"/>
        <v>63.617251162500004</v>
      </c>
      <c r="K760">
        <v>5.31</v>
      </c>
      <c r="M760">
        <f t="shared" si="86"/>
        <v>0</v>
      </c>
      <c r="N760">
        <f t="shared" si="88"/>
        <v>-5.31</v>
      </c>
    </row>
    <row r="761" spans="1:14" x14ac:dyDescent="0.3">
      <c r="A761" t="s">
        <v>247</v>
      </c>
      <c r="B761" t="s">
        <v>51</v>
      </c>
      <c r="C761">
        <v>2</v>
      </c>
      <c r="D761">
        <v>0.5</v>
      </c>
      <c r="E761" t="s">
        <v>31</v>
      </c>
      <c r="G761" s="1">
        <v>45965</v>
      </c>
      <c r="I761" s="1">
        <v>46002</v>
      </c>
      <c r="J761">
        <f t="shared" si="89"/>
        <v>63.617251162500004</v>
      </c>
      <c r="K761">
        <v>5.31</v>
      </c>
      <c r="M761">
        <f t="shared" si="86"/>
        <v>0</v>
      </c>
      <c r="N761">
        <f t="shared" si="88"/>
        <v>-5.31</v>
      </c>
    </row>
    <row r="762" spans="1:14" x14ac:dyDescent="0.3">
      <c r="A762" t="s">
        <v>247</v>
      </c>
      <c r="B762" s="7" t="s">
        <v>51</v>
      </c>
      <c r="C762" s="7">
        <v>2</v>
      </c>
      <c r="D762" s="7">
        <v>2</v>
      </c>
      <c r="E762" s="7" t="s">
        <v>64</v>
      </c>
      <c r="G762" s="1">
        <v>45965</v>
      </c>
      <c r="I762" s="1">
        <v>46002</v>
      </c>
      <c r="J762">
        <f t="shared" si="89"/>
        <v>63.617251162500004</v>
      </c>
      <c r="K762">
        <v>5.31</v>
      </c>
      <c r="M762">
        <f t="shared" si="86"/>
        <v>0</v>
      </c>
      <c r="N762">
        <f t="shared" si="88"/>
        <v>-5.31</v>
      </c>
    </row>
    <row r="763" spans="1:14" x14ac:dyDescent="0.3">
      <c r="A763" t="s">
        <v>247</v>
      </c>
      <c r="B763" s="7" t="s">
        <v>51</v>
      </c>
      <c r="C763" s="7">
        <v>2</v>
      </c>
      <c r="D763" s="7">
        <v>2</v>
      </c>
      <c r="E763" s="7" t="s">
        <v>30</v>
      </c>
      <c r="G763" s="1">
        <v>45965</v>
      </c>
      <c r="I763" s="1">
        <v>46002</v>
      </c>
      <c r="J763">
        <f t="shared" si="89"/>
        <v>63.617251162500004</v>
      </c>
      <c r="K763">
        <v>5.31</v>
      </c>
      <c r="M763">
        <f t="shared" si="86"/>
        <v>0</v>
      </c>
      <c r="N763">
        <f t="shared" si="88"/>
        <v>-5.31</v>
      </c>
    </row>
    <row r="764" spans="1:14" x14ac:dyDescent="0.3">
      <c r="A764" t="s">
        <v>247</v>
      </c>
      <c r="B764" s="7" t="s">
        <v>51</v>
      </c>
      <c r="C764" s="7">
        <v>2</v>
      </c>
      <c r="D764" s="7">
        <v>2</v>
      </c>
      <c r="E764" s="7" t="s">
        <v>31</v>
      </c>
      <c r="G764" s="1">
        <v>45965</v>
      </c>
      <c r="I764" s="1">
        <v>46002</v>
      </c>
      <c r="J764">
        <f t="shared" si="89"/>
        <v>63.617251162500004</v>
      </c>
      <c r="K764">
        <v>5.31</v>
      </c>
      <c r="M764">
        <f t="shared" si="86"/>
        <v>0</v>
      </c>
      <c r="N764">
        <f t="shared" si="88"/>
        <v>-5.31</v>
      </c>
    </row>
    <row r="765" spans="1:14" x14ac:dyDescent="0.3">
      <c r="A765" t="s">
        <v>247</v>
      </c>
      <c r="B765" s="7" t="s">
        <v>51</v>
      </c>
      <c r="C765" s="7">
        <v>2</v>
      </c>
      <c r="D765" s="7">
        <v>6</v>
      </c>
      <c r="E765" s="7" t="s">
        <v>64</v>
      </c>
      <c r="G765" s="1">
        <v>45965</v>
      </c>
      <c r="I765" s="1">
        <v>46002</v>
      </c>
      <c r="J765">
        <f t="shared" si="89"/>
        <v>63.617251162500004</v>
      </c>
      <c r="K765">
        <v>5.31</v>
      </c>
      <c r="M765">
        <f t="shared" si="86"/>
        <v>0</v>
      </c>
      <c r="N765">
        <f t="shared" si="88"/>
        <v>-5.31</v>
      </c>
    </row>
    <row r="766" spans="1:14" x14ac:dyDescent="0.3">
      <c r="A766" t="s">
        <v>247</v>
      </c>
      <c r="B766" s="7" t="s">
        <v>51</v>
      </c>
      <c r="C766" s="7">
        <v>2</v>
      </c>
      <c r="D766" s="7">
        <v>6</v>
      </c>
      <c r="E766" s="7" t="s">
        <v>30</v>
      </c>
      <c r="G766" s="1">
        <v>45965</v>
      </c>
      <c r="I766" s="1">
        <v>46002</v>
      </c>
      <c r="J766">
        <f t="shared" si="89"/>
        <v>63.617251162500004</v>
      </c>
      <c r="K766">
        <v>5.31</v>
      </c>
      <c r="M766">
        <f t="shared" si="86"/>
        <v>0</v>
      </c>
      <c r="N766">
        <f t="shared" si="88"/>
        <v>-5.31</v>
      </c>
    </row>
    <row r="767" spans="1:14" x14ac:dyDescent="0.3">
      <c r="A767" t="s">
        <v>247</v>
      </c>
      <c r="B767" s="7" t="s">
        <v>51</v>
      </c>
      <c r="C767" s="7">
        <v>2</v>
      </c>
      <c r="D767" s="7">
        <v>6</v>
      </c>
      <c r="E767" s="7" t="s">
        <v>31</v>
      </c>
      <c r="G767" s="1">
        <v>45965</v>
      </c>
      <c r="I767" s="1">
        <v>46002</v>
      </c>
      <c r="J767">
        <f t="shared" si="89"/>
        <v>63.617251162500004</v>
      </c>
      <c r="K767">
        <v>5.31</v>
      </c>
      <c r="M767">
        <f t="shared" si="86"/>
        <v>0</v>
      </c>
      <c r="N767">
        <f t="shared" si="88"/>
        <v>-5.31</v>
      </c>
    </row>
    <row r="768" spans="1:14" x14ac:dyDescent="0.3">
      <c r="A768" t="s">
        <v>247</v>
      </c>
      <c r="B768" t="s">
        <v>51</v>
      </c>
      <c r="C768">
        <v>2</v>
      </c>
      <c r="D768">
        <v>12</v>
      </c>
      <c r="E768" t="s">
        <v>64</v>
      </c>
      <c r="G768" s="1">
        <v>45965</v>
      </c>
      <c r="I768" s="1">
        <v>46002</v>
      </c>
      <c r="J768">
        <f t="shared" si="89"/>
        <v>63.617251162500004</v>
      </c>
      <c r="K768">
        <v>5.31</v>
      </c>
      <c r="M768">
        <f t="shared" si="86"/>
        <v>0</v>
      </c>
      <c r="N768">
        <f t="shared" si="88"/>
        <v>-5.31</v>
      </c>
    </row>
    <row r="769" spans="1:14" x14ac:dyDescent="0.3">
      <c r="A769" t="s">
        <v>247</v>
      </c>
      <c r="B769" t="s">
        <v>51</v>
      </c>
      <c r="C769">
        <v>2</v>
      </c>
      <c r="D769">
        <v>12</v>
      </c>
      <c r="E769" t="s">
        <v>30</v>
      </c>
      <c r="G769" s="1">
        <v>45965</v>
      </c>
      <c r="I769" s="1">
        <v>46002</v>
      </c>
      <c r="J769">
        <f t="shared" si="89"/>
        <v>63.617251162500004</v>
      </c>
      <c r="K769">
        <v>5.31</v>
      </c>
      <c r="M769">
        <f t="shared" si="86"/>
        <v>0</v>
      </c>
      <c r="N769">
        <f t="shared" si="88"/>
        <v>-5.31</v>
      </c>
    </row>
    <row r="770" spans="1:14" x14ac:dyDescent="0.3">
      <c r="A770" t="s">
        <v>247</v>
      </c>
      <c r="B770" t="s">
        <v>51</v>
      </c>
      <c r="C770">
        <v>2</v>
      </c>
      <c r="D770">
        <v>12</v>
      </c>
      <c r="E770" t="s">
        <v>31</v>
      </c>
      <c r="G770" s="1">
        <v>45965</v>
      </c>
      <c r="I770" s="1">
        <v>46002</v>
      </c>
      <c r="J770">
        <f t="shared" si="89"/>
        <v>63.617251162500004</v>
      </c>
      <c r="K770">
        <v>5.31</v>
      </c>
      <c r="M770">
        <f t="shared" si="86"/>
        <v>0</v>
      </c>
      <c r="N770">
        <f t="shared" ref="N770:N833" si="90">L770*J770-K770</f>
        <v>-5.31</v>
      </c>
    </row>
    <row r="771" spans="1:14" x14ac:dyDescent="0.3">
      <c r="A771" t="s">
        <v>247</v>
      </c>
      <c r="B771" t="s">
        <v>51</v>
      </c>
      <c r="C771">
        <v>2</v>
      </c>
      <c r="D771">
        <v>18</v>
      </c>
      <c r="E771" t="s">
        <v>64</v>
      </c>
      <c r="G771" s="1">
        <v>45965</v>
      </c>
      <c r="I771" s="1">
        <v>46002</v>
      </c>
      <c r="J771">
        <f t="shared" si="89"/>
        <v>63.617251162500004</v>
      </c>
      <c r="K771">
        <v>5.31</v>
      </c>
      <c r="M771">
        <f t="shared" si="86"/>
        <v>0</v>
      </c>
      <c r="N771">
        <f t="shared" si="90"/>
        <v>-5.31</v>
      </c>
    </row>
    <row r="772" spans="1:14" x14ac:dyDescent="0.3">
      <c r="A772" t="s">
        <v>247</v>
      </c>
      <c r="B772" t="s">
        <v>51</v>
      </c>
      <c r="C772">
        <v>2</v>
      </c>
      <c r="D772">
        <v>18</v>
      </c>
      <c r="E772" t="s">
        <v>30</v>
      </c>
      <c r="G772" s="1">
        <v>45965</v>
      </c>
      <c r="I772" s="1">
        <v>46002</v>
      </c>
      <c r="J772">
        <f t="shared" si="89"/>
        <v>63.617251162500004</v>
      </c>
      <c r="K772">
        <v>5.31</v>
      </c>
      <c r="M772">
        <f t="shared" ref="M772:M835" si="91">L772*F772</f>
        <v>0</v>
      </c>
      <c r="N772">
        <f t="shared" si="90"/>
        <v>-5.31</v>
      </c>
    </row>
    <row r="773" spans="1:14" x14ac:dyDescent="0.3">
      <c r="A773" t="s">
        <v>247</v>
      </c>
      <c r="B773" t="s">
        <v>51</v>
      </c>
      <c r="C773">
        <v>2</v>
      </c>
      <c r="D773">
        <v>18</v>
      </c>
      <c r="E773" t="s">
        <v>31</v>
      </c>
      <c r="G773" s="1">
        <v>45965</v>
      </c>
      <c r="I773" s="1">
        <v>46002</v>
      </c>
      <c r="J773">
        <f t="shared" si="89"/>
        <v>63.617251162500004</v>
      </c>
      <c r="K773">
        <v>5.31</v>
      </c>
      <c r="M773">
        <f t="shared" si="91"/>
        <v>0</v>
      </c>
      <c r="N773">
        <f t="shared" si="90"/>
        <v>-5.31</v>
      </c>
    </row>
    <row r="774" spans="1:14" x14ac:dyDescent="0.3">
      <c r="A774" t="s">
        <v>247</v>
      </c>
      <c r="B774" t="s">
        <v>51</v>
      </c>
      <c r="C774">
        <v>2</v>
      </c>
      <c r="D774">
        <v>24</v>
      </c>
      <c r="E774" t="s">
        <v>28</v>
      </c>
      <c r="G774" s="1">
        <v>45965</v>
      </c>
      <c r="I774" s="1">
        <v>46002</v>
      </c>
      <c r="J774">
        <f t="shared" si="89"/>
        <v>63.617251162500004</v>
      </c>
      <c r="K774">
        <v>5.31</v>
      </c>
      <c r="M774">
        <f t="shared" si="91"/>
        <v>0</v>
      </c>
      <c r="N774">
        <f t="shared" si="90"/>
        <v>-5.31</v>
      </c>
    </row>
    <row r="775" spans="1:14" x14ac:dyDescent="0.3">
      <c r="A775" t="s">
        <v>247</v>
      </c>
      <c r="B775" t="s">
        <v>51</v>
      </c>
      <c r="C775">
        <v>2</v>
      </c>
      <c r="D775">
        <v>24</v>
      </c>
      <c r="E775" t="s">
        <v>30</v>
      </c>
      <c r="G775" s="1">
        <v>45965</v>
      </c>
      <c r="I775" s="1">
        <v>46002</v>
      </c>
      <c r="J775">
        <f t="shared" si="89"/>
        <v>63.617251162500004</v>
      </c>
      <c r="K775">
        <v>5.31</v>
      </c>
      <c r="M775">
        <f t="shared" si="91"/>
        <v>0</v>
      </c>
      <c r="N775">
        <f t="shared" si="90"/>
        <v>-5.31</v>
      </c>
    </row>
    <row r="776" spans="1:14" x14ac:dyDescent="0.3">
      <c r="A776" t="s">
        <v>247</v>
      </c>
      <c r="B776" t="s">
        <v>51</v>
      </c>
      <c r="C776">
        <v>2</v>
      </c>
      <c r="D776">
        <v>24</v>
      </c>
      <c r="E776" t="s">
        <v>31</v>
      </c>
      <c r="G776" s="1">
        <v>45965</v>
      </c>
      <c r="I776" s="1">
        <v>46002</v>
      </c>
      <c r="J776">
        <f t="shared" si="89"/>
        <v>63.617251162500004</v>
      </c>
      <c r="K776">
        <v>5.31</v>
      </c>
      <c r="M776">
        <f t="shared" si="91"/>
        <v>0</v>
      </c>
      <c r="N776">
        <f t="shared" si="90"/>
        <v>-5.31</v>
      </c>
    </row>
    <row r="777" spans="1:14" x14ac:dyDescent="0.3">
      <c r="A777" t="s">
        <v>247</v>
      </c>
      <c r="B777" t="s">
        <v>51</v>
      </c>
      <c r="C777">
        <v>2</v>
      </c>
      <c r="D777">
        <v>48</v>
      </c>
      <c r="E777" t="s">
        <v>64</v>
      </c>
      <c r="G777" s="1">
        <v>45965</v>
      </c>
      <c r="I777" s="1">
        <v>46002</v>
      </c>
      <c r="J777">
        <f t="shared" si="89"/>
        <v>63.617251162500004</v>
      </c>
      <c r="K777">
        <v>5.31</v>
      </c>
      <c r="M777">
        <f t="shared" si="91"/>
        <v>0</v>
      </c>
      <c r="N777">
        <f t="shared" si="90"/>
        <v>-5.31</v>
      </c>
    </row>
    <row r="778" spans="1:14" x14ac:dyDescent="0.3">
      <c r="A778" t="s">
        <v>247</v>
      </c>
      <c r="B778" t="s">
        <v>51</v>
      </c>
      <c r="C778">
        <v>2</v>
      </c>
      <c r="D778">
        <v>48</v>
      </c>
      <c r="E778" t="s">
        <v>30</v>
      </c>
      <c r="G778" s="1">
        <v>45965</v>
      </c>
      <c r="I778" s="1">
        <v>46002</v>
      </c>
      <c r="J778">
        <f t="shared" si="89"/>
        <v>63.617251162500004</v>
      </c>
      <c r="K778">
        <v>5.31</v>
      </c>
      <c r="M778">
        <f t="shared" si="91"/>
        <v>0</v>
      </c>
      <c r="N778">
        <f t="shared" si="90"/>
        <v>-5.31</v>
      </c>
    </row>
    <row r="779" spans="1:14" x14ac:dyDescent="0.3">
      <c r="A779" t="s">
        <v>247</v>
      </c>
      <c r="B779" t="s">
        <v>51</v>
      </c>
      <c r="C779">
        <v>2</v>
      </c>
      <c r="D779">
        <v>48</v>
      </c>
      <c r="E779" t="s">
        <v>31</v>
      </c>
      <c r="G779" s="1">
        <v>45965</v>
      </c>
      <c r="I779" s="1">
        <v>46002</v>
      </c>
      <c r="J779">
        <f t="shared" si="89"/>
        <v>63.617251162500004</v>
      </c>
      <c r="K779">
        <v>5.31</v>
      </c>
      <c r="M779">
        <f t="shared" si="91"/>
        <v>0</v>
      </c>
      <c r="N779">
        <f t="shared" si="90"/>
        <v>-5.31</v>
      </c>
    </row>
    <row r="780" spans="1:14" x14ac:dyDescent="0.3">
      <c r="A780" t="s">
        <v>247</v>
      </c>
      <c r="B780" s="7" t="s">
        <v>51</v>
      </c>
      <c r="C780" s="7"/>
      <c r="D780" s="7"/>
      <c r="E780" s="7" t="s">
        <v>67</v>
      </c>
      <c r="J780">
        <f t="shared" si="89"/>
        <v>63.617251162500004</v>
      </c>
      <c r="K780">
        <v>5.31</v>
      </c>
      <c r="M780">
        <f t="shared" si="91"/>
        <v>0</v>
      </c>
      <c r="N780">
        <f t="shared" si="90"/>
        <v>-5.31</v>
      </c>
    </row>
    <row r="781" spans="1:14" x14ac:dyDescent="0.3">
      <c r="A781" t="s">
        <v>247</v>
      </c>
      <c r="B781" s="7" t="s">
        <v>51</v>
      </c>
      <c r="C781" s="7"/>
      <c r="D781" s="7"/>
      <c r="E781" s="7" t="s">
        <v>68</v>
      </c>
      <c r="J781">
        <f t="shared" si="89"/>
        <v>63.617251162500004</v>
      </c>
      <c r="K781">
        <v>5.31</v>
      </c>
      <c r="M781">
        <f t="shared" si="91"/>
        <v>0</v>
      </c>
      <c r="N781">
        <f t="shared" si="90"/>
        <v>-5.31</v>
      </c>
    </row>
    <row r="782" spans="1:14" x14ac:dyDescent="0.3">
      <c r="A782" t="s">
        <v>247</v>
      </c>
      <c r="B782" s="7" t="s">
        <v>51</v>
      </c>
      <c r="C782" s="7"/>
      <c r="D782" s="7"/>
      <c r="E782" s="7" t="s">
        <v>69</v>
      </c>
      <c r="J782">
        <f t="shared" si="89"/>
        <v>63.617251162500004</v>
      </c>
      <c r="K782">
        <v>5.31</v>
      </c>
      <c r="M782">
        <f t="shared" si="91"/>
        <v>0</v>
      </c>
      <c r="N782">
        <f t="shared" si="90"/>
        <v>-5.31</v>
      </c>
    </row>
    <row r="783" spans="1:14" x14ac:dyDescent="0.3">
      <c r="A783" t="s">
        <v>247</v>
      </c>
      <c r="B783" s="7" t="s">
        <v>51</v>
      </c>
      <c r="C783" s="7"/>
      <c r="D783" s="7"/>
      <c r="E783" s="7" t="s">
        <v>70</v>
      </c>
      <c r="J783">
        <f t="shared" si="89"/>
        <v>63.617251162500004</v>
      </c>
      <c r="K783">
        <v>5.31</v>
      </c>
      <c r="M783">
        <f t="shared" si="91"/>
        <v>0</v>
      </c>
      <c r="N783">
        <f t="shared" si="90"/>
        <v>-5.31</v>
      </c>
    </row>
    <row r="784" spans="1:14" x14ac:dyDescent="0.3">
      <c r="A784" t="s">
        <v>247</v>
      </c>
      <c r="B784" s="7" t="s">
        <v>54</v>
      </c>
      <c r="C784" s="7">
        <v>1</v>
      </c>
      <c r="D784" s="7">
        <v>0.5</v>
      </c>
      <c r="E784" s="7" t="s">
        <v>64</v>
      </c>
      <c r="G784" s="1">
        <v>45967</v>
      </c>
      <c r="I784" s="1">
        <v>45994</v>
      </c>
      <c r="J784">
        <f t="shared" si="89"/>
        <v>63.617251162500004</v>
      </c>
      <c r="K784">
        <v>5.31</v>
      </c>
      <c r="M784">
        <f t="shared" si="91"/>
        <v>0</v>
      </c>
      <c r="N784">
        <f t="shared" si="90"/>
        <v>-5.31</v>
      </c>
    </row>
    <row r="785" spans="1:14" x14ac:dyDescent="0.3">
      <c r="A785" t="s">
        <v>247</v>
      </c>
      <c r="B785" s="7" t="s">
        <v>54</v>
      </c>
      <c r="C785" s="7">
        <v>1</v>
      </c>
      <c r="D785" s="7">
        <v>0.5</v>
      </c>
      <c r="E785" s="7" t="s">
        <v>30</v>
      </c>
      <c r="G785" s="1">
        <v>45967</v>
      </c>
      <c r="I785" s="1">
        <v>45994</v>
      </c>
      <c r="J785">
        <f t="shared" si="89"/>
        <v>63.617251162500004</v>
      </c>
      <c r="K785">
        <v>5.31</v>
      </c>
      <c r="M785">
        <f t="shared" si="91"/>
        <v>0</v>
      </c>
      <c r="N785">
        <f t="shared" si="90"/>
        <v>-5.31</v>
      </c>
    </row>
    <row r="786" spans="1:14" x14ac:dyDescent="0.3">
      <c r="A786" t="s">
        <v>247</v>
      </c>
      <c r="B786" s="7" t="s">
        <v>54</v>
      </c>
      <c r="C786" s="7">
        <v>1</v>
      </c>
      <c r="D786" s="7">
        <v>0.5</v>
      </c>
      <c r="E786" s="7" t="s">
        <v>31</v>
      </c>
      <c r="G786" s="1">
        <v>45967</v>
      </c>
      <c r="I786" s="1">
        <v>45994</v>
      </c>
      <c r="J786">
        <f t="shared" si="89"/>
        <v>63.617251162500004</v>
      </c>
      <c r="K786">
        <v>5.31</v>
      </c>
      <c r="M786">
        <f t="shared" si="91"/>
        <v>0</v>
      </c>
      <c r="N786">
        <f t="shared" si="90"/>
        <v>-5.31</v>
      </c>
    </row>
    <row r="787" spans="1:14" x14ac:dyDescent="0.3">
      <c r="A787" t="s">
        <v>247</v>
      </c>
      <c r="B787" s="7" t="s">
        <v>54</v>
      </c>
      <c r="C787" s="7">
        <v>1</v>
      </c>
      <c r="D787" s="7">
        <v>2</v>
      </c>
      <c r="E787" s="7" t="s">
        <v>64</v>
      </c>
      <c r="G787" s="1">
        <v>45967</v>
      </c>
      <c r="I787" s="1">
        <v>45994</v>
      </c>
      <c r="J787">
        <f t="shared" si="89"/>
        <v>63.617251162500004</v>
      </c>
      <c r="K787">
        <v>5.31</v>
      </c>
      <c r="M787">
        <f t="shared" si="91"/>
        <v>0</v>
      </c>
      <c r="N787">
        <f t="shared" si="90"/>
        <v>-5.31</v>
      </c>
    </row>
    <row r="788" spans="1:14" x14ac:dyDescent="0.3">
      <c r="A788" t="s">
        <v>247</v>
      </c>
      <c r="B788" s="7" t="s">
        <v>54</v>
      </c>
      <c r="C788" s="7">
        <v>1</v>
      </c>
      <c r="D788" s="7">
        <v>2</v>
      </c>
      <c r="E788" s="7" t="s">
        <v>30</v>
      </c>
      <c r="G788" s="1">
        <v>45967</v>
      </c>
      <c r="I788" s="1">
        <v>45994</v>
      </c>
      <c r="J788">
        <f t="shared" si="89"/>
        <v>63.617251162500004</v>
      </c>
      <c r="K788">
        <v>5.31</v>
      </c>
      <c r="M788">
        <f t="shared" si="91"/>
        <v>0</v>
      </c>
      <c r="N788">
        <f t="shared" si="90"/>
        <v>-5.31</v>
      </c>
    </row>
    <row r="789" spans="1:14" x14ac:dyDescent="0.3">
      <c r="A789" t="s">
        <v>247</v>
      </c>
      <c r="B789" s="7" t="s">
        <v>54</v>
      </c>
      <c r="C789" s="7">
        <v>1</v>
      </c>
      <c r="D789" s="7">
        <v>2</v>
      </c>
      <c r="E789" s="7" t="s">
        <v>31</v>
      </c>
      <c r="G789" s="1">
        <v>45967</v>
      </c>
      <c r="I789" s="1">
        <v>45994</v>
      </c>
      <c r="J789">
        <f t="shared" si="89"/>
        <v>63.617251162500004</v>
      </c>
      <c r="K789">
        <v>5.31</v>
      </c>
      <c r="M789">
        <f t="shared" si="91"/>
        <v>0</v>
      </c>
      <c r="N789">
        <f t="shared" si="90"/>
        <v>-5.31</v>
      </c>
    </row>
    <row r="790" spans="1:14" x14ac:dyDescent="0.3">
      <c r="A790" t="s">
        <v>247</v>
      </c>
      <c r="B790" s="7" t="s">
        <v>54</v>
      </c>
      <c r="C790" s="7">
        <v>1</v>
      </c>
      <c r="D790" s="7">
        <v>6</v>
      </c>
      <c r="E790" s="7" t="s">
        <v>64</v>
      </c>
      <c r="G790" s="1">
        <v>45967</v>
      </c>
      <c r="I790" s="1">
        <v>45994</v>
      </c>
      <c r="J790">
        <f t="shared" si="89"/>
        <v>63.617251162500004</v>
      </c>
      <c r="K790">
        <v>5.31</v>
      </c>
      <c r="M790">
        <f t="shared" si="91"/>
        <v>0</v>
      </c>
      <c r="N790">
        <f t="shared" si="90"/>
        <v>-5.31</v>
      </c>
    </row>
    <row r="791" spans="1:14" x14ac:dyDescent="0.3">
      <c r="A791" t="s">
        <v>247</v>
      </c>
      <c r="B791" s="7" t="s">
        <v>54</v>
      </c>
      <c r="C791" s="7">
        <v>1</v>
      </c>
      <c r="D791" s="7">
        <v>6</v>
      </c>
      <c r="E791" s="7" t="s">
        <v>30</v>
      </c>
      <c r="G791" s="1">
        <v>45967</v>
      </c>
      <c r="I791" s="1">
        <v>45994</v>
      </c>
      <c r="J791">
        <f t="shared" si="89"/>
        <v>63.617251162500004</v>
      </c>
      <c r="K791">
        <v>5.31</v>
      </c>
      <c r="M791">
        <f t="shared" si="91"/>
        <v>0</v>
      </c>
      <c r="N791">
        <f t="shared" si="90"/>
        <v>-5.31</v>
      </c>
    </row>
    <row r="792" spans="1:14" x14ac:dyDescent="0.3">
      <c r="A792" t="s">
        <v>247</v>
      </c>
      <c r="B792" s="7" t="s">
        <v>54</v>
      </c>
      <c r="C792" s="7">
        <v>1</v>
      </c>
      <c r="D792" s="7">
        <v>6</v>
      </c>
      <c r="E792" s="7" t="s">
        <v>31</v>
      </c>
      <c r="G792" s="1">
        <v>45967</v>
      </c>
      <c r="I792" s="1">
        <v>45994</v>
      </c>
      <c r="J792">
        <f t="shared" si="89"/>
        <v>63.617251162500004</v>
      </c>
      <c r="K792">
        <v>5.31</v>
      </c>
      <c r="M792">
        <f t="shared" si="91"/>
        <v>0</v>
      </c>
      <c r="N792">
        <f t="shared" si="90"/>
        <v>-5.31</v>
      </c>
    </row>
    <row r="793" spans="1:14" x14ac:dyDescent="0.3">
      <c r="A793" t="s">
        <v>247</v>
      </c>
      <c r="B793" s="7" t="s">
        <v>54</v>
      </c>
      <c r="C793" s="7">
        <v>1</v>
      </c>
      <c r="D793" s="7">
        <v>12</v>
      </c>
      <c r="E793" s="7" t="s">
        <v>64</v>
      </c>
      <c r="G793" s="1">
        <v>45967</v>
      </c>
      <c r="I793" s="1">
        <v>45994</v>
      </c>
      <c r="J793">
        <f t="shared" si="89"/>
        <v>63.617251162500004</v>
      </c>
      <c r="K793">
        <v>5.31</v>
      </c>
      <c r="M793">
        <f t="shared" si="91"/>
        <v>0</v>
      </c>
      <c r="N793">
        <f t="shared" si="90"/>
        <v>-5.31</v>
      </c>
    </row>
    <row r="794" spans="1:14" x14ac:dyDescent="0.3">
      <c r="A794" t="s">
        <v>247</v>
      </c>
      <c r="B794" s="7" t="s">
        <v>54</v>
      </c>
      <c r="C794" s="7">
        <v>1</v>
      </c>
      <c r="D794" s="7">
        <v>12</v>
      </c>
      <c r="E794" s="7" t="s">
        <v>30</v>
      </c>
      <c r="G794" s="1">
        <v>45967</v>
      </c>
      <c r="I794" s="1">
        <v>45994</v>
      </c>
      <c r="J794">
        <f t="shared" si="89"/>
        <v>63.617251162500004</v>
      </c>
      <c r="K794">
        <v>5.31</v>
      </c>
      <c r="M794">
        <f t="shared" si="91"/>
        <v>0</v>
      </c>
      <c r="N794">
        <f t="shared" si="90"/>
        <v>-5.31</v>
      </c>
    </row>
    <row r="795" spans="1:14" x14ac:dyDescent="0.3">
      <c r="A795" t="s">
        <v>247</v>
      </c>
      <c r="B795" s="7" t="s">
        <v>54</v>
      </c>
      <c r="C795" s="7">
        <v>1</v>
      </c>
      <c r="D795" s="7">
        <v>12</v>
      </c>
      <c r="E795" s="7" t="s">
        <v>31</v>
      </c>
      <c r="G795" s="1">
        <v>45967</v>
      </c>
      <c r="I795" s="1">
        <v>45994</v>
      </c>
      <c r="J795">
        <f t="shared" si="89"/>
        <v>63.617251162500004</v>
      </c>
      <c r="K795">
        <v>5.31</v>
      </c>
      <c r="M795">
        <f t="shared" si="91"/>
        <v>0</v>
      </c>
      <c r="N795">
        <f t="shared" si="90"/>
        <v>-5.31</v>
      </c>
    </row>
    <row r="796" spans="1:14" x14ac:dyDescent="0.3">
      <c r="A796" t="s">
        <v>247</v>
      </c>
      <c r="B796" s="7" t="s">
        <v>54</v>
      </c>
      <c r="C796" s="7">
        <v>1</v>
      </c>
      <c r="D796" s="7">
        <v>18</v>
      </c>
      <c r="E796" s="7" t="s">
        <v>64</v>
      </c>
      <c r="G796" s="1">
        <v>45967</v>
      </c>
      <c r="I796" s="1">
        <v>45994</v>
      </c>
      <c r="J796">
        <f t="shared" si="89"/>
        <v>63.617251162500004</v>
      </c>
      <c r="K796">
        <v>5.31</v>
      </c>
      <c r="M796">
        <f t="shared" si="91"/>
        <v>0</v>
      </c>
      <c r="N796">
        <f t="shared" si="90"/>
        <v>-5.31</v>
      </c>
    </row>
    <row r="797" spans="1:14" x14ac:dyDescent="0.3">
      <c r="A797" t="s">
        <v>247</v>
      </c>
      <c r="B797" s="7" t="s">
        <v>54</v>
      </c>
      <c r="C797" s="7">
        <v>1</v>
      </c>
      <c r="D797" s="7">
        <v>18</v>
      </c>
      <c r="E797" s="7" t="s">
        <v>30</v>
      </c>
      <c r="G797" s="1">
        <v>45967</v>
      </c>
      <c r="I797" s="1">
        <v>45994</v>
      </c>
      <c r="J797">
        <f t="shared" si="89"/>
        <v>63.617251162500004</v>
      </c>
      <c r="K797">
        <v>5.31</v>
      </c>
      <c r="M797">
        <f t="shared" si="91"/>
        <v>0</v>
      </c>
      <c r="N797">
        <f t="shared" si="90"/>
        <v>-5.31</v>
      </c>
    </row>
    <row r="798" spans="1:14" x14ac:dyDescent="0.3">
      <c r="A798" t="s">
        <v>247</v>
      </c>
      <c r="B798" s="7" t="s">
        <v>54</v>
      </c>
      <c r="C798" s="7">
        <v>1</v>
      </c>
      <c r="D798" s="7">
        <v>18</v>
      </c>
      <c r="E798" s="7" t="s">
        <v>31</v>
      </c>
      <c r="G798" s="1">
        <v>45967</v>
      </c>
      <c r="I798" s="1">
        <v>45994</v>
      </c>
      <c r="J798">
        <f t="shared" si="89"/>
        <v>63.617251162500004</v>
      </c>
      <c r="K798">
        <v>5.31</v>
      </c>
      <c r="M798">
        <f t="shared" si="91"/>
        <v>0</v>
      </c>
      <c r="N798">
        <f t="shared" si="90"/>
        <v>-5.31</v>
      </c>
    </row>
    <row r="799" spans="1:14" x14ac:dyDescent="0.3">
      <c r="A799" t="s">
        <v>247</v>
      </c>
      <c r="B799" s="7" t="s">
        <v>54</v>
      </c>
      <c r="C799" s="7">
        <v>1</v>
      </c>
      <c r="D799" s="7">
        <v>24</v>
      </c>
      <c r="E799" s="7" t="s">
        <v>28</v>
      </c>
      <c r="G799" s="1">
        <v>45967</v>
      </c>
      <c r="I799" s="1">
        <v>45994</v>
      </c>
      <c r="J799">
        <f t="shared" si="89"/>
        <v>63.617251162500004</v>
      </c>
      <c r="K799">
        <v>5.31</v>
      </c>
      <c r="M799">
        <f t="shared" si="91"/>
        <v>0</v>
      </c>
      <c r="N799">
        <f t="shared" si="90"/>
        <v>-5.31</v>
      </c>
    </row>
    <row r="800" spans="1:14" x14ac:dyDescent="0.3">
      <c r="A800" t="s">
        <v>247</v>
      </c>
      <c r="B800" s="7" t="s">
        <v>54</v>
      </c>
      <c r="C800" s="7">
        <v>1</v>
      </c>
      <c r="D800" s="7">
        <v>24</v>
      </c>
      <c r="E800" s="7" t="s">
        <v>30</v>
      </c>
      <c r="G800" s="1">
        <v>45967</v>
      </c>
      <c r="I800" s="1">
        <v>45994</v>
      </c>
      <c r="J800">
        <f t="shared" si="89"/>
        <v>63.617251162500004</v>
      </c>
      <c r="K800">
        <v>5.31</v>
      </c>
      <c r="M800">
        <f t="shared" si="91"/>
        <v>0</v>
      </c>
      <c r="N800">
        <f t="shared" si="90"/>
        <v>-5.31</v>
      </c>
    </row>
    <row r="801" spans="1:14" x14ac:dyDescent="0.3">
      <c r="A801" t="s">
        <v>247</v>
      </c>
      <c r="B801" s="7" t="s">
        <v>54</v>
      </c>
      <c r="C801" s="7">
        <v>1</v>
      </c>
      <c r="D801" s="7">
        <v>24</v>
      </c>
      <c r="E801" s="7" t="s">
        <v>31</v>
      </c>
      <c r="G801" s="1">
        <v>45967</v>
      </c>
      <c r="I801" s="1">
        <v>45994</v>
      </c>
      <c r="J801">
        <f t="shared" si="89"/>
        <v>63.617251162500004</v>
      </c>
      <c r="K801">
        <v>5.31</v>
      </c>
      <c r="M801">
        <f t="shared" si="91"/>
        <v>0</v>
      </c>
      <c r="N801">
        <f t="shared" si="90"/>
        <v>-5.31</v>
      </c>
    </row>
    <row r="802" spans="1:14" x14ac:dyDescent="0.3">
      <c r="A802" t="s">
        <v>247</v>
      </c>
      <c r="B802" s="7" t="s">
        <v>54</v>
      </c>
      <c r="C802" s="7">
        <v>1</v>
      </c>
      <c r="D802" s="7">
        <v>48</v>
      </c>
      <c r="E802" s="7" t="s">
        <v>64</v>
      </c>
      <c r="G802" s="1">
        <v>45967</v>
      </c>
      <c r="I802" s="1">
        <v>45994</v>
      </c>
      <c r="J802">
        <f t="shared" si="89"/>
        <v>63.617251162500004</v>
      </c>
      <c r="K802">
        <v>5.31</v>
      </c>
      <c r="M802">
        <f t="shared" si="91"/>
        <v>0</v>
      </c>
      <c r="N802">
        <f t="shared" si="90"/>
        <v>-5.31</v>
      </c>
    </row>
    <row r="803" spans="1:14" x14ac:dyDescent="0.3">
      <c r="A803" t="s">
        <v>247</v>
      </c>
      <c r="B803" s="7" t="s">
        <v>54</v>
      </c>
      <c r="C803" s="7">
        <v>1</v>
      </c>
      <c r="D803" s="7">
        <v>48</v>
      </c>
      <c r="E803" s="7" t="s">
        <v>30</v>
      </c>
      <c r="G803" s="1">
        <v>45967</v>
      </c>
      <c r="I803" s="1">
        <v>45994</v>
      </c>
      <c r="J803">
        <f t="shared" si="89"/>
        <v>63.617251162500004</v>
      </c>
      <c r="K803">
        <v>5.31</v>
      </c>
      <c r="M803">
        <f t="shared" si="91"/>
        <v>0</v>
      </c>
      <c r="N803">
        <f t="shared" si="90"/>
        <v>-5.31</v>
      </c>
    </row>
    <row r="804" spans="1:14" x14ac:dyDescent="0.3">
      <c r="A804" t="s">
        <v>247</v>
      </c>
      <c r="B804" s="7" t="s">
        <v>54</v>
      </c>
      <c r="C804" s="7">
        <v>1</v>
      </c>
      <c r="D804" s="7">
        <v>48</v>
      </c>
      <c r="E804" s="7" t="s">
        <v>31</v>
      </c>
      <c r="G804" s="1">
        <v>45967</v>
      </c>
      <c r="I804" s="1">
        <v>45994</v>
      </c>
      <c r="J804">
        <f t="shared" si="89"/>
        <v>63.617251162500004</v>
      </c>
      <c r="K804">
        <v>5.31</v>
      </c>
      <c r="M804">
        <f t="shared" si="91"/>
        <v>0</v>
      </c>
      <c r="N804">
        <f t="shared" si="90"/>
        <v>-5.31</v>
      </c>
    </row>
    <row r="805" spans="1:14" x14ac:dyDescent="0.3">
      <c r="A805" t="s">
        <v>247</v>
      </c>
      <c r="B805" t="s">
        <v>54</v>
      </c>
      <c r="C805">
        <v>2</v>
      </c>
      <c r="D805">
        <v>0.5</v>
      </c>
      <c r="E805" t="s">
        <v>64</v>
      </c>
      <c r="G805" s="1">
        <v>45967</v>
      </c>
      <c r="I805" s="1">
        <v>45994</v>
      </c>
      <c r="J805">
        <f t="shared" si="89"/>
        <v>63.617251162500004</v>
      </c>
      <c r="K805">
        <v>5.31</v>
      </c>
      <c r="M805">
        <f t="shared" si="91"/>
        <v>0</v>
      </c>
      <c r="N805">
        <f t="shared" si="90"/>
        <v>-5.31</v>
      </c>
    </row>
    <row r="806" spans="1:14" x14ac:dyDescent="0.3">
      <c r="A806" t="s">
        <v>247</v>
      </c>
      <c r="B806" t="s">
        <v>54</v>
      </c>
      <c r="C806">
        <v>2</v>
      </c>
      <c r="D806">
        <v>0.5</v>
      </c>
      <c r="E806" t="s">
        <v>30</v>
      </c>
      <c r="G806" s="1">
        <v>45967</v>
      </c>
      <c r="I806" s="1">
        <v>45994</v>
      </c>
      <c r="J806">
        <f t="shared" si="89"/>
        <v>63.617251162500004</v>
      </c>
      <c r="K806">
        <v>5.31</v>
      </c>
      <c r="M806">
        <f t="shared" si="91"/>
        <v>0</v>
      </c>
      <c r="N806">
        <f t="shared" si="90"/>
        <v>-5.31</v>
      </c>
    </row>
    <row r="807" spans="1:14" x14ac:dyDescent="0.3">
      <c r="A807" t="s">
        <v>247</v>
      </c>
      <c r="B807" t="s">
        <v>54</v>
      </c>
      <c r="C807">
        <v>2</v>
      </c>
      <c r="D807">
        <v>0.5</v>
      </c>
      <c r="E807" t="s">
        <v>31</v>
      </c>
      <c r="G807" s="1">
        <v>45967</v>
      </c>
      <c r="I807" s="1">
        <v>45994</v>
      </c>
      <c r="J807">
        <f t="shared" si="89"/>
        <v>63.617251162500004</v>
      </c>
      <c r="K807">
        <v>5.31</v>
      </c>
      <c r="M807">
        <f t="shared" si="91"/>
        <v>0</v>
      </c>
      <c r="N807">
        <f t="shared" si="90"/>
        <v>-5.31</v>
      </c>
    </row>
    <row r="808" spans="1:14" x14ac:dyDescent="0.3">
      <c r="A808" t="s">
        <v>247</v>
      </c>
      <c r="B808" t="s">
        <v>54</v>
      </c>
      <c r="C808">
        <v>2</v>
      </c>
      <c r="D808">
        <v>2</v>
      </c>
      <c r="E808" t="s">
        <v>64</v>
      </c>
      <c r="G808" s="1">
        <v>45967</v>
      </c>
      <c r="I808" s="1">
        <v>45994</v>
      </c>
      <c r="J808">
        <f t="shared" si="89"/>
        <v>63.617251162500004</v>
      </c>
      <c r="K808">
        <v>5.31</v>
      </c>
      <c r="M808">
        <f t="shared" si="91"/>
        <v>0</v>
      </c>
      <c r="N808">
        <f t="shared" si="90"/>
        <v>-5.31</v>
      </c>
    </row>
    <row r="809" spans="1:14" x14ac:dyDescent="0.3">
      <c r="A809" t="s">
        <v>247</v>
      </c>
      <c r="B809" t="s">
        <v>54</v>
      </c>
      <c r="C809">
        <v>2</v>
      </c>
      <c r="D809">
        <v>2</v>
      </c>
      <c r="E809" t="s">
        <v>30</v>
      </c>
      <c r="G809" s="1">
        <v>45967</v>
      </c>
      <c r="I809" s="1">
        <v>45994</v>
      </c>
      <c r="J809">
        <f t="shared" si="89"/>
        <v>63.617251162500004</v>
      </c>
      <c r="K809">
        <v>5.31</v>
      </c>
      <c r="M809">
        <f t="shared" si="91"/>
        <v>0</v>
      </c>
      <c r="N809">
        <f t="shared" si="90"/>
        <v>-5.31</v>
      </c>
    </row>
    <row r="810" spans="1:14" x14ac:dyDescent="0.3">
      <c r="A810" t="s">
        <v>247</v>
      </c>
      <c r="B810" t="s">
        <v>54</v>
      </c>
      <c r="C810">
        <v>2</v>
      </c>
      <c r="D810">
        <v>2</v>
      </c>
      <c r="E810" t="s">
        <v>31</v>
      </c>
      <c r="G810" s="1">
        <v>45967</v>
      </c>
      <c r="I810" s="1">
        <v>45994</v>
      </c>
      <c r="J810">
        <f t="shared" si="89"/>
        <v>63.617251162500004</v>
      </c>
      <c r="K810">
        <v>5.31</v>
      </c>
      <c r="M810">
        <f t="shared" si="91"/>
        <v>0</v>
      </c>
      <c r="N810">
        <f t="shared" si="90"/>
        <v>-5.31</v>
      </c>
    </row>
    <row r="811" spans="1:14" x14ac:dyDescent="0.3">
      <c r="A811" t="s">
        <v>247</v>
      </c>
      <c r="B811" t="s">
        <v>54</v>
      </c>
      <c r="C811">
        <v>2</v>
      </c>
      <c r="D811">
        <v>6</v>
      </c>
      <c r="E811" t="s">
        <v>64</v>
      </c>
      <c r="G811" s="1">
        <v>45967</v>
      </c>
      <c r="I811" s="1">
        <v>45994</v>
      </c>
      <c r="J811">
        <f t="shared" si="89"/>
        <v>63.617251162500004</v>
      </c>
      <c r="K811">
        <v>5.31</v>
      </c>
      <c r="M811">
        <f t="shared" si="91"/>
        <v>0</v>
      </c>
      <c r="N811">
        <f t="shared" si="90"/>
        <v>-5.31</v>
      </c>
    </row>
    <row r="812" spans="1:14" x14ac:dyDescent="0.3">
      <c r="A812" t="s">
        <v>247</v>
      </c>
      <c r="B812" t="s">
        <v>54</v>
      </c>
      <c r="C812">
        <v>2</v>
      </c>
      <c r="D812">
        <v>6</v>
      </c>
      <c r="E812" t="s">
        <v>30</v>
      </c>
      <c r="G812" s="1">
        <v>45967</v>
      </c>
      <c r="I812" s="1">
        <v>45994</v>
      </c>
      <c r="J812">
        <f t="shared" ref="J812:J875" si="92">4.5*4.5*3.14159265</f>
        <v>63.617251162500004</v>
      </c>
      <c r="K812">
        <v>5.31</v>
      </c>
      <c r="M812">
        <f t="shared" si="91"/>
        <v>0</v>
      </c>
      <c r="N812">
        <f t="shared" si="90"/>
        <v>-5.31</v>
      </c>
    </row>
    <row r="813" spans="1:14" x14ac:dyDescent="0.3">
      <c r="A813" t="s">
        <v>247</v>
      </c>
      <c r="B813" t="s">
        <v>54</v>
      </c>
      <c r="C813">
        <v>2</v>
      </c>
      <c r="D813">
        <v>6</v>
      </c>
      <c r="E813" t="s">
        <v>31</v>
      </c>
      <c r="G813" s="1">
        <v>45967</v>
      </c>
      <c r="I813" s="1">
        <v>45994</v>
      </c>
      <c r="J813">
        <f t="shared" si="92"/>
        <v>63.617251162500004</v>
      </c>
      <c r="K813">
        <v>5.31</v>
      </c>
      <c r="M813">
        <f t="shared" si="91"/>
        <v>0</v>
      </c>
      <c r="N813">
        <f t="shared" si="90"/>
        <v>-5.31</v>
      </c>
    </row>
    <row r="814" spans="1:14" x14ac:dyDescent="0.3">
      <c r="A814" t="s">
        <v>247</v>
      </c>
      <c r="B814" t="s">
        <v>54</v>
      </c>
      <c r="C814">
        <v>2</v>
      </c>
      <c r="D814">
        <v>12</v>
      </c>
      <c r="E814" t="s">
        <v>64</v>
      </c>
      <c r="G814" s="1">
        <v>45967</v>
      </c>
      <c r="I814" s="1">
        <v>45994</v>
      </c>
      <c r="J814">
        <f t="shared" si="92"/>
        <v>63.617251162500004</v>
      </c>
      <c r="K814">
        <v>5.31</v>
      </c>
      <c r="M814">
        <f t="shared" si="91"/>
        <v>0</v>
      </c>
      <c r="N814">
        <f t="shared" si="90"/>
        <v>-5.31</v>
      </c>
    </row>
    <row r="815" spans="1:14" x14ac:dyDescent="0.3">
      <c r="A815" t="s">
        <v>247</v>
      </c>
      <c r="B815" t="s">
        <v>54</v>
      </c>
      <c r="C815">
        <v>2</v>
      </c>
      <c r="D815">
        <v>12</v>
      </c>
      <c r="E815" t="s">
        <v>30</v>
      </c>
      <c r="G815" s="1">
        <v>45967</v>
      </c>
      <c r="I815" s="1">
        <v>45994</v>
      </c>
      <c r="J815">
        <f t="shared" si="92"/>
        <v>63.617251162500004</v>
      </c>
      <c r="K815">
        <v>5.31</v>
      </c>
      <c r="M815">
        <f t="shared" si="91"/>
        <v>0</v>
      </c>
      <c r="N815">
        <f t="shared" si="90"/>
        <v>-5.31</v>
      </c>
    </row>
    <row r="816" spans="1:14" x14ac:dyDescent="0.3">
      <c r="A816" t="s">
        <v>247</v>
      </c>
      <c r="B816" t="s">
        <v>54</v>
      </c>
      <c r="C816">
        <v>2</v>
      </c>
      <c r="D816">
        <v>12</v>
      </c>
      <c r="E816" t="s">
        <v>31</v>
      </c>
      <c r="G816" s="1">
        <v>45967</v>
      </c>
      <c r="I816" s="1">
        <v>45994</v>
      </c>
      <c r="J816">
        <f t="shared" si="92"/>
        <v>63.617251162500004</v>
      </c>
      <c r="K816">
        <v>5.31</v>
      </c>
      <c r="M816">
        <f t="shared" si="91"/>
        <v>0</v>
      </c>
      <c r="N816">
        <f t="shared" si="90"/>
        <v>-5.31</v>
      </c>
    </row>
    <row r="817" spans="1:14" x14ac:dyDescent="0.3">
      <c r="A817" t="s">
        <v>247</v>
      </c>
      <c r="B817" t="s">
        <v>54</v>
      </c>
      <c r="C817">
        <v>2</v>
      </c>
      <c r="D817">
        <v>18</v>
      </c>
      <c r="E817" t="s">
        <v>64</v>
      </c>
      <c r="G817" s="1">
        <v>45967</v>
      </c>
      <c r="I817" s="1">
        <v>45994</v>
      </c>
      <c r="J817">
        <f t="shared" si="92"/>
        <v>63.617251162500004</v>
      </c>
      <c r="K817">
        <v>5.31</v>
      </c>
      <c r="M817">
        <f t="shared" si="91"/>
        <v>0</v>
      </c>
      <c r="N817">
        <f t="shared" si="90"/>
        <v>-5.31</v>
      </c>
    </row>
    <row r="818" spans="1:14" x14ac:dyDescent="0.3">
      <c r="A818" t="s">
        <v>247</v>
      </c>
      <c r="B818" t="s">
        <v>54</v>
      </c>
      <c r="C818">
        <v>2</v>
      </c>
      <c r="D818">
        <v>18</v>
      </c>
      <c r="E818" t="s">
        <v>30</v>
      </c>
      <c r="G818" s="1">
        <v>45967</v>
      </c>
      <c r="I818" s="1">
        <v>45994</v>
      </c>
      <c r="J818">
        <f t="shared" si="92"/>
        <v>63.617251162500004</v>
      </c>
      <c r="K818">
        <v>5.31</v>
      </c>
      <c r="M818">
        <f t="shared" si="91"/>
        <v>0</v>
      </c>
      <c r="N818">
        <f t="shared" si="90"/>
        <v>-5.31</v>
      </c>
    </row>
    <row r="819" spans="1:14" x14ac:dyDescent="0.3">
      <c r="A819" t="s">
        <v>247</v>
      </c>
      <c r="B819" t="s">
        <v>54</v>
      </c>
      <c r="C819">
        <v>2</v>
      </c>
      <c r="D819">
        <v>18</v>
      </c>
      <c r="E819" t="s">
        <v>31</v>
      </c>
      <c r="G819" s="1">
        <v>45967</v>
      </c>
      <c r="I819" s="1">
        <v>45994</v>
      </c>
      <c r="J819">
        <f t="shared" si="92"/>
        <v>63.617251162500004</v>
      </c>
      <c r="K819">
        <v>5.31</v>
      </c>
      <c r="M819">
        <f t="shared" si="91"/>
        <v>0</v>
      </c>
      <c r="N819">
        <f t="shared" si="90"/>
        <v>-5.31</v>
      </c>
    </row>
    <row r="820" spans="1:14" x14ac:dyDescent="0.3">
      <c r="A820" t="s">
        <v>247</v>
      </c>
      <c r="B820" t="s">
        <v>54</v>
      </c>
      <c r="C820">
        <v>2</v>
      </c>
      <c r="D820">
        <v>24</v>
      </c>
      <c r="E820" t="s">
        <v>28</v>
      </c>
      <c r="G820" s="1">
        <v>45967</v>
      </c>
      <c r="I820" s="1">
        <v>45994</v>
      </c>
      <c r="J820">
        <f t="shared" si="92"/>
        <v>63.617251162500004</v>
      </c>
      <c r="K820">
        <v>5.31</v>
      </c>
      <c r="M820">
        <f t="shared" si="91"/>
        <v>0</v>
      </c>
      <c r="N820">
        <f t="shared" si="90"/>
        <v>-5.31</v>
      </c>
    </row>
    <row r="821" spans="1:14" x14ac:dyDescent="0.3">
      <c r="A821" t="s">
        <v>247</v>
      </c>
      <c r="B821" t="s">
        <v>54</v>
      </c>
      <c r="C821">
        <v>2</v>
      </c>
      <c r="D821">
        <v>24</v>
      </c>
      <c r="E821" t="s">
        <v>30</v>
      </c>
      <c r="G821" s="1">
        <v>45967</v>
      </c>
      <c r="I821" s="1">
        <v>45994</v>
      </c>
      <c r="J821">
        <f t="shared" si="92"/>
        <v>63.617251162500004</v>
      </c>
      <c r="K821">
        <v>5.31</v>
      </c>
      <c r="M821">
        <f t="shared" si="91"/>
        <v>0</v>
      </c>
      <c r="N821">
        <f t="shared" si="90"/>
        <v>-5.31</v>
      </c>
    </row>
    <row r="822" spans="1:14" x14ac:dyDescent="0.3">
      <c r="A822" t="s">
        <v>247</v>
      </c>
      <c r="B822" t="s">
        <v>54</v>
      </c>
      <c r="C822">
        <v>2</v>
      </c>
      <c r="D822">
        <v>24</v>
      </c>
      <c r="E822" t="s">
        <v>31</v>
      </c>
      <c r="G822" s="1">
        <v>45967</v>
      </c>
      <c r="I822" s="1">
        <v>45994</v>
      </c>
      <c r="J822">
        <f t="shared" si="92"/>
        <v>63.617251162500004</v>
      </c>
      <c r="K822">
        <v>5.31</v>
      </c>
      <c r="M822">
        <f t="shared" si="91"/>
        <v>0</v>
      </c>
      <c r="N822">
        <f t="shared" si="90"/>
        <v>-5.31</v>
      </c>
    </row>
    <row r="823" spans="1:14" x14ac:dyDescent="0.3">
      <c r="A823" t="s">
        <v>247</v>
      </c>
      <c r="B823" t="s">
        <v>54</v>
      </c>
      <c r="C823">
        <v>2</v>
      </c>
      <c r="D823">
        <v>48</v>
      </c>
      <c r="E823" t="s">
        <v>64</v>
      </c>
      <c r="G823" s="1">
        <v>45967</v>
      </c>
      <c r="I823" s="1">
        <v>45994</v>
      </c>
      <c r="J823">
        <f t="shared" si="92"/>
        <v>63.617251162500004</v>
      </c>
      <c r="K823">
        <v>5.31</v>
      </c>
      <c r="M823">
        <f t="shared" si="91"/>
        <v>0</v>
      </c>
      <c r="N823">
        <f t="shared" si="90"/>
        <v>-5.31</v>
      </c>
    </row>
    <row r="824" spans="1:14" x14ac:dyDescent="0.3">
      <c r="A824" t="s">
        <v>247</v>
      </c>
      <c r="B824" t="s">
        <v>54</v>
      </c>
      <c r="C824">
        <v>2</v>
      </c>
      <c r="D824">
        <v>48</v>
      </c>
      <c r="E824" t="s">
        <v>30</v>
      </c>
      <c r="G824" s="1">
        <v>45967</v>
      </c>
      <c r="I824" s="1">
        <v>45994</v>
      </c>
      <c r="J824">
        <f t="shared" si="92"/>
        <v>63.617251162500004</v>
      </c>
      <c r="K824">
        <v>5.31</v>
      </c>
      <c r="M824">
        <f t="shared" si="91"/>
        <v>0</v>
      </c>
      <c r="N824">
        <f t="shared" si="90"/>
        <v>-5.31</v>
      </c>
    </row>
    <row r="825" spans="1:14" x14ac:dyDescent="0.3">
      <c r="A825" t="s">
        <v>247</v>
      </c>
      <c r="B825" t="s">
        <v>54</v>
      </c>
      <c r="C825">
        <v>2</v>
      </c>
      <c r="D825">
        <v>48</v>
      </c>
      <c r="E825" t="s">
        <v>31</v>
      </c>
      <c r="G825" s="1">
        <v>45967</v>
      </c>
      <c r="I825" s="1">
        <v>45994</v>
      </c>
      <c r="J825">
        <f t="shared" si="92"/>
        <v>63.617251162500004</v>
      </c>
      <c r="K825">
        <v>5.31</v>
      </c>
      <c r="M825">
        <f t="shared" si="91"/>
        <v>0</v>
      </c>
      <c r="N825">
        <f t="shared" si="90"/>
        <v>-5.31</v>
      </c>
    </row>
    <row r="826" spans="1:14" x14ac:dyDescent="0.3">
      <c r="A826" t="s">
        <v>247</v>
      </c>
      <c r="B826" t="s">
        <v>54</v>
      </c>
      <c r="E826" t="s">
        <v>67</v>
      </c>
      <c r="G826" t="s">
        <v>56</v>
      </c>
      <c r="J826">
        <f t="shared" si="92"/>
        <v>63.617251162500004</v>
      </c>
      <c r="K826">
        <v>5.31</v>
      </c>
      <c r="M826">
        <f t="shared" si="91"/>
        <v>0</v>
      </c>
      <c r="N826">
        <f t="shared" si="90"/>
        <v>-5.31</v>
      </c>
    </row>
    <row r="827" spans="1:14" x14ac:dyDescent="0.3">
      <c r="A827" t="s">
        <v>247</v>
      </c>
      <c r="B827" t="s">
        <v>54</v>
      </c>
      <c r="E827" t="s">
        <v>68</v>
      </c>
      <c r="G827" t="s">
        <v>56</v>
      </c>
      <c r="J827">
        <f t="shared" si="92"/>
        <v>63.617251162500004</v>
      </c>
      <c r="K827">
        <v>5.31</v>
      </c>
      <c r="M827">
        <f t="shared" si="91"/>
        <v>0</v>
      </c>
      <c r="N827">
        <f t="shared" si="90"/>
        <v>-5.31</v>
      </c>
    </row>
    <row r="828" spans="1:14" x14ac:dyDescent="0.3">
      <c r="A828" t="s">
        <v>247</v>
      </c>
      <c r="B828" t="s">
        <v>54</v>
      </c>
      <c r="E828" t="s">
        <v>69</v>
      </c>
      <c r="G828" t="s">
        <v>56</v>
      </c>
      <c r="J828">
        <f t="shared" si="92"/>
        <v>63.617251162500004</v>
      </c>
      <c r="K828">
        <v>5.31</v>
      </c>
      <c r="M828">
        <f t="shared" si="91"/>
        <v>0</v>
      </c>
      <c r="N828">
        <f t="shared" si="90"/>
        <v>-5.31</v>
      </c>
    </row>
    <row r="829" spans="1:14" x14ac:dyDescent="0.3">
      <c r="A829" t="s">
        <v>247</v>
      </c>
      <c r="B829" t="s">
        <v>54</v>
      </c>
      <c r="E829" t="s">
        <v>70</v>
      </c>
      <c r="G829" t="s">
        <v>56</v>
      </c>
      <c r="J829">
        <f t="shared" si="92"/>
        <v>63.617251162500004</v>
      </c>
      <c r="K829">
        <v>5.31</v>
      </c>
      <c r="M829">
        <f t="shared" si="91"/>
        <v>0</v>
      </c>
      <c r="N829">
        <f t="shared" si="90"/>
        <v>-5.31</v>
      </c>
    </row>
    <row r="830" spans="1:14" x14ac:dyDescent="0.3">
      <c r="A830" t="s">
        <v>247</v>
      </c>
      <c r="B830" t="s">
        <v>57</v>
      </c>
      <c r="C830">
        <v>1</v>
      </c>
      <c r="D830">
        <v>0.5</v>
      </c>
      <c r="E830" t="s">
        <v>64</v>
      </c>
      <c r="G830" s="1">
        <v>45964</v>
      </c>
      <c r="I830" s="1">
        <v>45993</v>
      </c>
      <c r="J830">
        <f t="shared" si="92"/>
        <v>63.617251162500004</v>
      </c>
      <c r="K830">
        <v>5.31</v>
      </c>
      <c r="M830">
        <f t="shared" si="91"/>
        <v>0</v>
      </c>
      <c r="N830">
        <f t="shared" si="90"/>
        <v>-5.31</v>
      </c>
    </row>
    <row r="831" spans="1:14" x14ac:dyDescent="0.3">
      <c r="A831" t="s">
        <v>247</v>
      </c>
      <c r="B831" t="s">
        <v>57</v>
      </c>
      <c r="C831">
        <v>1</v>
      </c>
      <c r="D831">
        <v>0.5</v>
      </c>
      <c r="E831" t="s">
        <v>30</v>
      </c>
      <c r="G831" s="1">
        <v>45964</v>
      </c>
      <c r="I831" s="1">
        <v>45993</v>
      </c>
      <c r="J831">
        <f t="shared" si="92"/>
        <v>63.617251162500004</v>
      </c>
      <c r="K831">
        <v>5.31</v>
      </c>
      <c r="M831">
        <f t="shared" si="91"/>
        <v>0</v>
      </c>
      <c r="N831">
        <f t="shared" si="90"/>
        <v>-5.31</v>
      </c>
    </row>
    <row r="832" spans="1:14" x14ac:dyDescent="0.3">
      <c r="A832" t="s">
        <v>247</v>
      </c>
      <c r="B832" t="s">
        <v>57</v>
      </c>
      <c r="C832">
        <v>1</v>
      </c>
      <c r="D832">
        <v>0.5</v>
      </c>
      <c r="E832" t="s">
        <v>31</v>
      </c>
      <c r="G832" s="1">
        <v>45964</v>
      </c>
      <c r="I832" s="1">
        <v>45993</v>
      </c>
      <c r="J832">
        <f t="shared" si="92"/>
        <v>63.617251162500004</v>
      </c>
      <c r="K832">
        <v>5.31</v>
      </c>
      <c r="M832">
        <f t="shared" si="91"/>
        <v>0</v>
      </c>
      <c r="N832">
        <f t="shared" si="90"/>
        <v>-5.31</v>
      </c>
    </row>
    <row r="833" spans="1:14" x14ac:dyDescent="0.3">
      <c r="A833" t="s">
        <v>247</v>
      </c>
      <c r="B833" t="s">
        <v>57</v>
      </c>
      <c r="C833">
        <v>1</v>
      </c>
      <c r="D833">
        <v>2</v>
      </c>
      <c r="E833" t="s">
        <v>64</v>
      </c>
      <c r="G833" s="1">
        <v>45964</v>
      </c>
      <c r="I833" s="1">
        <v>45993</v>
      </c>
      <c r="J833">
        <f t="shared" si="92"/>
        <v>63.617251162500004</v>
      </c>
      <c r="K833">
        <v>5.31</v>
      </c>
      <c r="M833">
        <f t="shared" si="91"/>
        <v>0</v>
      </c>
      <c r="N833">
        <f t="shared" si="90"/>
        <v>-5.31</v>
      </c>
    </row>
    <row r="834" spans="1:14" x14ac:dyDescent="0.3">
      <c r="A834" t="s">
        <v>247</v>
      </c>
      <c r="B834" t="s">
        <v>57</v>
      </c>
      <c r="C834">
        <v>1</v>
      </c>
      <c r="D834">
        <v>2</v>
      </c>
      <c r="E834" t="s">
        <v>30</v>
      </c>
      <c r="G834" s="1">
        <v>45964</v>
      </c>
      <c r="I834" s="1">
        <v>45993</v>
      </c>
      <c r="J834">
        <f t="shared" si="92"/>
        <v>63.617251162500004</v>
      </c>
      <c r="K834">
        <v>5.31</v>
      </c>
      <c r="M834">
        <f t="shared" si="91"/>
        <v>0</v>
      </c>
      <c r="N834">
        <f t="shared" ref="N834:N897" si="93">L834*J834-K834</f>
        <v>-5.31</v>
      </c>
    </row>
    <row r="835" spans="1:14" x14ac:dyDescent="0.3">
      <c r="A835" t="s">
        <v>247</v>
      </c>
      <c r="B835" t="s">
        <v>57</v>
      </c>
      <c r="C835">
        <v>1</v>
      </c>
      <c r="D835">
        <v>2</v>
      </c>
      <c r="E835" t="s">
        <v>31</v>
      </c>
      <c r="G835" s="1">
        <v>45964</v>
      </c>
      <c r="I835" s="1">
        <v>45993</v>
      </c>
      <c r="J835">
        <f t="shared" si="92"/>
        <v>63.617251162500004</v>
      </c>
      <c r="K835">
        <v>5.31</v>
      </c>
      <c r="M835">
        <f t="shared" si="91"/>
        <v>0</v>
      </c>
      <c r="N835">
        <f t="shared" si="93"/>
        <v>-5.31</v>
      </c>
    </row>
    <row r="836" spans="1:14" x14ac:dyDescent="0.3">
      <c r="A836" t="s">
        <v>247</v>
      </c>
      <c r="B836" t="s">
        <v>57</v>
      </c>
      <c r="C836">
        <v>1</v>
      </c>
      <c r="D836">
        <v>6</v>
      </c>
      <c r="E836" t="s">
        <v>64</v>
      </c>
      <c r="G836" s="1">
        <v>45964</v>
      </c>
      <c r="I836" s="1">
        <v>45993</v>
      </c>
      <c r="J836">
        <f t="shared" si="92"/>
        <v>63.617251162500004</v>
      </c>
      <c r="K836">
        <v>5.31</v>
      </c>
      <c r="M836">
        <f t="shared" ref="M836:M899" si="94">L836*F836</f>
        <v>0</v>
      </c>
      <c r="N836">
        <f t="shared" si="93"/>
        <v>-5.31</v>
      </c>
    </row>
    <row r="837" spans="1:14" x14ac:dyDescent="0.3">
      <c r="A837" t="s">
        <v>247</v>
      </c>
      <c r="B837" t="s">
        <v>57</v>
      </c>
      <c r="C837">
        <v>1</v>
      </c>
      <c r="D837">
        <v>6</v>
      </c>
      <c r="E837" t="s">
        <v>30</v>
      </c>
      <c r="G837" s="1">
        <v>45964</v>
      </c>
      <c r="I837" s="1">
        <v>45993</v>
      </c>
      <c r="J837">
        <f t="shared" si="92"/>
        <v>63.617251162500004</v>
      </c>
      <c r="K837">
        <v>5.31</v>
      </c>
      <c r="M837">
        <f t="shared" si="94"/>
        <v>0</v>
      </c>
      <c r="N837">
        <f t="shared" si="93"/>
        <v>-5.31</v>
      </c>
    </row>
    <row r="838" spans="1:14" x14ac:dyDescent="0.3">
      <c r="A838" t="s">
        <v>247</v>
      </c>
      <c r="B838" t="s">
        <v>57</v>
      </c>
      <c r="C838">
        <v>1</v>
      </c>
      <c r="D838">
        <v>6</v>
      </c>
      <c r="E838" t="s">
        <v>31</v>
      </c>
      <c r="G838" s="1">
        <v>45964</v>
      </c>
      <c r="I838" s="1">
        <v>45993</v>
      </c>
      <c r="J838">
        <f t="shared" si="92"/>
        <v>63.617251162500004</v>
      </c>
      <c r="K838">
        <v>5.31</v>
      </c>
      <c r="M838">
        <f t="shared" si="94"/>
        <v>0</v>
      </c>
      <c r="N838">
        <f t="shared" si="93"/>
        <v>-5.31</v>
      </c>
    </row>
    <row r="839" spans="1:14" x14ac:dyDescent="0.3">
      <c r="A839" t="s">
        <v>247</v>
      </c>
      <c r="B839" t="s">
        <v>57</v>
      </c>
      <c r="C839">
        <v>1</v>
      </c>
      <c r="D839">
        <v>12</v>
      </c>
      <c r="E839" t="s">
        <v>64</v>
      </c>
      <c r="G839" s="1">
        <v>45964</v>
      </c>
      <c r="I839" s="1">
        <v>45993</v>
      </c>
      <c r="J839">
        <f t="shared" si="92"/>
        <v>63.617251162500004</v>
      </c>
      <c r="K839">
        <v>5.31</v>
      </c>
      <c r="M839">
        <f t="shared" si="94"/>
        <v>0</v>
      </c>
      <c r="N839">
        <f t="shared" si="93"/>
        <v>-5.31</v>
      </c>
    </row>
    <row r="840" spans="1:14" x14ac:dyDescent="0.3">
      <c r="A840" t="s">
        <v>247</v>
      </c>
      <c r="B840" t="s">
        <v>57</v>
      </c>
      <c r="C840">
        <v>1</v>
      </c>
      <c r="D840">
        <v>12</v>
      </c>
      <c r="E840" t="s">
        <v>30</v>
      </c>
      <c r="G840" s="1">
        <v>45964</v>
      </c>
      <c r="I840" s="1">
        <v>45993</v>
      </c>
      <c r="J840">
        <f t="shared" si="92"/>
        <v>63.617251162500004</v>
      </c>
      <c r="K840">
        <v>5.31</v>
      </c>
      <c r="M840">
        <f t="shared" si="94"/>
        <v>0</v>
      </c>
      <c r="N840">
        <f t="shared" si="93"/>
        <v>-5.31</v>
      </c>
    </row>
    <row r="841" spans="1:14" x14ac:dyDescent="0.3">
      <c r="A841" t="s">
        <v>247</v>
      </c>
      <c r="B841" t="s">
        <v>57</v>
      </c>
      <c r="C841">
        <v>1</v>
      </c>
      <c r="D841">
        <v>12</v>
      </c>
      <c r="E841" t="s">
        <v>31</v>
      </c>
      <c r="G841" s="1">
        <v>45964</v>
      </c>
      <c r="I841" s="1">
        <v>45993</v>
      </c>
      <c r="J841">
        <f t="shared" si="92"/>
        <v>63.617251162500004</v>
      </c>
      <c r="K841">
        <v>5.31</v>
      </c>
      <c r="M841">
        <f t="shared" si="94"/>
        <v>0</v>
      </c>
      <c r="N841">
        <f t="shared" si="93"/>
        <v>-5.31</v>
      </c>
    </row>
    <row r="842" spans="1:14" x14ac:dyDescent="0.3">
      <c r="A842" t="s">
        <v>247</v>
      </c>
      <c r="B842" t="s">
        <v>57</v>
      </c>
      <c r="C842">
        <v>1</v>
      </c>
      <c r="D842">
        <v>18</v>
      </c>
      <c r="E842" t="s">
        <v>64</v>
      </c>
      <c r="G842" s="1">
        <v>45964</v>
      </c>
      <c r="I842" s="1">
        <v>45993</v>
      </c>
      <c r="J842">
        <f t="shared" si="92"/>
        <v>63.617251162500004</v>
      </c>
      <c r="K842">
        <v>5.31</v>
      </c>
      <c r="M842">
        <f t="shared" si="94"/>
        <v>0</v>
      </c>
      <c r="N842">
        <f t="shared" si="93"/>
        <v>-5.31</v>
      </c>
    </row>
    <row r="843" spans="1:14" x14ac:dyDescent="0.3">
      <c r="A843" t="s">
        <v>247</v>
      </c>
      <c r="B843" t="s">
        <v>57</v>
      </c>
      <c r="C843">
        <v>1</v>
      </c>
      <c r="D843">
        <v>18</v>
      </c>
      <c r="E843" t="s">
        <v>30</v>
      </c>
      <c r="G843" s="1">
        <v>45964</v>
      </c>
      <c r="I843" s="1">
        <v>45993</v>
      </c>
      <c r="J843">
        <f t="shared" si="92"/>
        <v>63.617251162500004</v>
      </c>
      <c r="K843">
        <v>5.31</v>
      </c>
      <c r="M843">
        <f t="shared" si="94"/>
        <v>0</v>
      </c>
      <c r="N843">
        <f t="shared" si="93"/>
        <v>-5.31</v>
      </c>
    </row>
    <row r="844" spans="1:14" x14ac:dyDescent="0.3">
      <c r="A844" t="s">
        <v>247</v>
      </c>
      <c r="B844" t="s">
        <v>57</v>
      </c>
      <c r="C844">
        <v>1</v>
      </c>
      <c r="D844">
        <v>18</v>
      </c>
      <c r="E844" t="s">
        <v>31</v>
      </c>
      <c r="G844" s="1">
        <v>45964</v>
      </c>
      <c r="I844" s="1">
        <v>45993</v>
      </c>
      <c r="J844">
        <f t="shared" si="92"/>
        <v>63.617251162500004</v>
      </c>
      <c r="K844">
        <v>5.31</v>
      </c>
      <c r="M844">
        <f t="shared" si="94"/>
        <v>0</v>
      </c>
      <c r="N844">
        <f t="shared" si="93"/>
        <v>-5.31</v>
      </c>
    </row>
    <row r="845" spans="1:14" x14ac:dyDescent="0.3">
      <c r="A845" t="s">
        <v>247</v>
      </c>
      <c r="B845" t="s">
        <v>57</v>
      </c>
      <c r="C845">
        <v>1</v>
      </c>
      <c r="D845">
        <v>24</v>
      </c>
      <c r="E845" t="s">
        <v>28</v>
      </c>
      <c r="G845" s="1">
        <v>45964</v>
      </c>
      <c r="I845" s="1">
        <v>45993</v>
      </c>
      <c r="J845">
        <f t="shared" si="92"/>
        <v>63.617251162500004</v>
      </c>
      <c r="K845">
        <v>5.31</v>
      </c>
      <c r="M845">
        <f t="shared" si="94"/>
        <v>0</v>
      </c>
      <c r="N845">
        <f t="shared" si="93"/>
        <v>-5.31</v>
      </c>
    </row>
    <row r="846" spans="1:14" x14ac:dyDescent="0.3">
      <c r="A846" t="s">
        <v>247</v>
      </c>
      <c r="B846" t="s">
        <v>57</v>
      </c>
      <c r="C846">
        <v>1</v>
      </c>
      <c r="D846">
        <v>24</v>
      </c>
      <c r="E846" t="s">
        <v>30</v>
      </c>
      <c r="G846" s="1">
        <v>45964</v>
      </c>
      <c r="I846" s="1">
        <v>45993</v>
      </c>
      <c r="J846">
        <f t="shared" si="92"/>
        <v>63.617251162500004</v>
      </c>
      <c r="K846">
        <v>5.31</v>
      </c>
      <c r="M846">
        <f t="shared" si="94"/>
        <v>0</v>
      </c>
      <c r="N846">
        <f t="shared" si="93"/>
        <v>-5.31</v>
      </c>
    </row>
    <row r="847" spans="1:14" x14ac:dyDescent="0.3">
      <c r="A847" t="s">
        <v>247</v>
      </c>
      <c r="B847" t="s">
        <v>57</v>
      </c>
      <c r="C847">
        <v>1</v>
      </c>
      <c r="D847">
        <v>24</v>
      </c>
      <c r="E847" t="s">
        <v>31</v>
      </c>
      <c r="G847" s="1">
        <v>45964</v>
      </c>
      <c r="I847" s="1">
        <v>45993</v>
      </c>
      <c r="J847">
        <f t="shared" si="92"/>
        <v>63.617251162500004</v>
      </c>
      <c r="K847">
        <v>5.31</v>
      </c>
      <c r="M847">
        <f t="shared" si="94"/>
        <v>0</v>
      </c>
      <c r="N847">
        <f t="shared" si="93"/>
        <v>-5.31</v>
      </c>
    </row>
    <row r="848" spans="1:14" x14ac:dyDescent="0.3">
      <c r="A848" t="s">
        <v>247</v>
      </c>
      <c r="B848" t="s">
        <v>57</v>
      </c>
      <c r="C848">
        <v>1</v>
      </c>
      <c r="D848">
        <v>48</v>
      </c>
      <c r="E848" t="s">
        <v>64</v>
      </c>
      <c r="G848" s="1">
        <v>45964</v>
      </c>
      <c r="I848" s="1">
        <v>45993</v>
      </c>
      <c r="J848">
        <f t="shared" si="92"/>
        <v>63.617251162500004</v>
      </c>
      <c r="K848">
        <v>5.31</v>
      </c>
      <c r="M848">
        <f t="shared" si="94"/>
        <v>0</v>
      </c>
      <c r="N848">
        <f t="shared" si="93"/>
        <v>-5.31</v>
      </c>
    </row>
    <row r="849" spans="1:14" x14ac:dyDescent="0.3">
      <c r="A849" t="s">
        <v>247</v>
      </c>
      <c r="B849" t="s">
        <v>57</v>
      </c>
      <c r="C849">
        <v>1</v>
      </c>
      <c r="D849">
        <v>48</v>
      </c>
      <c r="E849" t="s">
        <v>30</v>
      </c>
      <c r="G849" s="1">
        <v>45964</v>
      </c>
      <c r="I849" s="1">
        <v>45993</v>
      </c>
      <c r="J849">
        <f t="shared" si="92"/>
        <v>63.617251162500004</v>
      </c>
      <c r="K849">
        <v>5.31</v>
      </c>
      <c r="M849">
        <f t="shared" si="94"/>
        <v>0</v>
      </c>
      <c r="N849">
        <f t="shared" si="93"/>
        <v>-5.31</v>
      </c>
    </row>
    <row r="850" spans="1:14" x14ac:dyDescent="0.3">
      <c r="A850" t="s">
        <v>247</v>
      </c>
      <c r="B850" t="s">
        <v>57</v>
      </c>
      <c r="C850">
        <v>1</v>
      </c>
      <c r="D850">
        <v>48</v>
      </c>
      <c r="E850" t="s">
        <v>31</v>
      </c>
      <c r="G850" s="1">
        <v>45964</v>
      </c>
      <c r="I850" s="1">
        <v>45993</v>
      </c>
      <c r="J850">
        <f t="shared" si="92"/>
        <v>63.617251162500004</v>
      </c>
      <c r="K850">
        <v>5.31</v>
      </c>
      <c r="M850">
        <f t="shared" si="94"/>
        <v>0</v>
      </c>
      <c r="N850">
        <f t="shared" si="93"/>
        <v>-5.31</v>
      </c>
    </row>
    <row r="851" spans="1:14" x14ac:dyDescent="0.3">
      <c r="A851" t="s">
        <v>247</v>
      </c>
      <c r="B851" t="s">
        <v>57</v>
      </c>
      <c r="C851">
        <v>2</v>
      </c>
      <c r="D851">
        <v>0.5</v>
      </c>
      <c r="E851" t="s">
        <v>64</v>
      </c>
      <c r="G851" s="1">
        <v>45964</v>
      </c>
      <c r="I851" s="1">
        <v>45993</v>
      </c>
      <c r="J851">
        <f t="shared" si="92"/>
        <v>63.617251162500004</v>
      </c>
      <c r="K851">
        <v>5.31</v>
      </c>
      <c r="M851">
        <f t="shared" si="94"/>
        <v>0</v>
      </c>
      <c r="N851">
        <f t="shared" si="93"/>
        <v>-5.31</v>
      </c>
    </row>
    <row r="852" spans="1:14" x14ac:dyDescent="0.3">
      <c r="A852" t="s">
        <v>247</v>
      </c>
      <c r="B852" t="s">
        <v>57</v>
      </c>
      <c r="C852">
        <v>2</v>
      </c>
      <c r="D852">
        <v>0.5</v>
      </c>
      <c r="E852" t="s">
        <v>30</v>
      </c>
      <c r="G852" s="1">
        <v>45964</v>
      </c>
      <c r="I852" s="1">
        <v>45993</v>
      </c>
      <c r="J852">
        <f t="shared" si="92"/>
        <v>63.617251162500004</v>
      </c>
      <c r="K852">
        <v>5.31</v>
      </c>
      <c r="M852">
        <f t="shared" si="94"/>
        <v>0</v>
      </c>
      <c r="N852">
        <f t="shared" si="93"/>
        <v>-5.31</v>
      </c>
    </row>
    <row r="853" spans="1:14" x14ac:dyDescent="0.3">
      <c r="A853" t="s">
        <v>247</v>
      </c>
      <c r="B853" t="s">
        <v>57</v>
      </c>
      <c r="C853">
        <v>2</v>
      </c>
      <c r="D853">
        <v>0.5</v>
      </c>
      <c r="E853" t="s">
        <v>31</v>
      </c>
      <c r="G853" s="1">
        <v>45964</v>
      </c>
      <c r="I853" s="1">
        <v>45993</v>
      </c>
      <c r="J853">
        <f t="shared" si="92"/>
        <v>63.617251162500004</v>
      </c>
      <c r="K853">
        <v>5.31</v>
      </c>
      <c r="M853">
        <f t="shared" si="94"/>
        <v>0</v>
      </c>
      <c r="N853">
        <f t="shared" si="93"/>
        <v>-5.31</v>
      </c>
    </row>
    <row r="854" spans="1:14" x14ac:dyDescent="0.3">
      <c r="A854" t="s">
        <v>247</v>
      </c>
      <c r="B854" t="s">
        <v>57</v>
      </c>
      <c r="C854">
        <v>2</v>
      </c>
      <c r="D854">
        <v>2</v>
      </c>
      <c r="E854" t="s">
        <v>64</v>
      </c>
      <c r="G854" s="1">
        <v>45964</v>
      </c>
      <c r="I854" s="1">
        <v>45993</v>
      </c>
      <c r="J854">
        <f t="shared" si="92"/>
        <v>63.617251162500004</v>
      </c>
      <c r="K854">
        <v>5.31</v>
      </c>
      <c r="M854">
        <f t="shared" si="94"/>
        <v>0</v>
      </c>
      <c r="N854">
        <f t="shared" si="93"/>
        <v>-5.31</v>
      </c>
    </row>
    <row r="855" spans="1:14" x14ac:dyDescent="0.3">
      <c r="A855" t="s">
        <v>247</v>
      </c>
      <c r="B855" t="s">
        <v>57</v>
      </c>
      <c r="C855">
        <v>2</v>
      </c>
      <c r="D855">
        <v>2</v>
      </c>
      <c r="E855" t="s">
        <v>30</v>
      </c>
      <c r="G855" s="1">
        <v>45964</v>
      </c>
      <c r="I855" s="1">
        <v>45993</v>
      </c>
      <c r="J855">
        <f t="shared" si="92"/>
        <v>63.617251162500004</v>
      </c>
      <c r="K855">
        <v>5.31</v>
      </c>
      <c r="M855">
        <f t="shared" si="94"/>
        <v>0</v>
      </c>
      <c r="N855">
        <f t="shared" si="93"/>
        <v>-5.31</v>
      </c>
    </row>
    <row r="856" spans="1:14" x14ac:dyDescent="0.3">
      <c r="A856" t="s">
        <v>247</v>
      </c>
      <c r="B856" t="s">
        <v>57</v>
      </c>
      <c r="C856">
        <v>2</v>
      </c>
      <c r="D856">
        <v>2</v>
      </c>
      <c r="E856" t="s">
        <v>31</v>
      </c>
      <c r="G856" s="1">
        <v>45964</v>
      </c>
      <c r="I856" s="1">
        <v>45993</v>
      </c>
      <c r="J856">
        <f t="shared" si="92"/>
        <v>63.617251162500004</v>
      </c>
      <c r="K856">
        <v>5.31</v>
      </c>
      <c r="M856">
        <f t="shared" si="94"/>
        <v>0</v>
      </c>
      <c r="N856">
        <f t="shared" si="93"/>
        <v>-5.31</v>
      </c>
    </row>
    <row r="857" spans="1:14" x14ac:dyDescent="0.3">
      <c r="A857" t="s">
        <v>247</v>
      </c>
      <c r="B857" t="s">
        <v>57</v>
      </c>
      <c r="C857">
        <v>2</v>
      </c>
      <c r="D857">
        <v>6</v>
      </c>
      <c r="E857" t="s">
        <v>64</v>
      </c>
      <c r="G857" s="1">
        <v>45964</v>
      </c>
      <c r="I857" s="1">
        <v>45993</v>
      </c>
      <c r="J857">
        <f t="shared" si="92"/>
        <v>63.617251162500004</v>
      </c>
      <c r="K857">
        <v>5.31</v>
      </c>
      <c r="M857">
        <f t="shared" si="94"/>
        <v>0</v>
      </c>
      <c r="N857">
        <f t="shared" si="93"/>
        <v>-5.31</v>
      </c>
    </row>
    <row r="858" spans="1:14" x14ac:dyDescent="0.3">
      <c r="A858" t="s">
        <v>247</v>
      </c>
      <c r="B858" t="s">
        <v>57</v>
      </c>
      <c r="C858">
        <v>2</v>
      </c>
      <c r="D858">
        <v>6</v>
      </c>
      <c r="E858" t="s">
        <v>30</v>
      </c>
      <c r="G858" s="1">
        <v>45964</v>
      </c>
      <c r="I858" s="1">
        <v>45993</v>
      </c>
      <c r="J858">
        <f t="shared" si="92"/>
        <v>63.617251162500004</v>
      </c>
      <c r="K858">
        <v>5.31</v>
      </c>
      <c r="M858">
        <f t="shared" si="94"/>
        <v>0</v>
      </c>
      <c r="N858">
        <f t="shared" si="93"/>
        <v>-5.31</v>
      </c>
    </row>
    <row r="859" spans="1:14" x14ac:dyDescent="0.3">
      <c r="A859" t="s">
        <v>247</v>
      </c>
      <c r="B859" t="s">
        <v>57</v>
      </c>
      <c r="C859">
        <v>2</v>
      </c>
      <c r="D859">
        <v>6</v>
      </c>
      <c r="E859" t="s">
        <v>31</v>
      </c>
      <c r="G859" s="1">
        <v>45964</v>
      </c>
      <c r="I859" s="1">
        <v>45993</v>
      </c>
      <c r="J859">
        <f t="shared" si="92"/>
        <v>63.617251162500004</v>
      </c>
      <c r="K859">
        <v>5.31</v>
      </c>
      <c r="M859">
        <f t="shared" si="94"/>
        <v>0</v>
      </c>
      <c r="N859">
        <f t="shared" si="93"/>
        <v>-5.31</v>
      </c>
    </row>
    <row r="860" spans="1:14" x14ac:dyDescent="0.3">
      <c r="A860" t="s">
        <v>247</v>
      </c>
      <c r="B860" t="s">
        <v>57</v>
      </c>
      <c r="C860">
        <v>2</v>
      </c>
      <c r="D860">
        <v>12</v>
      </c>
      <c r="E860" t="s">
        <v>64</v>
      </c>
      <c r="G860" s="1">
        <v>45964</v>
      </c>
      <c r="I860" s="1">
        <v>45993</v>
      </c>
      <c r="J860">
        <f t="shared" si="92"/>
        <v>63.617251162500004</v>
      </c>
      <c r="K860">
        <v>5.31</v>
      </c>
      <c r="M860">
        <f t="shared" si="94"/>
        <v>0</v>
      </c>
      <c r="N860">
        <f t="shared" si="93"/>
        <v>-5.31</v>
      </c>
    </row>
    <row r="861" spans="1:14" x14ac:dyDescent="0.3">
      <c r="A861" t="s">
        <v>247</v>
      </c>
      <c r="B861" t="s">
        <v>57</v>
      </c>
      <c r="C861">
        <v>2</v>
      </c>
      <c r="D861">
        <v>12</v>
      </c>
      <c r="E861" t="s">
        <v>30</v>
      </c>
      <c r="G861" s="1">
        <v>45964</v>
      </c>
      <c r="I861" s="1">
        <v>45993</v>
      </c>
      <c r="J861">
        <f t="shared" si="92"/>
        <v>63.617251162500004</v>
      </c>
      <c r="K861">
        <v>5.31</v>
      </c>
      <c r="M861">
        <f t="shared" si="94"/>
        <v>0</v>
      </c>
      <c r="N861">
        <f t="shared" si="93"/>
        <v>-5.31</v>
      </c>
    </row>
    <row r="862" spans="1:14" x14ac:dyDescent="0.3">
      <c r="A862" t="s">
        <v>247</v>
      </c>
      <c r="B862" t="s">
        <v>57</v>
      </c>
      <c r="C862">
        <v>2</v>
      </c>
      <c r="D862">
        <v>12</v>
      </c>
      <c r="E862" t="s">
        <v>31</v>
      </c>
      <c r="G862" s="1">
        <v>45964</v>
      </c>
      <c r="I862" s="1">
        <v>45993</v>
      </c>
      <c r="J862">
        <f t="shared" si="92"/>
        <v>63.617251162500004</v>
      </c>
      <c r="K862">
        <v>5.31</v>
      </c>
      <c r="M862">
        <f t="shared" si="94"/>
        <v>0</v>
      </c>
      <c r="N862">
        <f t="shared" si="93"/>
        <v>-5.31</v>
      </c>
    </row>
    <row r="863" spans="1:14" x14ac:dyDescent="0.3">
      <c r="A863" t="s">
        <v>247</v>
      </c>
      <c r="B863" t="s">
        <v>57</v>
      </c>
      <c r="C863">
        <v>2</v>
      </c>
      <c r="D863">
        <v>18</v>
      </c>
      <c r="E863" t="s">
        <v>64</v>
      </c>
      <c r="G863" s="1">
        <v>45964</v>
      </c>
      <c r="I863" s="1">
        <v>45993</v>
      </c>
      <c r="J863">
        <f t="shared" si="92"/>
        <v>63.617251162500004</v>
      </c>
      <c r="K863">
        <v>5.31</v>
      </c>
      <c r="M863">
        <f t="shared" si="94"/>
        <v>0</v>
      </c>
      <c r="N863">
        <f t="shared" si="93"/>
        <v>-5.31</v>
      </c>
    </row>
    <row r="864" spans="1:14" x14ac:dyDescent="0.3">
      <c r="A864" t="s">
        <v>247</v>
      </c>
      <c r="B864" t="s">
        <v>57</v>
      </c>
      <c r="C864">
        <v>2</v>
      </c>
      <c r="D864">
        <v>18</v>
      </c>
      <c r="E864" t="s">
        <v>30</v>
      </c>
      <c r="G864" s="1">
        <v>45964</v>
      </c>
      <c r="I864" s="1">
        <v>45993</v>
      </c>
      <c r="J864">
        <f t="shared" si="92"/>
        <v>63.617251162500004</v>
      </c>
      <c r="K864">
        <v>5.31</v>
      </c>
      <c r="M864">
        <f t="shared" si="94"/>
        <v>0</v>
      </c>
      <c r="N864">
        <f t="shared" si="93"/>
        <v>-5.31</v>
      </c>
    </row>
    <row r="865" spans="1:16" x14ac:dyDescent="0.3">
      <c r="A865" t="s">
        <v>247</v>
      </c>
      <c r="B865" t="s">
        <v>57</v>
      </c>
      <c r="C865">
        <v>2</v>
      </c>
      <c r="D865">
        <v>18</v>
      </c>
      <c r="E865" t="s">
        <v>31</v>
      </c>
      <c r="G865" s="1">
        <v>45964</v>
      </c>
      <c r="I865" s="1">
        <v>45993</v>
      </c>
      <c r="J865">
        <f t="shared" si="92"/>
        <v>63.617251162500004</v>
      </c>
      <c r="K865">
        <v>5.31</v>
      </c>
      <c r="M865">
        <f t="shared" si="94"/>
        <v>0</v>
      </c>
      <c r="N865">
        <f t="shared" si="93"/>
        <v>-5.31</v>
      </c>
    </row>
    <row r="866" spans="1:16" x14ac:dyDescent="0.3">
      <c r="A866" t="s">
        <v>247</v>
      </c>
      <c r="B866" t="s">
        <v>57</v>
      </c>
      <c r="C866">
        <v>2</v>
      </c>
      <c r="D866">
        <v>24</v>
      </c>
      <c r="E866" t="s">
        <v>28</v>
      </c>
      <c r="G866" s="1">
        <v>45964</v>
      </c>
      <c r="I866" s="1">
        <v>45993</v>
      </c>
      <c r="J866">
        <f t="shared" si="92"/>
        <v>63.617251162500004</v>
      </c>
      <c r="K866">
        <v>5.31</v>
      </c>
      <c r="M866">
        <f t="shared" si="94"/>
        <v>0</v>
      </c>
      <c r="N866">
        <f t="shared" si="93"/>
        <v>-5.31</v>
      </c>
    </row>
    <row r="867" spans="1:16" x14ac:dyDescent="0.3">
      <c r="A867" t="s">
        <v>247</v>
      </c>
      <c r="B867" t="s">
        <v>57</v>
      </c>
      <c r="C867">
        <v>2</v>
      </c>
      <c r="D867">
        <v>24</v>
      </c>
      <c r="E867" t="s">
        <v>30</v>
      </c>
      <c r="G867" s="1">
        <v>45964</v>
      </c>
      <c r="I867" s="1">
        <v>45993</v>
      </c>
      <c r="J867">
        <f t="shared" si="92"/>
        <v>63.617251162500004</v>
      </c>
      <c r="K867">
        <v>5.31</v>
      </c>
      <c r="M867">
        <f t="shared" si="94"/>
        <v>0</v>
      </c>
      <c r="N867">
        <f t="shared" si="93"/>
        <v>-5.31</v>
      </c>
    </row>
    <row r="868" spans="1:16" x14ac:dyDescent="0.3">
      <c r="A868" t="s">
        <v>247</v>
      </c>
      <c r="B868" t="s">
        <v>57</v>
      </c>
      <c r="C868">
        <v>2</v>
      </c>
      <c r="D868">
        <v>24</v>
      </c>
      <c r="E868" t="s">
        <v>31</v>
      </c>
      <c r="G868" s="1">
        <v>45964</v>
      </c>
      <c r="I868" s="1">
        <v>45993</v>
      </c>
      <c r="J868">
        <f t="shared" si="92"/>
        <v>63.617251162500004</v>
      </c>
      <c r="K868">
        <v>5.31</v>
      </c>
      <c r="M868">
        <f t="shared" si="94"/>
        <v>0</v>
      </c>
      <c r="N868">
        <f t="shared" si="93"/>
        <v>-5.31</v>
      </c>
    </row>
    <row r="869" spans="1:16" x14ac:dyDescent="0.3">
      <c r="A869" t="s">
        <v>247</v>
      </c>
      <c r="B869" t="s">
        <v>57</v>
      </c>
      <c r="C869">
        <v>2</v>
      </c>
      <c r="D869">
        <v>48</v>
      </c>
      <c r="E869" t="s">
        <v>64</v>
      </c>
      <c r="G869" s="1">
        <v>45964</v>
      </c>
      <c r="I869" s="1">
        <v>45993</v>
      </c>
      <c r="J869">
        <f t="shared" si="92"/>
        <v>63.617251162500004</v>
      </c>
      <c r="K869">
        <v>5.31</v>
      </c>
      <c r="M869">
        <f t="shared" si="94"/>
        <v>0</v>
      </c>
      <c r="N869">
        <f t="shared" si="93"/>
        <v>-5.31</v>
      </c>
    </row>
    <row r="870" spans="1:16" x14ac:dyDescent="0.3">
      <c r="A870" t="s">
        <v>247</v>
      </c>
      <c r="B870" t="s">
        <v>57</v>
      </c>
      <c r="C870">
        <v>2</v>
      </c>
      <c r="D870">
        <v>48</v>
      </c>
      <c r="E870" t="s">
        <v>30</v>
      </c>
      <c r="G870" s="1">
        <v>45964</v>
      </c>
      <c r="I870" s="1">
        <v>45993</v>
      </c>
      <c r="J870">
        <f t="shared" si="92"/>
        <v>63.617251162500004</v>
      </c>
      <c r="K870">
        <v>5.31</v>
      </c>
      <c r="M870">
        <f t="shared" si="94"/>
        <v>0</v>
      </c>
      <c r="N870">
        <f t="shared" si="93"/>
        <v>-5.31</v>
      </c>
    </row>
    <row r="871" spans="1:16" x14ac:dyDescent="0.3">
      <c r="A871" t="s">
        <v>247</v>
      </c>
      <c r="B871" t="s">
        <v>57</v>
      </c>
      <c r="C871">
        <v>2</v>
      </c>
      <c r="D871">
        <v>48</v>
      </c>
      <c r="E871" t="s">
        <v>31</v>
      </c>
      <c r="G871" s="1">
        <v>45964</v>
      </c>
      <c r="I871" s="1">
        <v>45993</v>
      </c>
      <c r="J871">
        <f t="shared" si="92"/>
        <v>63.617251162500004</v>
      </c>
      <c r="K871">
        <v>5.31</v>
      </c>
      <c r="M871">
        <f t="shared" si="94"/>
        <v>0</v>
      </c>
      <c r="N871">
        <f t="shared" si="93"/>
        <v>-5.31</v>
      </c>
    </row>
    <row r="872" spans="1:16" x14ac:dyDescent="0.3">
      <c r="A872" t="s">
        <v>247</v>
      </c>
      <c r="B872" t="s">
        <v>57</v>
      </c>
      <c r="E872" t="s">
        <v>67</v>
      </c>
      <c r="G872" t="s">
        <v>56</v>
      </c>
      <c r="J872">
        <f t="shared" si="92"/>
        <v>63.617251162500004</v>
      </c>
      <c r="K872">
        <v>5.31</v>
      </c>
      <c r="M872">
        <f t="shared" si="94"/>
        <v>0</v>
      </c>
      <c r="N872">
        <f t="shared" si="93"/>
        <v>-5.31</v>
      </c>
    </row>
    <row r="873" spans="1:16" x14ac:dyDescent="0.3">
      <c r="A873" t="s">
        <v>247</v>
      </c>
      <c r="B873" t="s">
        <v>57</v>
      </c>
      <c r="E873" t="s">
        <v>68</v>
      </c>
      <c r="G873" t="s">
        <v>56</v>
      </c>
      <c r="J873">
        <f t="shared" si="92"/>
        <v>63.617251162500004</v>
      </c>
      <c r="K873">
        <v>5.31</v>
      </c>
      <c r="M873">
        <f t="shared" si="94"/>
        <v>0</v>
      </c>
      <c r="N873">
        <f t="shared" si="93"/>
        <v>-5.31</v>
      </c>
    </row>
    <row r="874" spans="1:16" x14ac:dyDescent="0.3">
      <c r="A874" t="s">
        <v>247</v>
      </c>
      <c r="B874" t="s">
        <v>57</v>
      </c>
      <c r="E874" t="s">
        <v>69</v>
      </c>
      <c r="G874" t="s">
        <v>56</v>
      </c>
      <c r="J874">
        <f t="shared" si="92"/>
        <v>63.617251162500004</v>
      </c>
      <c r="K874">
        <v>5.31</v>
      </c>
      <c r="M874">
        <f t="shared" si="94"/>
        <v>0</v>
      </c>
      <c r="N874">
        <f t="shared" si="93"/>
        <v>-5.31</v>
      </c>
    </row>
    <row r="875" spans="1:16" x14ac:dyDescent="0.3">
      <c r="A875" t="s">
        <v>247</v>
      </c>
      <c r="B875" t="s">
        <v>57</v>
      </c>
      <c r="E875" t="s">
        <v>70</v>
      </c>
      <c r="G875" t="s">
        <v>56</v>
      </c>
      <c r="J875">
        <f t="shared" si="92"/>
        <v>63.617251162500004</v>
      </c>
      <c r="K875">
        <v>5.31</v>
      </c>
      <c r="M875">
        <f t="shared" si="94"/>
        <v>0</v>
      </c>
      <c r="N875">
        <f t="shared" si="93"/>
        <v>-5.31</v>
      </c>
    </row>
    <row r="876" spans="1:16" x14ac:dyDescent="0.3">
      <c r="A876" t="s">
        <v>220</v>
      </c>
      <c r="B876" t="s">
        <v>61</v>
      </c>
      <c r="C876">
        <v>1</v>
      </c>
      <c r="D876">
        <v>0.5</v>
      </c>
      <c r="E876" t="s">
        <v>28</v>
      </c>
      <c r="F876">
        <v>4.4611999999999998</v>
      </c>
      <c r="G876" s="1">
        <v>46003</v>
      </c>
      <c r="H876">
        <v>2.3244199999999999</v>
      </c>
      <c r="I876" s="1">
        <v>46044</v>
      </c>
      <c r="J876">
        <f t="shared" ref="J876:J939" si="95">4.5*4.5*3.14159265</f>
        <v>63.617251162500004</v>
      </c>
      <c r="K876">
        <v>5.31</v>
      </c>
      <c r="L876" s="7">
        <v>1</v>
      </c>
      <c r="M876">
        <f t="shared" si="94"/>
        <v>4.4611999999999998</v>
      </c>
      <c r="N876">
        <f t="shared" si="93"/>
        <v>58.307251162500002</v>
      </c>
      <c r="O876" t="s">
        <v>221</v>
      </c>
      <c r="P876">
        <v>7.2574300000000003</v>
      </c>
    </row>
    <row r="877" spans="1:16" x14ac:dyDescent="0.3">
      <c r="A877" t="s">
        <v>220</v>
      </c>
      <c r="B877" t="s">
        <v>61</v>
      </c>
      <c r="C877">
        <v>1</v>
      </c>
      <c r="D877">
        <v>0.5</v>
      </c>
      <c r="E877" t="s">
        <v>30</v>
      </c>
      <c r="F877">
        <v>4.4321599999999997</v>
      </c>
      <c r="G877" s="1">
        <v>46003</v>
      </c>
      <c r="H877">
        <v>2.3408500000000001</v>
      </c>
      <c r="I877" s="1">
        <v>46044</v>
      </c>
      <c r="J877">
        <f t="shared" si="95"/>
        <v>63.617251162500004</v>
      </c>
      <c r="K877">
        <v>5.31</v>
      </c>
      <c r="L877" s="7">
        <v>1</v>
      </c>
      <c r="M877">
        <f t="shared" si="94"/>
        <v>4.4321599999999997</v>
      </c>
      <c r="N877">
        <f t="shared" si="93"/>
        <v>58.307251162500002</v>
      </c>
      <c r="P877">
        <v>6.9803699999999997</v>
      </c>
    </row>
    <row r="878" spans="1:16" x14ac:dyDescent="0.3">
      <c r="A878" t="s">
        <v>220</v>
      </c>
      <c r="B878" t="s">
        <v>61</v>
      </c>
      <c r="C878">
        <v>1</v>
      </c>
      <c r="D878">
        <v>0.5</v>
      </c>
      <c r="E878" t="s">
        <v>31</v>
      </c>
      <c r="F878">
        <v>4.48353</v>
      </c>
      <c r="G878" s="1">
        <v>46003</v>
      </c>
      <c r="H878">
        <v>2.3179500000000002</v>
      </c>
      <c r="I878" s="1">
        <v>46044</v>
      </c>
      <c r="J878">
        <f t="shared" si="95"/>
        <v>63.617251162500004</v>
      </c>
      <c r="K878">
        <v>5.31</v>
      </c>
      <c r="L878" s="7">
        <v>1</v>
      </c>
      <c r="M878">
        <f t="shared" si="94"/>
        <v>4.48353</v>
      </c>
      <c r="N878">
        <f t="shared" si="93"/>
        <v>58.307251162500002</v>
      </c>
      <c r="P878">
        <v>6.9737600000000004</v>
      </c>
    </row>
    <row r="879" spans="1:16" x14ac:dyDescent="0.3">
      <c r="A879" t="s">
        <v>220</v>
      </c>
      <c r="B879" t="s">
        <v>61</v>
      </c>
      <c r="C879">
        <v>1</v>
      </c>
      <c r="D879">
        <v>2</v>
      </c>
      <c r="E879" t="s">
        <v>28</v>
      </c>
      <c r="F879">
        <v>4.3726599999999998</v>
      </c>
      <c r="G879" s="1">
        <v>46003</v>
      </c>
      <c r="H879">
        <v>2.3355199999999998</v>
      </c>
      <c r="I879" s="1">
        <v>46044</v>
      </c>
      <c r="J879">
        <f t="shared" si="95"/>
        <v>63.617251162500004</v>
      </c>
      <c r="K879">
        <v>5.31</v>
      </c>
      <c r="L879" s="7">
        <v>1</v>
      </c>
      <c r="M879">
        <f t="shared" si="94"/>
        <v>4.3726599999999998</v>
      </c>
      <c r="N879">
        <f t="shared" si="93"/>
        <v>58.307251162500002</v>
      </c>
      <c r="P879">
        <v>6.8463599999999998</v>
      </c>
    </row>
    <row r="880" spans="1:16" x14ac:dyDescent="0.3">
      <c r="A880" t="s">
        <v>220</v>
      </c>
      <c r="B880" t="s">
        <v>61</v>
      </c>
      <c r="C880">
        <v>1</v>
      </c>
      <c r="D880">
        <v>2</v>
      </c>
      <c r="E880" t="s">
        <v>30</v>
      </c>
      <c r="F880">
        <v>4.5459399999999999</v>
      </c>
      <c r="G880" s="1">
        <v>46003</v>
      </c>
      <c r="H880">
        <v>2.7172499999999999</v>
      </c>
      <c r="I880" s="1">
        <v>46044</v>
      </c>
      <c r="J880">
        <f t="shared" si="95"/>
        <v>63.617251162500004</v>
      </c>
      <c r="K880">
        <v>5.31</v>
      </c>
      <c r="L880" s="7">
        <v>1</v>
      </c>
      <c r="M880">
        <f t="shared" si="94"/>
        <v>4.5459399999999999</v>
      </c>
      <c r="N880">
        <f t="shared" si="93"/>
        <v>58.307251162500002</v>
      </c>
      <c r="P880">
        <v>7.4043400000000004</v>
      </c>
    </row>
    <row r="881" spans="1:29" x14ac:dyDescent="0.3">
      <c r="A881" t="s">
        <v>220</v>
      </c>
      <c r="B881" t="s">
        <v>61</v>
      </c>
      <c r="C881">
        <v>1</v>
      </c>
      <c r="D881">
        <v>2</v>
      </c>
      <c r="E881" t="s">
        <v>31</v>
      </c>
      <c r="F881">
        <v>4.4588700000000001</v>
      </c>
      <c r="G881" s="1">
        <v>46003</v>
      </c>
      <c r="H881">
        <v>2.28525</v>
      </c>
      <c r="I881" s="1">
        <v>46044</v>
      </c>
      <c r="J881">
        <f t="shared" si="95"/>
        <v>63.617251162500004</v>
      </c>
      <c r="K881">
        <v>5.31</v>
      </c>
      <c r="L881" s="7">
        <v>1</v>
      </c>
      <c r="M881">
        <f t="shared" si="94"/>
        <v>4.4588700000000001</v>
      </c>
      <c r="N881">
        <f t="shared" si="93"/>
        <v>58.307251162500002</v>
      </c>
      <c r="P881">
        <v>6.96347</v>
      </c>
    </row>
    <row r="882" spans="1:29" x14ac:dyDescent="0.3">
      <c r="A882" t="s">
        <v>220</v>
      </c>
      <c r="B882" t="s">
        <v>61</v>
      </c>
      <c r="C882">
        <v>1</v>
      </c>
      <c r="D882">
        <v>6</v>
      </c>
      <c r="E882" t="s">
        <v>28</v>
      </c>
      <c r="F882">
        <v>0.45229999999999998</v>
      </c>
      <c r="G882" s="1">
        <v>46003</v>
      </c>
      <c r="H882">
        <v>2.3343500000000001</v>
      </c>
      <c r="I882" s="1">
        <v>46044</v>
      </c>
      <c r="J882">
        <f t="shared" si="95"/>
        <v>63.617251162500004</v>
      </c>
      <c r="K882">
        <v>5.31</v>
      </c>
      <c r="L882" s="7">
        <v>1</v>
      </c>
      <c r="M882">
        <f t="shared" si="94"/>
        <v>0.45229999999999998</v>
      </c>
      <c r="N882">
        <f t="shared" si="93"/>
        <v>58.307251162500002</v>
      </c>
      <c r="P882">
        <v>3.52427</v>
      </c>
    </row>
    <row r="883" spans="1:29" x14ac:dyDescent="0.3">
      <c r="A883" t="s">
        <v>220</v>
      </c>
      <c r="B883" t="s">
        <v>61</v>
      </c>
      <c r="C883">
        <v>1</v>
      </c>
      <c r="D883">
        <v>6</v>
      </c>
      <c r="E883" t="s">
        <v>30</v>
      </c>
      <c r="F883">
        <v>0.45145000000000002</v>
      </c>
      <c r="G883" s="1">
        <v>46003</v>
      </c>
      <c r="H883">
        <v>2.3875299999999999</v>
      </c>
      <c r="I883" s="1">
        <v>46044</v>
      </c>
      <c r="J883">
        <f t="shared" si="95"/>
        <v>63.617251162500004</v>
      </c>
      <c r="K883">
        <v>5.31</v>
      </c>
      <c r="L883" s="7">
        <v>1</v>
      </c>
      <c r="M883">
        <f t="shared" si="94"/>
        <v>0.45145000000000002</v>
      </c>
      <c r="N883">
        <f t="shared" si="93"/>
        <v>58.307251162500002</v>
      </c>
      <c r="P883">
        <v>3.6115699999999999</v>
      </c>
    </row>
    <row r="884" spans="1:29" x14ac:dyDescent="0.3">
      <c r="A884" t="s">
        <v>220</v>
      </c>
      <c r="B884" t="s">
        <v>61</v>
      </c>
      <c r="C884">
        <v>1</v>
      </c>
      <c r="D884">
        <v>6</v>
      </c>
      <c r="E884" t="s">
        <v>31</v>
      </c>
      <c r="F884">
        <v>0.45780999999999999</v>
      </c>
      <c r="G884" s="1">
        <v>46003</v>
      </c>
      <c r="H884">
        <v>2.2775699999999999</v>
      </c>
      <c r="I884" s="1">
        <v>46044</v>
      </c>
      <c r="J884">
        <f t="shared" si="95"/>
        <v>63.617251162500004</v>
      </c>
      <c r="K884">
        <v>5.31</v>
      </c>
      <c r="L884" s="7">
        <v>1</v>
      </c>
      <c r="M884">
        <f t="shared" si="94"/>
        <v>0.45780999999999999</v>
      </c>
      <c r="N884">
        <f t="shared" si="93"/>
        <v>58.307251162500002</v>
      </c>
      <c r="P884">
        <v>3.6122999999999998</v>
      </c>
    </row>
    <row r="885" spans="1:29" x14ac:dyDescent="0.3">
      <c r="A885" t="s">
        <v>220</v>
      </c>
      <c r="B885" t="s">
        <v>61</v>
      </c>
      <c r="C885">
        <v>1</v>
      </c>
      <c r="D885">
        <v>12</v>
      </c>
      <c r="E885" t="s">
        <v>28</v>
      </c>
      <c r="F885">
        <v>0.45100000000000001</v>
      </c>
      <c r="G885" s="1">
        <v>46003</v>
      </c>
      <c r="H885">
        <v>2.3199399999999999</v>
      </c>
      <c r="I885" s="1">
        <v>46044</v>
      </c>
      <c r="J885">
        <f t="shared" si="95"/>
        <v>63.617251162500004</v>
      </c>
      <c r="K885">
        <v>5.31</v>
      </c>
      <c r="L885" s="7">
        <v>1</v>
      </c>
      <c r="M885">
        <f t="shared" si="94"/>
        <v>0.45100000000000001</v>
      </c>
      <c r="N885">
        <f t="shared" si="93"/>
        <v>58.307251162500002</v>
      </c>
      <c r="P885">
        <v>3.3668200000000001</v>
      </c>
    </row>
    <row r="886" spans="1:29" x14ac:dyDescent="0.3">
      <c r="A886" t="s">
        <v>220</v>
      </c>
      <c r="B886" t="s">
        <v>61</v>
      </c>
      <c r="C886">
        <v>1</v>
      </c>
      <c r="D886">
        <v>12</v>
      </c>
      <c r="E886" t="s">
        <v>30</v>
      </c>
      <c r="F886">
        <v>0.45055000000000001</v>
      </c>
      <c r="G886" s="1">
        <v>46003</v>
      </c>
      <c r="H886">
        <v>2.2852700000000001</v>
      </c>
      <c r="I886" s="1">
        <v>46044</v>
      </c>
      <c r="J886">
        <f t="shared" si="95"/>
        <v>63.617251162500004</v>
      </c>
      <c r="K886">
        <v>5.31</v>
      </c>
      <c r="L886" s="7">
        <v>1</v>
      </c>
      <c r="M886">
        <f t="shared" si="94"/>
        <v>0.45055000000000001</v>
      </c>
      <c r="N886">
        <f t="shared" si="93"/>
        <v>58.307251162500002</v>
      </c>
      <c r="P886">
        <v>3.6490300000000002</v>
      </c>
    </row>
    <row r="887" spans="1:29" x14ac:dyDescent="0.3">
      <c r="A887" t="s">
        <v>220</v>
      </c>
      <c r="B887" t="s">
        <v>61</v>
      </c>
      <c r="C887">
        <v>1</v>
      </c>
      <c r="D887">
        <v>12</v>
      </c>
      <c r="E887" t="s">
        <v>31</v>
      </c>
      <c r="F887">
        <v>0.45001999999999998</v>
      </c>
      <c r="G887" s="1">
        <v>46003</v>
      </c>
      <c r="H887">
        <v>2.4479299999999999</v>
      </c>
      <c r="I887" s="1">
        <v>46044</v>
      </c>
      <c r="J887">
        <f t="shared" si="95"/>
        <v>63.617251162500004</v>
      </c>
      <c r="K887">
        <v>5.31</v>
      </c>
      <c r="L887" s="7">
        <v>1</v>
      </c>
      <c r="M887">
        <f t="shared" si="94"/>
        <v>0.45001999999999998</v>
      </c>
      <c r="N887">
        <f t="shared" si="93"/>
        <v>58.307251162500002</v>
      </c>
      <c r="P887">
        <v>3.6282999999999999</v>
      </c>
    </row>
    <row r="888" spans="1:29" x14ac:dyDescent="0.3">
      <c r="A888" t="s">
        <v>220</v>
      </c>
      <c r="B888" t="s">
        <v>61</v>
      </c>
      <c r="C888">
        <v>1</v>
      </c>
      <c r="D888">
        <v>18</v>
      </c>
      <c r="E888" t="s">
        <v>28</v>
      </c>
      <c r="F888">
        <v>0.45266000000000001</v>
      </c>
      <c r="G888" s="1">
        <v>46003</v>
      </c>
      <c r="H888">
        <v>2.0885699999999998</v>
      </c>
      <c r="I888" s="1">
        <v>46044</v>
      </c>
      <c r="J888">
        <f t="shared" si="95"/>
        <v>63.617251162500004</v>
      </c>
      <c r="K888">
        <v>5.31</v>
      </c>
      <c r="L888" s="7">
        <v>1</v>
      </c>
      <c r="M888">
        <f t="shared" si="94"/>
        <v>0.45266000000000001</v>
      </c>
      <c r="N888">
        <f t="shared" si="93"/>
        <v>58.307251162500002</v>
      </c>
      <c r="P888">
        <v>3.6334900000000001</v>
      </c>
    </row>
    <row r="889" spans="1:29" x14ac:dyDescent="0.3">
      <c r="A889" t="s">
        <v>220</v>
      </c>
      <c r="B889" t="s">
        <v>61</v>
      </c>
      <c r="C889">
        <v>1</v>
      </c>
      <c r="D889">
        <v>18</v>
      </c>
      <c r="E889" t="s">
        <v>30</v>
      </c>
      <c r="F889">
        <v>0.45319999999999999</v>
      </c>
      <c r="G889" s="1">
        <v>46003</v>
      </c>
      <c r="H889">
        <v>2.3209200000000001</v>
      </c>
      <c r="I889" s="1">
        <v>46044</v>
      </c>
      <c r="J889">
        <f t="shared" si="95"/>
        <v>63.617251162500004</v>
      </c>
      <c r="K889">
        <v>5.31</v>
      </c>
      <c r="L889" s="7">
        <v>1</v>
      </c>
      <c r="M889">
        <f t="shared" si="94"/>
        <v>0.45319999999999999</v>
      </c>
      <c r="N889">
        <f t="shared" si="93"/>
        <v>58.307251162500002</v>
      </c>
      <c r="P889">
        <v>3.69014</v>
      </c>
    </row>
    <row r="890" spans="1:29" x14ac:dyDescent="0.3">
      <c r="A890" t="s">
        <v>220</v>
      </c>
      <c r="B890" t="s">
        <v>61</v>
      </c>
      <c r="C890">
        <v>1</v>
      </c>
      <c r="D890">
        <v>18</v>
      </c>
      <c r="E890" t="s">
        <v>62</v>
      </c>
      <c r="F890">
        <v>0.45250000000000001</v>
      </c>
      <c r="G890" s="1">
        <v>46003</v>
      </c>
      <c r="H890">
        <v>2.4594999999999998</v>
      </c>
      <c r="I890" s="1">
        <v>46044</v>
      </c>
      <c r="J890">
        <f t="shared" si="95"/>
        <v>63.617251162500004</v>
      </c>
      <c r="K890">
        <v>5.31</v>
      </c>
      <c r="L890" s="7">
        <v>1</v>
      </c>
      <c r="M890">
        <f t="shared" si="94"/>
        <v>0.45250000000000001</v>
      </c>
      <c r="N890">
        <f t="shared" si="93"/>
        <v>58.307251162500002</v>
      </c>
      <c r="P890">
        <v>3.5472899999999998</v>
      </c>
    </row>
    <row r="891" spans="1:29" x14ac:dyDescent="0.3">
      <c r="A891" t="s">
        <v>220</v>
      </c>
      <c r="B891" t="s">
        <v>61</v>
      </c>
      <c r="C891">
        <v>1</v>
      </c>
      <c r="D891">
        <v>24</v>
      </c>
      <c r="E891" t="s">
        <v>28</v>
      </c>
      <c r="F891">
        <v>0.45461000000000001</v>
      </c>
      <c r="G891" s="1">
        <v>46003</v>
      </c>
      <c r="H891">
        <v>2.3285</v>
      </c>
      <c r="I891" s="1">
        <v>46044</v>
      </c>
      <c r="J891">
        <f t="shared" si="95"/>
        <v>63.617251162500004</v>
      </c>
      <c r="K891">
        <v>5.31</v>
      </c>
      <c r="L891" s="7">
        <v>1</v>
      </c>
      <c r="M891">
        <f t="shared" si="94"/>
        <v>0.45461000000000001</v>
      </c>
      <c r="N891">
        <f t="shared" si="93"/>
        <v>58.307251162500002</v>
      </c>
      <c r="P891">
        <v>3.2644199999999999</v>
      </c>
    </row>
    <row r="892" spans="1:29" x14ac:dyDescent="0.3">
      <c r="A892" t="s">
        <v>220</v>
      </c>
      <c r="B892" t="s">
        <v>61</v>
      </c>
      <c r="C892">
        <v>1</v>
      </c>
      <c r="D892">
        <v>24</v>
      </c>
      <c r="E892" t="s">
        <v>30</v>
      </c>
      <c r="F892">
        <v>0.45415</v>
      </c>
      <c r="G892" s="1">
        <v>46003</v>
      </c>
      <c r="H892">
        <v>5.1185900000000002</v>
      </c>
      <c r="I892" s="1">
        <v>46044</v>
      </c>
      <c r="J892">
        <f t="shared" si="95"/>
        <v>63.617251162500004</v>
      </c>
      <c r="K892">
        <v>5.31</v>
      </c>
      <c r="L892" s="7">
        <v>0.75</v>
      </c>
      <c r="M892">
        <f t="shared" si="94"/>
        <v>0.34061249999999998</v>
      </c>
      <c r="N892">
        <f t="shared" si="93"/>
        <v>42.402938371875003</v>
      </c>
      <c r="P892">
        <v>6.0394500000000004</v>
      </c>
      <c r="AC892" t="s">
        <v>222</v>
      </c>
    </row>
    <row r="893" spans="1:29" x14ac:dyDescent="0.3">
      <c r="A893" t="s">
        <v>220</v>
      </c>
      <c r="B893" t="s">
        <v>61</v>
      </c>
      <c r="C893">
        <v>1</v>
      </c>
      <c r="D893">
        <v>24</v>
      </c>
      <c r="E893" t="s">
        <v>31</v>
      </c>
      <c r="F893">
        <v>0.45262000000000002</v>
      </c>
      <c r="G893" s="1">
        <v>46003</v>
      </c>
      <c r="H893">
        <v>5.1216699999999999</v>
      </c>
      <c r="I893" s="1">
        <v>46044</v>
      </c>
      <c r="J893">
        <f t="shared" si="95"/>
        <v>63.617251162500004</v>
      </c>
      <c r="K893">
        <v>5.31</v>
      </c>
      <c r="L893" s="7">
        <v>1</v>
      </c>
      <c r="M893">
        <f t="shared" si="94"/>
        <v>0.45262000000000002</v>
      </c>
      <c r="N893">
        <f t="shared" si="93"/>
        <v>58.307251162500002</v>
      </c>
      <c r="P893">
        <v>6.0382600000000002</v>
      </c>
    </row>
    <row r="894" spans="1:29" x14ac:dyDescent="0.3">
      <c r="A894" t="s">
        <v>220</v>
      </c>
      <c r="B894" t="s">
        <v>61</v>
      </c>
      <c r="C894">
        <v>1</v>
      </c>
      <c r="D894">
        <v>48</v>
      </c>
      <c r="E894" t="s">
        <v>28</v>
      </c>
      <c r="F894">
        <v>0.45324999999999999</v>
      </c>
      <c r="G894" s="1">
        <v>46003</v>
      </c>
      <c r="H894">
        <v>5.13924</v>
      </c>
      <c r="I894" s="1">
        <v>46044</v>
      </c>
      <c r="J894">
        <f t="shared" si="95"/>
        <v>63.617251162500004</v>
      </c>
      <c r="K894">
        <v>5.31</v>
      </c>
      <c r="L894" s="7">
        <v>1</v>
      </c>
      <c r="M894">
        <f t="shared" si="94"/>
        <v>0.45324999999999999</v>
      </c>
      <c r="N894">
        <f t="shared" si="93"/>
        <v>58.307251162500002</v>
      </c>
      <c r="P894">
        <v>6.0007099999999998</v>
      </c>
    </row>
    <row r="895" spans="1:29" x14ac:dyDescent="0.3">
      <c r="A895" t="s">
        <v>220</v>
      </c>
      <c r="B895" t="s">
        <v>61</v>
      </c>
      <c r="C895">
        <v>1</v>
      </c>
      <c r="D895">
        <v>48</v>
      </c>
      <c r="E895" t="s">
        <v>30</v>
      </c>
      <c r="F895">
        <v>0.44908999999999999</v>
      </c>
      <c r="G895" s="1">
        <v>46003</v>
      </c>
      <c r="H895">
        <v>5.1289699999999998</v>
      </c>
      <c r="I895" s="1">
        <v>46044</v>
      </c>
      <c r="J895">
        <f t="shared" si="95"/>
        <v>63.617251162500004</v>
      </c>
      <c r="K895">
        <v>5.31</v>
      </c>
      <c r="L895" s="7">
        <v>1</v>
      </c>
      <c r="M895">
        <f t="shared" si="94"/>
        <v>0.44908999999999999</v>
      </c>
      <c r="N895">
        <f t="shared" si="93"/>
        <v>58.307251162500002</v>
      </c>
      <c r="P895">
        <v>5.9994300000000003</v>
      </c>
    </row>
    <row r="896" spans="1:29" x14ac:dyDescent="0.3">
      <c r="A896" t="s">
        <v>220</v>
      </c>
      <c r="B896" t="s">
        <v>61</v>
      </c>
      <c r="C896">
        <v>1</v>
      </c>
      <c r="D896">
        <v>48</v>
      </c>
      <c r="E896" t="s">
        <v>31</v>
      </c>
      <c r="F896">
        <v>0.45280999999999999</v>
      </c>
      <c r="G896" s="1">
        <v>46003</v>
      </c>
      <c r="H896">
        <v>5.1179899999999998</v>
      </c>
      <c r="I896" s="1">
        <v>46044</v>
      </c>
      <c r="J896">
        <f t="shared" si="95"/>
        <v>63.617251162500004</v>
      </c>
      <c r="K896">
        <v>5.31</v>
      </c>
      <c r="L896" s="7">
        <v>1</v>
      </c>
      <c r="M896">
        <f t="shared" si="94"/>
        <v>0.45280999999999999</v>
      </c>
      <c r="N896">
        <f t="shared" si="93"/>
        <v>58.307251162500002</v>
      </c>
      <c r="P896">
        <v>6.0750900000000003</v>
      </c>
    </row>
    <row r="897" spans="1:29" x14ac:dyDescent="0.3">
      <c r="A897" t="s">
        <v>220</v>
      </c>
      <c r="B897" t="s">
        <v>61</v>
      </c>
      <c r="C897">
        <v>2</v>
      </c>
      <c r="D897">
        <v>0.5</v>
      </c>
      <c r="E897" t="s">
        <v>28</v>
      </c>
      <c r="F897">
        <v>4.5931600000000001</v>
      </c>
      <c r="G897" s="1">
        <v>46003</v>
      </c>
      <c r="H897">
        <v>5.1474500000000001</v>
      </c>
      <c r="I897" s="1">
        <v>46044</v>
      </c>
      <c r="J897">
        <f t="shared" si="95"/>
        <v>63.617251162500004</v>
      </c>
      <c r="K897">
        <v>5.31</v>
      </c>
      <c r="L897" s="7">
        <v>1</v>
      </c>
      <c r="M897">
        <f t="shared" si="94"/>
        <v>4.5931600000000001</v>
      </c>
      <c r="N897">
        <f t="shared" si="93"/>
        <v>58.307251162500002</v>
      </c>
      <c r="P897">
        <v>10.23659</v>
      </c>
    </row>
    <row r="898" spans="1:29" x14ac:dyDescent="0.3">
      <c r="A898" t="s">
        <v>220</v>
      </c>
      <c r="B898" t="s">
        <v>61</v>
      </c>
      <c r="C898">
        <v>2</v>
      </c>
      <c r="D898">
        <v>0.5</v>
      </c>
      <c r="E898" t="s">
        <v>30</v>
      </c>
      <c r="F898">
        <v>4.4427500000000002</v>
      </c>
      <c r="G898" s="1">
        <v>46003</v>
      </c>
      <c r="H898">
        <v>5.1098800000000004</v>
      </c>
      <c r="I898" s="1">
        <v>46044</v>
      </c>
      <c r="J898">
        <f t="shared" si="95"/>
        <v>63.617251162500004</v>
      </c>
      <c r="K898">
        <v>5.31</v>
      </c>
      <c r="L898" s="7">
        <v>1</v>
      </c>
      <c r="M898">
        <f t="shared" si="94"/>
        <v>4.4427500000000002</v>
      </c>
      <c r="N898">
        <f t="shared" ref="N898:N961" si="96">L898*J898-K898</f>
        <v>58.307251162500002</v>
      </c>
      <c r="P898">
        <v>9.7714999999999996</v>
      </c>
    </row>
    <row r="899" spans="1:29" x14ac:dyDescent="0.3">
      <c r="A899" t="s">
        <v>220</v>
      </c>
      <c r="B899" t="s">
        <v>61</v>
      </c>
      <c r="C899">
        <v>2</v>
      </c>
      <c r="D899">
        <v>0.5</v>
      </c>
      <c r="E899" t="s">
        <v>31</v>
      </c>
      <c r="F899">
        <v>4.6218500000000002</v>
      </c>
      <c r="G899" s="1">
        <v>46003</v>
      </c>
      <c r="H899">
        <v>5.1441699999999999</v>
      </c>
      <c r="I899" s="1">
        <v>46044</v>
      </c>
      <c r="J899">
        <f t="shared" si="95"/>
        <v>63.617251162500004</v>
      </c>
      <c r="K899">
        <v>5.31</v>
      </c>
      <c r="L899" s="7">
        <v>1</v>
      </c>
      <c r="M899">
        <f t="shared" si="94"/>
        <v>4.6218500000000002</v>
      </c>
      <c r="N899">
        <f t="shared" si="96"/>
        <v>58.307251162500002</v>
      </c>
      <c r="P899">
        <v>10.06019</v>
      </c>
    </row>
    <row r="900" spans="1:29" x14ac:dyDescent="0.3">
      <c r="A900" t="s">
        <v>220</v>
      </c>
      <c r="B900" t="s">
        <v>61</v>
      </c>
      <c r="C900">
        <v>2</v>
      </c>
      <c r="D900">
        <v>2</v>
      </c>
      <c r="E900" t="s">
        <v>28</v>
      </c>
      <c r="F900">
        <v>4.5141799999999996</v>
      </c>
      <c r="G900" s="1">
        <v>46003</v>
      </c>
      <c r="H900">
        <v>5.1174200000000001</v>
      </c>
      <c r="I900" s="1">
        <v>46044</v>
      </c>
      <c r="J900">
        <f t="shared" si="95"/>
        <v>63.617251162500004</v>
      </c>
      <c r="K900">
        <v>5.31</v>
      </c>
      <c r="L900" s="7">
        <v>1</v>
      </c>
      <c r="M900">
        <f t="shared" ref="M900:M963" si="97">L900*F900</f>
        <v>4.5141799999999996</v>
      </c>
      <c r="N900">
        <f t="shared" si="96"/>
        <v>58.307251162500002</v>
      </c>
      <c r="P900">
        <v>9.7912800000000004</v>
      </c>
    </row>
    <row r="901" spans="1:29" x14ac:dyDescent="0.3">
      <c r="A901" t="s">
        <v>220</v>
      </c>
      <c r="B901" t="s">
        <v>61</v>
      </c>
      <c r="C901">
        <v>2</v>
      </c>
      <c r="D901">
        <v>2</v>
      </c>
      <c r="E901" t="s">
        <v>30</v>
      </c>
      <c r="F901">
        <v>4.1839000000000004</v>
      </c>
      <c r="G901" s="1">
        <v>46003</v>
      </c>
      <c r="H901">
        <v>5.11442</v>
      </c>
      <c r="I901" s="1">
        <v>46044</v>
      </c>
      <c r="J901">
        <f t="shared" si="95"/>
        <v>63.617251162500004</v>
      </c>
      <c r="K901">
        <v>5.31</v>
      </c>
      <c r="L901" s="7">
        <v>1</v>
      </c>
      <c r="M901">
        <f t="shared" si="97"/>
        <v>4.1839000000000004</v>
      </c>
      <c r="N901">
        <f t="shared" si="96"/>
        <v>58.307251162500002</v>
      </c>
      <c r="P901">
        <v>9.3986300000000007</v>
      </c>
    </row>
    <row r="902" spans="1:29" x14ac:dyDescent="0.3">
      <c r="A902" t="s">
        <v>220</v>
      </c>
      <c r="B902" t="s">
        <v>61</v>
      </c>
      <c r="C902">
        <v>2</v>
      </c>
      <c r="D902">
        <v>2</v>
      </c>
      <c r="E902" t="s">
        <v>31</v>
      </c>
      <c r="F902">
        <v>4.3798000000000004</v>
      </c>
      <c r="G902" s="1">
        <v>46003</v>
      </c>
      <c r="H902">
        <v>5.0883000000000003</v>
      </c>
      <c r="I902" s="1">
        <v>46044</v>
      </c>
      <c r="J902">
        <f t="shared" si="95"/>
        <v>63.617251162500004</v>
      </c>
      <c r="K902">
        <v>5.31</v>
      </c>
      <c r="L902" s="7">
        <v>1</v>
      </c>
      <c r="M902">
        <f t="shared" si="97"/>
        <v>4.3798000000000004</v>
      </c>
      <c r="N902">
        <f t="shared" si="96"/>
        <v>58.307251162500002</v>
      </c>
      <c r="P902">
        <v>9.5953400000000002</v>
      </c>
    </row>
    <row r="903" spans="1:29" x14ac:dyDescent="0.3">
      <c r="A903" t="s">
        <v>220</v>
      </c>
      <c r="B903" t="s">
        <v>61</v>
      </c>
      <c r="C903">
        <v>2</v>
      </c>
      <c r="D903">
        <v>6</v>
      </c>
      <c r="E903" t="s">
        <v>28</v>
      </c>
      <c r="F903">
        <v>0.45234000000000002</v>
      </c>
      <c r="G903" s="1">
        <v>46003</v>
      </c>
      <c r="H903">
        <v>5.1040400000000004</v>
      </c>
      <c r="I903" s="1">
        <v>46044</v>
      </c>
      <c r="J903">
        <f t="shared" si="95"/>
        <v>63.617251162500004</v>
      </c>
      <c r="K903">
        <v>5.31</v>
      </c>
      <c r="L903" s="7">
        <v>1</v>
      </c>
      <c r="M903">
        <f t="shared" si="97"/>
        <v>0.45234000000000002</v>
      </c>
      <c r="N903">
        <f t="shared" si="96"/>
        <v>58.307251162500002</v>
      </c>
      <c r="P903">
        <v>6.5879599999999998</v>
      </c>
    </row>
    <row r="904" spans="1:29" x14ac:dyDescent="0.3">
      <c r="A904" t="s">
        <v>220</v>
      </c>
      <c r="B904" t="s">
        <v>61</v>
      </c>
      <c r="C904">
        <v>2</v>
      </c>
      <c r="D904">
        <v>6</v>
      </c>
      <c r="E904" t="s">
        <v>30</v>
      </c>
      <c r="F904">
        <v>0.45221</v>
      </c>
      <c r="G904" s="1">
        <v>46003</v>
      </c>
      <c r="H904">
        <v>5.0876900000000003</v>
      </c>
      <c r="I904" s="1">
        <v>46044</v>
      </c>
      <c r="J904">
        <f t="shared" si="95"/>
        <v>63.617251162500004</v>
      </c>
      <c r="K904">
        <v>5.31</v>
      </c>
      <c r="L904" s="7">
        <v>1</v>
      </c>
      <c r="M904">
        <f t="shared" si="97"/>
        <v>0.45221</v>
      </c>
      <c r="N904">
        <f t="shared" si="96"/>
        <v>58.307251162500002</v>
      </c>
      <c r="P904">
        <v>6.5323900000000004</v>
      </c>
    </row>
    <row r="905" spans="1:29" x14ac:dyDescent="0.3">
      <c r="A905" t="s">
        <v>220</v>
      </c>
      <c r="B905" t="s">
        <v>61</v>
      </c>
      <c r="C905">
        <v>2</v>
      </c>
      <c r="D905">
        <v>6</v>
      </c>
      <c r="E905" t="s">
        <v>31</v>
      </c>
      <c r="F905">
        <v>0.45382</v>
      </c>
      <c r="G905" s="1">
        <v>46003</v>
      </c>
      <c r="H905">
        <v>5.1131500000000001</v>
      </c>
      <c r="I905" s="1">
        <v>46044</v>
      </c>
      <c r="J905">
        <f t="shared" si="95"/>
        <v>63.617251162500004</v>
      </c>
      <c r="K905">
        <v>5.31</v>
      </c>
      <c r="M905">
        <f t="shared" si="97"/>
        <v>0</v>
      </c>
      <c r="N905">
        <f t="shared" si="96"/>
        <v>-5.31</v>
      </c>
      <c r="P905">
        <v>7.4287599999999996</v>
      </c>
      <c r="AC905" t="s">
        <v>229</v>
      </c>
    </row>
    <row r="906" spans="1:29" x14ac:dyDescent="0.3">
      <c r="A906" t="s">
        <v>220</v>
      </c>
      <c r="B906" t="s">
        <v>61</v>
      </c>
      <c r="C906">
        <v>2</v>
      </c>
      <c r="D906">
        <v>12</v>
      </c>
      <c r="E906" t="s">
        <v>28</v>
      </c>
      <c r="F906">
        <v>0.45301000000000002</v>
      </c>
      <c r="G906" s="1">
        <v>46003</v>
      </c>
      <c r="H906">
        <v>5.1326200000000002</v>
      </c>
      <c r="I906" s="1">
        <v>46044</v>
      </c>
      <c r="J906">
        <f t="shared" si="95"/>
        <v>63.617251162500004</v>
      </c>
      <c r="K906">
        <v>5.31</v>
      </c>
      <c r="M906">
        <f t="shared" si="97"/>
        <v>0</v>
      </c>
      <c r="N906">
        <f t="shared" si="96"/>
        <v>-5.31</v>
      </c>
      <c r="P906">
        <v>7.1517400000000002</v>
      </c>
      <c r="AC906" t="s">
        <v>229</v>
      </c>
    </row>
    <row r="907" spans="1:29" x14ac:dyDescent="0.3">
      <c r="A907" t="s">
        <v>220</v>
      </c>
      <c r="B907" t="s">
        <v>61</v>
      </c>
      <c r="C907">
        <v>2</v>
      </c>
      <c r="D907">
        <v>12</v>
      </c>
      <c r="E907" t="s">
        <v>30</v>
      </c>
      <c r="F907">
        <v>0.45412000000000002</v>
      </c>
      <c r="G907" s="1">
        <v>46003</v>
      </c>
      <c r="H907" t="s">
        <v>223</v>
      </c>
      <c r="I907" s="1">
        <v>46044</v>
      </c>
      <c r="J907">
        <f t="shared" si="95"/>
        <v>63.617251162500004</v>
      </c>
      <c r="K907">
        <v>5.31</v>
      </c>
      <c r="M907">
        <f t="shared" si="97"/>
        <v>0</v>
      </c>
      <c r="N907">
        <f t="shared" si="96"/>
        <v>-5.31</v>
      </c>
      <c r="P907">
        <v>7.4371499999999999</v>
      </c>
      <c r="AC907" t="s">
        <v>229</v>
      </c>
    </row>
    <row r="908" spans="1:29" x14ac:dyDescent="0.3">
      <c r="A908" t="s">
        <v>220</v>
      </c>
      <c r="B908" t="s">
        <v>61</v>
      </c>
      <c r="C908">
        <v>2</v>
      </c>
      <c r="D908">
        <v>12</v>
      </c>
      <c r="E908" t="s">
        <v>31</v>
      </c>
      <c r="F908">
        <v>0.45350000000000001</v>
      </c>
      <c r="G908" s="1">
        <v>46003</v>
      </c>
      <c r="H908">
        <v>5.1117800000000004</v>
      </c>
      <c r="I908" s="1">
        <v>46044</v>
      </c>
      <c r="J908">
        <f t="shared" si="95"/>
        <v>63.617251162500004</v>
      </c>
      <c r="K908">
        <v>5.31</v>
      </c>
      <c r="M908">
        <f t="shared" si="97"/>
        <v>0</v>
      </c>
      <c r="N908">
        <f t="shared" si="96"/>
        <v>-5.31</v>
      </c>
      <c r="P908">
        <v>6.90876</v>
      </c>
      <c r="AC908" t="s">
        <v>229</v>
      </c>
    </row>
    <row r="909" spans="1:29" x14ac:dyDescent="0.3">
      <c r="A909" t="s">
        <v>220</v>
      </c>
      <c r="B909" t="s">
        <v>61</v>
      </c>
      <c r="C909">
        <v>2</v>
      </c>
      <c r="D909">
        <v>18</v>
      </c>
      <c r="E909" t="s">
        <v>64</v>
      </c>
      <c r="F909">
        <v>0.45282</v>
      </c>
      <c r="G909" s="1">
        <v>46003</v>
      </c>
      <c r="H909">
        <v>5.1140299999999996</v>
      </c>
      <c r="I909" s="1">
        <v>46044</v>
      </c>
      <c r="J909">
        <f t="shared" si="95"/>
        <v>63.617251162500004</v>
      </c>
      <c r="K909">
        <v>5.31</v>
      </c>
      <c r="M909">
        <f t="shared" si="97"/>
        <v>0</v>
      </c>
      <c r="N909">
        <f t="shared" si="96"/>
        <v>-5.31</v>
      </c>
      <c r="P909">
        <v>6.6568500000000004</v>
      </c>
      <c r="AC909" t="s">
        <v>229</v>
      </c>
    </row>
    <row r="910" spans="1:29" x14ac:dyDescent="0.3">
      <c r="A910" t="s">
        <v>220</v>
      </c>
      <c r="B910" t="s">
        <v>61</v>
      </c>
      <c r="C910">
        <v>2</v>
      </c>
      <c r="D910">
        <v>18</v>
      </c>
      <c r="E910" t="s">
        <v>30</v>
      </c>
      <c r="F910">
        <v>0.44841999999999999</v>
      </c>
      <c r="G910" s="1">
        <v>46003</v>
      </c>
      <c r="H910">
        <v>5.1210000000000004</v>
      </c>
      <c r="I910" s="1">
        <v>46044</v>
      </c>
      <c r="J910">
        <f t="shared" si="95"/>
        <v>63.617251162500004</v>
      </c>
      <c r="K910">
        <v>5.31</v>
      </c>
      <c r="M910">
        <f t="shared" si="97"/>
        <v>0</v>
      </c>
      <c r="N910">
        <f t="shared" si="96"/>
        <v>-5.31</v>
      </c>
      <c r="P910">
        <v>6.8050600000000001</v>
      </c>
      <c r="AC910" t="s">
        <v>229</v>
      </c>
    </row>
    <row r="911" spans="1:29" x14ac:dyDescent="0.3">
      <c r="A911" t="s">
        <v>220</v>
      </c>
      <c r="B911" t="s">
        <v>61</v>
      </c>
      <c r="C911">
        <v>2</v>
      </c>
      <c r="D911">
        <v>18</v>
      </c>
      <c r="E911" t="s">
        <v>31</v>
      </c>
      <c r="F911">
        <v>0.45297999999999999</v>
      </c>
      <c r="G911" s="1">
        <v>46003</v>
      </c>
      <c r="H911">
        <v>5.1260399999999997</v>
      </c>
      <c r="I911" s="1">
        <v>46044</v>
      </c>
      <c r="J911">
        <f t="shared" si="95"/>
        <v>63.617251162500004</v>
      </c>
      <c r="K911">
        <v>5.31</v>
      </c>
      <c r="M911">
        <f t="shared" si="97"/>
        <v>0</v>
      </c>
      <c r="N911">
        <f t="shared" si="96"/>
        <v>-5.31</v>
      </c>
      <c r="P911">
        <v>6.4191200000000004</v>
      </c>
      <c r="AC911" t="s">
        <v>230</v>
      </c>
    </row>
    <row r="912" spans="1:29" x14ac:dyDescent="0.3">
      <c r="A912" t="s">
        <v>220</v>
      </c>
      <c r="B912" t="s">
        <v>61</v>
      </c>
      <c r="C912">
        <v>2</v>
      </c>
      <c r="D912">
        <v>24</v>
      </c>
      <c r="E912" t="s">
        <v>28</v>
      </c>
      <c r="F912">
        <v>0.44962000000000002</v>
      </c>
      <c r="G912" s="1">
        <v>46003</v>
      </c>
      <c r="H912">
        <v>5.0761000000000003</v>
      </c>
      <c r="I912" s="1">
        <v>46044</v>
      </c>
      <c r="J912">
        <f t="shared" si="95"/>
        <v>63.617251162500004</v>
      </c>
      <c r="K912">
        <v>5.31</v>
      </c>
      <c r="M912">
        <f t="shared" si="97"/>
        <v>0</v>
      </c>
      <c r="N912">
        <f t="shared" si="96"/>
        <v>-5.31</v>
      </c>
      <c r="P912">
        <v>6.32944</v>
      </c>
      <c r="AC912" t="s">
        <v>229</v>
      </c>
    </row>
    <row r="913" spans="1:29" x14ac:dyDescent="0.3">
      <c r="A913" t="s">
        <v>220</v>
      </c>
      <c r="B913" t="s">
        <v>61</v>
      </c>
      <c r="C913">
        <v>2</v>
      </c>
      <c r="D913">
        <v>24</v>
      </c>
      <c r="E913" t="s">
        <v>30</v>
      </c>
      <c r="F913">
        <v>0.45371</v>
      </c>
      <c r="G913" s="1">
        <v>46003</v>
      </c>
      <c r="H913">
        <v>5.1124400000000003</v>
      </c>
      <c r="I913" s="1">
        <v>46044</v>
      </c>
      <c r="J913">
        <f t="shared" si="95"/>
        <v>63.617251162500004</v>
      </c>
      <c r="K913">
        <v>5.31</v>
      </c>
      <c r="M913">
        <f t="shared" si="97"/>
        <v>0</v>
      </c>
      <c r="N913">
        <f t="shared" si="96"/>
        <v>-5.31</v>
      </c>
      <c r="P913">
        <v>6.5121000000000002</v>
      </c>
      <c r="AC913" t="s">
        <v>229</v>
      </c>
    </row>
    <row r="914" spans="1:29" x14ac:dyDescent="0.3">
      <c r="A914" t="s">
        <v>220</v>
      </c>
      <c r="B914" t="s">
        <v>61</v>
      </c>
      <c r="C914">
        <v>2</v>
      </c>
      <c r="D914">
        <v>24</v>
      </c>
      <c r="E914" t="s">
        <v>31</v>
      </c>
      <c r="F914">
        <v>0.45130999999999999</v>
      </c>
      <c r="G914" s="1">
        <v>46003</v>
      </c>
      <c r="H914">
        <v>5.0985800000000001</v>
      </c>
      <c r="I914" s="1">
        <v>46044</v>
      </c>
      <c r="J914">
        <f t="shared" si="95"/>
        <v>63.617251162500004</v>
      </c>
      <c r="K914">
        <v>5.31</v>
      </c>
      <c r="M914">
        <f t="shared" si="97"/>
        <v>0</v>
      </c>
      <c r="N914">
        <f t="shared" si="96"/>
        <v>-5.31</v>
      </c>
      <c r="P914">
        <v>6.6753900000000002</v>
      </c>
      <c r="AC914" t="s">
        <v>229</v>
      </c>
    </row>
    <row r="915" spans="1:29" x14ac:dyDescent="0.3">
      <c r="A915" t="s">
        <v>220</v>
      </c>
      <c r="B915" t="s">
        <v>61</v>
      </c>
      <c r="C915">
        <v>2</v>
      </c>
      <c r="D915">
        <v>48</v>
      </c>
      <c r="E915" t="s">
        <v>28</v>
      </c>
      <c r="F915">
        <v>0.45095000000000002</v>
      </c>
      <c r="G915" s="1">
        <v>46003</v>
      </c>
      <c r="H915">
        <v>5.1240399999999999</v>
      </c>
      <c r="I915" s="1">
        <v>46044</v>
      </c>
      <c r="J915">
        <f t="shared" si="95"/>
        <v>63.617251162500004</v>
      </c>
      <c r="K915">
        <v>5.31</v>
      </c>
      <c r="M915">
        <f t="shared" si="97"/>
        <v>0</v>
      </c>
      <c r="N915">
        <f t="shared" si="96"/>
        <v>-5.31</v>
      </c>
      <c r="P915">
        <v>6.65097</v>
      </c>
      <c r="AC915" t="s">
        <v>229</v>
      </c>
    </row>
    <row r="916" spans="1:29" x14ac:dyDescent="0.3">
      <c r="A916" t="s">
        <v>220</v>
      </c>
      <c r="B916" t="s">
        <v>61</v>
      </c>
      <c r="C916">
        <v>2</v>
      </c>
      <c r="D916">
        <v>48</v>
      </c>
      <c r="E916" t="s">
        <v>30</v>
      </c>
      <c r="F916">
        <v>0.44857000000000002</v>
      </c>
      <c r="G916" s="1">
        <v>46003</v>
      </c>
      <c r="H916">
        <v>5.0447699999999998</v>
      </c>
      <c r="I916" s="1">
        <v>46044</v>
      </c>
      <c r="J916">
        <f t="shared" si="95"/>
        <v>63.617251162500004</v>
      </c>
      <c r="K916">
        <v>5.31</v>
      </c>
      <c r="M916">
        <f t="shared" si="97"/>
        <v>0</v>
      </c>
      <c r="N916">
        <f t="shared" si="96"/>
        <v>-5.31</v>
      </c>
      <c r="P916">
        <v>6.8806700000000003</v>
      </c>
      <c r="AC916" t="s">
        <v>229</v>
      </c>
    </row>
    <row r="917" spans="1:29" x14ac:dyDescent="0.3">
      <c r="A917" t="s">
        <v>220</v>
      </c>
      <c r="B917" t="s">
        <v>61</v>
      </c>
      <c r="C917">
        <v>2</v>
      </c>
      <c r="D917">
        <v>48</v>
      </c>
      <c r="E917" t="s">
        <v>31</v>
      </c>
      <c r="F917">
        <v>0.45051999999999998</v>
      </c>
      <c r="G917" s="1">
        <v>46003</v>
      </c>
      <c r="H917">
        <v>5.1196900000000003</v>
      </c>
      <c r="I917" s="1">
        <v>46044</v>
      </c>
      <c r="J917">
        <f t="shared" si="95"/>
        <v>63.617251162500004</v>
      </c>
      <c r="K917">
        <v>5.31</v>
      </c>
      <c r="M917">
        <f t="shared" si="97"/>
        <v>0</v>
      </c>
      <c r="N917">
        <f t="shared" si="96"/>
        <v>-5.31</v>
      </c>
      <c r="P917">
        <v>6.8777900000000001</v>
      </c>
      <c r="AC917" t="s">
        <v>229</v>
      </c>
    </row>
    <row r="918" spans="1:29" x14ac:dyDescent="0.3">
      <c r="A918" t="s">
        <v>220</v>
      </c>
      <c r="B918" t="s">
        <v>61</v>
      </c>
      <c r="E918" t="s">
        <v>36</v>
      </c>
      <c r="G918" s="1" t="s">
        <v>56</v>
      </c>
      <c r="H918">
        <v>5.1204099999999997</v>
      </c>
      <c r="J918">
        <f t="shared" si="95"/>
        <v>63.617251162500004</v>
      </c>
      <c r="K918">
        <v>5.31</v>
      </c>
      <c r="M918">
        <f t="shared" si="97"/>
        <v>0</v>
      </c>
      <c r="N918">
        <f t="shared" si="96"/>
        <v>-5.31</v>
      </c>
      <c r="AC918" t="s">
        <v>229</v>
      </c>
    </row>
    <row r="919" spans="1:29" x14ac:dyDescent="0.3">
      <c r="A919" t="s">
        <v>220</v>
      </c>
      <c r="B919" t="s">
        <v>61</v>
      </c>
      <c r="E919" t="s">
        <v>39</v>
      </c>
      <c r="H919">
        <v>5.13469</v>
      </c>
      <c r="J919">
        <f t="shared" si="95"/>
        <v>63.617251162500004</v>
      </c>
      <c r="K919">
        <v>5.31</v>
      </c>
      <c r="M919">
        <f t="shared" si="97"/>
        <v>0</v>
      </c>
      <c r="N919">
        <f t="shared" si="96"/>
        <v>-5.31</v>
      </c>
      <c r="AC919" t="s">
        <v>229</v>
      </c>
    </row>
    <row r="920" spans="1:29" x14ac:dyDescent="0.3">
      <c r="A920" t="s">
        <v>220</v>
      </c>
      <c r="B920" t="s">
        <v>61</v>
      </c>
      <c r="E920" t="s">
        <v>41</v>
      </c>
      <c r="H920">
        <v>5.1383799999999997</v>
      </c>
      <c r="J920">
        <f t="shared" si="95"/>
        <v>63.617251162500004</v>
      </c>
      <c r="K920">
        <v>5.31</v>
      </c>
      <c r="M920">
        <f t="shared" si="97"/>
        <v>0</v>
      </c>
      <c r="N920">
        <f t="shared" si="96"/>
        <v>-5.31</v>
      </c>
      <c r="AC920" t="s">
        <v>229</v>
      </c>
    </row>
    <row r="921" spans="1:29" x14ac:dyDescent="0.3">
      <c r="A921" t="s">
        <v>220</v>
      </c>
      <c r="B921" t="s">
        <v>61</v>
      </c>
      <c r="E921" t="s">
        <v>43</v>
      </c>
      <c r="H921">
        <v>5.1275300000000001</v>
      </c>
      <c r="J921">
        <f t="shared" si="95"/>
        <v>63.617251162500004</v>
      </c>
      <c r="K921">
        <v>5.31</v>
      </c>
      <c r="M921">
        <f t="shared" si="97"/>
        <v>0</v>
      </c>
      <c r="N921">
        <f t="shared" si="96"/>
        <v>-5.31</v>
      </c>
      <c r="AC921" t="s">
        <v>229</v>
      </c>
    </row>
    <row r="922" spans="1:29" x14ac:dyDescent="0.3">
      <c r="A922" t="s">
        <v>220</v>
      </c>
      <c r="B922" t="s">
        <v>51</v>
      </c>
      <c r="C922">
        <v>1</v>
      </c>
      <c r="D922">
        <v>0.5</v>
      </c>
      <c r="E922" t="s">
        <v>64</v>
      </c>
      <c r="F922">
        <v>4.742</v>
      </c>
      <c r="G922" s="1">
        <v>46002</v>
      </c>
      <c r="H922">
        <v>2.71332</v>
      </c>
      <c r="I922" s="1">
        <v>46045</v>
      </c>
      <c r="J922">
        <f t="shared" si="95"/>
        <v>63.617251162500004</v>
      </c>
      <c r="K922">
        <v>5.31</v>
      </c>
      <c r="M922">
        <f t="shared" si="97"/>
        <v>0</v>
      </c>
      <c r="N922">
        <f t="shared" si="96"/>
        <v>-5.31</v>
      </c>
      <c r="P922">
        <v>7.28226</v>
      </c>
    </row>
    <row r="923" spans="1:29" x14ac:dyDescent="0.3">
      <c r="A923" t="s">
        <v>220</v>
      </c>
      <c r="B923" t="s">
        <v>51</v>
      </c>
      <c r="C923">
        <v>1</v>
      </c>
      <c r="D923">
        <v>0.5</v>
      </c>
      <c r="E923" t="s">
        <v>30</v>
      </c>
      <c r="F923">
        <v>4.5832600000000001</v>
      </c>
      <c r="G923" s="1">
        <v>46002</v>
      </c>
      <c r="H923">
        <v>2.7258900000000001</v>
      </c>
      <c r="I923" s="1">
        <v>46045</v>
      </c>
      <c r="J923">
        <f t="shared" si="95"/>
        <v>63.617251162500004</v>
      </c>
      <c r="K923">
        <v>5.31</v>
      </c>
      <c r="M923">
        <f t="shared" si="97"/>
        <v>0</v>
      </c>
      <c r="N923">
        <f t="shared" si="96"/>
        <v>-5.31</v>
      </c>
      <c r="P923">
        <v>7.1444799999999997</v>
      </c>
    </row>
    <row r="924" spans="1:29" x14ac:dyDescent="0.3">
      <c r="A924" t="s">
        <v>220</v>
      </c>
      <c r="B924" t="s">
        <v>51</v>
      </c>
      <c r="C924">
        <v>1</v>
      </c>
      <c r="D924">
        <v>0.5</v>
      </c>
      <c r="E924" t="s">
        <v>31</v>
      </c>
      <c r="F924">
        <v>4.5537999999999998</v>
      </c>
      <c r="G924" s="1">
        <v>46002</v>
      </c>
      <c r="H924">
        <v>2.7208600000000001</v>
      </c>
      <c r="I924" s="1">
        <v>46045</v>
      </c>
      <c r="J924">
        <f t="shared" si="95"/>
        <v>63.617251162500004</v>
      </c>
      <c r="K924">
        <v>5.31</v>
      </c>
      <c r="M924">
        <f t="shared" si="97"/>
        <v>0</v>
      </c>
      <c r="N924">
        <f t="shared" si="96"/>
        <v>-5.31</v>
      </c>
      <c r="P924">
        <v>7.13565</v>
      </c>
    </row>
    <row r="925" spans="1:29" x14ac:dyDescent="0.3">
      <c r="A925" t="s">
        <v>220</v>
      </c>
      <c r="B925" s="7" t="s">
        <v>51</v>
      </c>
      <c r="C925" s="7">
        <v>1</v>
      </c>
      <c r="D925" s="7">
        <v>2</v>
      </c>
      <c r="E925" s="7" t="s">
        <v>64</v>
      </c>
      <c r="F925">
        <v>4.5844100000000001</v>
      </c>
      <c r="G925" s="1">
        <v>46002</v>
      </c>
      <c r="H925">
        <v>2.7407599999999999</v>
      </c>
      <c r="I925" s="1">
        <v>46045</v>
      </c>
      <c r="J925">
        <f t="shared" si="95"/>
        <v>63.617251162500004</v>
      </c>
      <c r="K925">
        <v>5.31</v>
      </c>
      <c r="M925">
        <f t="shared" si="97"/>
        <v>0</v>
      </c>
      <c r="N925">
        <f t="shared" si="96"/>
        <v>-5.31</v>
      </c>
      <c r="P925">
        <v>7.3443199999999997</v>
      </c>
      <c r="AC925" t="s">
        <v>228</v>
      </c>
    </row>
    <row r="926" spans="1:29" x14ac:dyDescent="0.3">
      <c r="A926" t="s">
        <v>220</v>
      </c>
      <c r="B926" s="7" t="s">
        <v>51</v>
      </c>
      <c r="C926" s="7">
        <v>1</v>
      </c>
      <c r="D926" s="7">
        <v>2</v>
      </c>
      <c r="E926" s="7" t="s">
        <v>30</v>
      </c>
      <c r="F926">
        <v>4.6337299999999999</v>
      </c>
      <c r="G926" s="1">
        <v>46002</v>
      </c>
      <c r="H926">
        <v>2.32348</v>
      </c>
      <c r="I926" s="1">
        <v>46045</v>
      </c>
      <c r="J926">
        <f t="shared" si="95"/>
        <v>63.617251162500004</v>
      </c>
      <c r="K926">
        <v>5.31</v>
      </c>
      <c r="M926">
        <f t="shared" si="97"/>
        <v>0</v>
      </c>
      <c r="N926">
        <f t="shared" si="96"/>
        <v>-5.31</v>
      </c>
      <c r="P926">
        <v>7.4844299999999997</v>
      </c>
    </row>
    <row r="927" spans="1:29" x14ac:dyDescent="0.3">
      <c r="A927" t="s">
        <v>220</v>
      </c>
      <c r="B927" s="7" t="s">
        <v>51</v>
      </c>
      <c r="C927" s="7">
        <v>1</v>
      </c>
      <c r="D927" s="7">
        <v>2</v>
      </c>
      <c r="E927" s="7" t="s">
        <v>31</v>
      </c>
      <c r="F927">
        <v>4.5194400000000003</v>
      </c>
      <c r="G927" s="1">
        <v>46002</v>
      </c>
      <c r="H927">
        <v>2.3540899999999998</v>
      </c>
      <c r="I927" s="1">
        <v>46045</v>
      </c>
      <c r="J927">
        <f t="shared" si="95"/>
        <v>63.617251162500004</v>
      </c>
      <c r="K927">
        <v>5.31</v>
      </c>
      <c r="M927">
        <f t="shared" si="97"/>
        <v>0</v>
      </c>
      <c r="N927">
        <f t="shared" si="96"/>
        <v>-5.31</v>
      </c>
      <c r="P927">
        <v>6.9664299999999999</v>
      </c>
    </row>
    <row r="928" spans="1:29" x14ac:dyDescent="0.3">
      <c r="A928" t="s">
        <v>220</v>
      </c>
      <c r="B928" s="7" t="s">
        <v>51</v>
      </c>
      <c r="C928" s="7">
        <v>1</v>
      </c>
      <c r="D928" s="7">
        <v>6</v>
      </c>
      <c r="E928" s="7" t="s">
        <v>64</v>
      </c>
      <c r="F928">
        <v>0.45250000000000001</v>
      </c>
      <c r="G928" s="1">
        <v>46002</v>
      </c>
      <c r="H928">
        <v>2.33602</v>
      </c>
      <c r="I928" s="1">
        <v>46045</v>
      </c>
      <c r="J928">
        <f t="shared" si="95"/>
        <v>63.617251162500004</v>
      </c>
      <c r="K928">
        <v>5.31</v>
      </c>
      <c r="M928">
        <f t="shared" si="97"/>
        <v>0</v>
      </c>
      <c r="N928">
        <f t="shared" si="96"/>
        <v>-5.31</v>
      </c>
      <c r="P928">
        <v>3.29183</v>
      </c>
      <c r="AC928" t="s">
        <v>227</v>
      </c>
    </row>
    <row r="929" spans="1:29" x14ac:dyDescent="0.3">
      <c r="A929" t="s">
        <v>220</v>
      </c>
      <c r="B929" s="7" t="s">
        <v>51</v>
      </c>
      <c r="C929" s="7">
        <v>1</v>
      </c>
      <c r="D929" s="7">
        <v>6</v>
      </c>
      <c r="E929" s="7" t="s">
        <v>30</v>
      </c>
      <c r="F929">
        <v>0.45077</v>
      </c>
      <c r="G929" s="1">
        <v>46002</v>
      </c>
      <c r="H929">
        <v>2.2928299999999999</v>
      </c>
      <c r="I929" s="1">
        <v>46045</v>
      </c>
      <c r="J929">
        <f t="shared" si="95"/>
        <v>63.617251162500004</v>
      </c>
      <c r="K929">
        <v>5.31</v>
      </c>
      <c r="M929">
        <f t="shared" si="97"/>
        <v>0</v>
      </c>
      <c r="N929">
        <f t="shared" si="96"/>
        <v>-5.31</v>
      </c>
      <c r="P929">
        <v>3.4759699999999998</v>
      </c>
      <c r="AC929" t="s">
        <v>227</v>
      </c>
    </row>
    <row r="930" spans="1:29" x14ac:dyDescent="0.3">
      <c r="A930" t="s">
        <v>220</v>
      </c>
      <c r="B930" s="7" t="s">
        <v>51</v>
      </c>
      <c r="C930" s="7">
        <v>1</v>
      </c>
      <c r="D930" s="7">
        <v>6</v>
      </c>
      <c r="E930" s="7" t="s">
        <v>31</v>
      </c>
      <c r="F930">
        <v>0.45513999999999999</v>
      </c>
      <c r="G930" s="1">
        <v>46002</v>
      </c>
      <c r="H930">
        <v>2.1029499999999999</v>
      </c>
      <c r="I930" s="1">
        <v>46045</v>
      </c>
      <c r="J930">
        <f t="shared" si="95"/>
        <v>63.617251162500004</v>
      </c>
      <c r="K930">
        <v>5.31</v>
      </c>
      <c r="M930">
        <f t="shared" si="97"/>
        <v>0</v>
      </c>
      <c r="N930">
        <f t="shared" si="96"/>
        <v>-5.31</v>
      </c>
      <c r="P930">
        <v>3.18479</v>
      </c>
      <c r="AC930" t="s">
        <v>227</v>
      </c>
    </row>
    <row r="931" spans="1:29" x14ac:dyDescent="0.3">
      <c r="A931" t="s">
        <v>220</v>
      </c>
      <c r="B931" t="s">
        <v>51</v>
      </c>
      <c r="C931">
        <v>1</v>
      </c>
      <c r="D931">
        <v>12</v>
      </c>
      <c r="E931" t="s">
        <v>64</v>
      </c>
      <c r="F931">
        <v>0.45445000000000002</v>
      </c>
      <c r="G931" s="1">
        <v>46002</v>
      </c>
      <c r="H931">
        <v>2.30403</v>
      </c>
      <c r="I931" s="1">
        <v>46045</v>
      </c>
      <c r="J931">
        <f t="shared" si="95"/>
        <v>63.617251162500004</v>
      </c>
      <c r="K931">
        <v>5.31</v>
      </c>
      <c r="M931">
        <f t="shared" si="97"/>
        <v>0</v>
      </c>
      <c r="N931">
        <f t="shared" si="96"/>
        <v>-5.31</v>
      </c>
      <c r="P931">
        <v>2.9534600000000002</v>
      </c>
    </row>
    <row r="932" spans="1:29" x14ac:dyDescent="0.3">
      <c r="A932" t="s">
        <v>220</v>
      </c>
      <c r="B932" t="s">
        <v>51</v>
      </c>
      <c r="C932">
        <v>1</v>
      </c>
      <c r="D932">
        <v>12</v>
      </c>
      <c r="E932" t="s">
        <v>30</v>
      </c>
      <c r="F932">
        <v>0.45169999999999999</v>
      </c>
      <c r="G932" s="1">
        <v>46002</v>
      </c>
      <c r="H932">
        <v>2.08047</v>
      </c>
      <c r="I932" s="1">
        <v>46045</v>
      </c>
      <c r="J932">
        <f t="shared" si="95"/>
        <v>63.617251162500004</v>
      </c>
      <c r="K932">
        <v>5.31</v>
      </c>
      <c r="M932">
        <f t="shared" si="97"/>
        <v>0</v>
      </c>
      <c r="N932">
        <f t="shared" si="96"/>
        <v>-5.31</v>
      </c>
      <c r="P932">
        <v>2.77224</v>
      </c>
    </row>
    <row r="933" spans="1:29" x14ac:dyDescent="0.3">
      <c r="A933" t="s">
        <v>220</v>
      </c>
      <c r="B933" t="s">
        <v>51</v>
      </c>
      <c r="C933">
        <v>1</v>
      </c>
      <c r="D933">
        <v>12</v>
      </c>
      <c r="E933" t="s">
        <v>31</v>
      </c>
      <c r="F933">
        <v>0.45362999999999998</v>
      </c>
      <c r="G933" s="1">
        <v>46002</v>
      </c>
      <c r="H933">
        <v>2.4150200000000002</v>
      </c>
      <c r="I933" s="1">
        <v>46045</v>
      </c>
      <c r="J933">
        <f t="shared" si="95"/>
        <v>63.617251162500004</v>
      </c>
      <c r="K933">
        <v>5.31</v>
      </c>
      <c r="M933">
        <f t="shared" si="97"/>
        <v>0</v>
      </c>
      <c r="N933">
        <f t="shared" si="96"/>
        <v>-5.31</v>
      </c>
      <c r="P933">
        <v>3.0987800000000001</v>
      </c>
    </row>
    <row r="934" spans="1:29" x14ac:dyDescent="0.3">
      <c r="A934" t="s">
        <v>220</v>
      </c>
      <c r="B934" t="s">
        <v>51</v>
      </c>
      <c r="C934">
        <v>1</v>
      </c>
      <c r="D934">
        <v>18</v>
      </c>
      <c r="E934" t="s">
        <v>64</v>
      </c>
      <c r="F934">
        <v>0.45411000000000001</v>
      </c>
      <c r="G934" s="1">
        <v>46002</v>
      </c>
      <c r="H934">
        <v>2.2937099999999999</v>
      </c>
      <c r="I934" s="1">
        <v>46045</v>
      </c>
      <c r="J934">
        <f t="shared" si="95"/>
        <v>63.617251162500004</v>
      </c>
      <c r="K934">
        <v>5.31</v>
      </c>
      <c r="M934">
        <f t="shared" si="97"/>
        <v>0</v>
      </c>
      <c r="N934">
        <f t="shared" si="96"/>
        <v>-5.31</v>
      </c>
      <c r="P934">
        <v>3.1372800000000001</v>
      </c>
    </row>
    <row r="935" spans="1:29" x14ac:dyDescent="0.3">
      <c r="A935" t="s">
        <v>220</v>
      </c>
      <c r="B935" t="s">
        <v>51</v>
      </c>
      <c r="C935">
        <v>1</v>
      </c>
      <c r="D935">
        <v>18</v>
      </c>
      <c r="E935" t="s">
        <v>30</v>
      </c>
      <c r="F935">
        <v>0.45382</v>
      </c>
      <c r="G935" s="1">
        <v>46002</v>
      </c>
      <c r="H935">
        <v>2.43729</v>
      </c>
      <c r="I935" s="1">
        <v>46045</v>
      </c>
      <c r="J935">
        <f t="shared" si="95"/>
        <v>63.617251162500004</v>
      </c>
      <c r="K935">
        <v>5.31</v>
      </c>
      <c r="M935">
        <f t="shared" si="97"/>
        <v>0</v>
      </c>
      <c r="N935">
        <f t="shared" si="96"/>
        <v>-5.31</v>
      </c>
      <c r="P935" s="7" t="s">
        <v>224</v>
      </c>
    </row>
    <row r="936" spans="1:29" x14ac:dyDescent="0.3">
      <c r="A936" t="s">
        <v>220</v>
      </c>
      <c r="B936" t="s">
        <v>51</v>
      </c>
      <c r="C936">
        <v>1</v>
      </c>
      <c r="D936">
        <v>18</v>
      </c>
      <c r="E936" t="s">
        <v>31</v>
      </c>
      <c r="F936">
        <v>0.45312999999999998</v>
      </c>
      <c r="G936" s="1">
        <v>46002</v>
      </c>
      <c r="H936">
        <v>2.4485899999999998</v>
      </c>
      <c r="I936" s="1">
        <v>46045</v>
      </c>
      <c r="J936">
        <f t="shared" si="95"/>
        <v>63.617251162500004</v>
      </c>
      <c r="K936">
        <v>5.31</v>
      </c>
      <c r="M936">
        <f t="shared" si="97"/>
        <v>0</v>
      </c>
      <c r="N936">
        <f t="shared" si="96"/>
        <v>-5.31</v>
      </c>
      <c r="P936" s="7" t="s">
        <v>224</v>
      </c>
    </row>
    <row r="937" spans="1:29" x14ac:dyDescent="0.3">
      <c r="A937" t="s">
        <v>220</v>
      </c>
      <c r="B937" t="s">
        <v>51</v>
      </c>
      <c r="C937">
        <v>1</v>
      </c>
      <c r="D937">
        <v>24</v>
      </c>
      <c r="E937" t="s">
        <v>28</v>
      </c>
      <c r="F937">
        <v>0.45078000000000001</v>
      </c>
      <c r="G937" s="1">
        <v>46002</v>
      </c>
      <c r="H937">
        <v>2.43207</v>
      </c>
      <c r="I937" s="1">
        <v>46045</v>
      </c>
      <c r="J937">
        <f t="shared" si="95"/>
        <v>63.617251162500004</v>
      </c>
      <c r="K937">
        <v>5.31</v>
      </c>
      <c r="M937">
        <f t="shared" si="97"/>
        <v>0</v>
      </c>
      <c r="N937">
        <f t="shared" si="96"/>
        <v>-5.31</v>
      </c>
      <c r="P937" s="7" t="s">
        <v>224</v>
      </c>
    </row>
    <row r="938" spans="1:29" x14ac:dyDescent="0.3">
      <c r="A938" t="s">
        <v>220</v>
      </c>
      <c r="B938" t="s">
        <v>51</v>
      </c>
      <c r="C938">
        <v>1</v>
      </c>
      <c r="D938">
        <v>24</v>
      </c>
      <c r="E938" t="s">
        <v>30</v>
      </c>
      <c r="F938">
        <v>0.44612000000000002</v>
      </c>
      <c r="G938" s="1">
        <v>46002</v>
      </c>
      <c r="H938">
        <v>2.0463200000000001</v>
      </c>
      <c r="I938" s="1">
        <v>46045</v>
      </c>
      <c r="J938">
        <f t="shared" si="95"/>
        <v>63.617251162500004</v>
      </c>
      <c r="K938">
        <v>5.31</v>
      </c>
      <c r="M938">
        <f t="shared" si="97"/>
        <v>0</v>
      </c>
      <c r="N938">
        <f t="shared" si="96"/>
        <v>-5.31</v>
      </c>
      <c r="P938">
        <v>4.8330599999999997</v>
      </c>
      <c r="AC938" t="s">
        <v>226</v>
      </c>
    </row>
    <row r="939" spans="1:29" x14ac:dyDescent="0.3">
      <c r="A939" t="s">
        <v>220</v>
      </c>
      <c r="B939" s="7" t="s">
        <v>51</v>
      </c>
      <c r="C939" s="7">
        <v>1</v>
      </c>
      <c r="D939" s="7">
        <v>24</v>
      </c>
      <c r="E939" s="7" t="s">
        <v>31</v>
      </c>
      <c r="F939">
        <v>0.44885000000000003</v>
      </c>
      <c r="G939" s="1">
        <v>46002</v>
      </c>
      <c r="H939">
        <v>2.0697199999999998</v>
      </c>
      <c r="I939" s="1">
        <v>46045</v>
      </c>
      <c r="J939">
        <f t="shared" si="95"/>
        <v>63.617251162500004</v>
      </c>
      <c r="K939">
        <v>5.31</v>
      </c>
      <c r="M939">
        <f t="shared" si="97"/>
        <v>0</v>
      </c>
      <c r="N939">
        <f t="shared" si="96"/>
        <v>-5.31</v>
      </c>
      <c r="P939" s="7" t="s">
        <v>224</v>
      </c>
    </row>
    <row r="940" spans="1:29" x14ac:dyDescent="0.3">
      <c r="A940" t="s">
        <v>220</v>
      </c>
      <c r="B940" t="s">
        <v>51</v>
      </c>
      <c r="C940">
        <v>1</v>
      </c>
      <c r="D940">
        <v>48</v>
      </c>
      <c r="E940" t="s">
        <v>64</v>
      </c>
      <c r="F940">
        <v>0.44824000000000003</v>
      </c>
      <c r="G940" s="1">
        <v>46002</v>
      </c>
      <c r="H940">
        <v>2.0575600000000001</v>
      </c>
      <c r="I940" s="1">
        <v>46045</v>
      </c>
      <c r="J940">
        <f t="shared" ref="J940:J1003" si="98">4.5*4.5*3.14159265</f>
        <v>63.617251162500004</v>
      </c>
      <c r="K940">
        <v>5.31</v>
      </c>
      <c r="M940">
        <f t="shared" si="97"/>
        <v>0</v>
      </c>
      <c r="N940">
        <f t="shared" si="96"/>
        <v>-5.31</v>
      </c>
      <c r="P940">
        <v>2.8516499999999998</v>
      </c>
    </row>
    <row r="941" spans="1:29" x14ac:dyDescent="0.3">
      <c r="A941" t="s">
        <v>220</v>
      </c>
      <c r="B941" t="s">
        <v>51</v>
      </c>
      <c r="C941">
        <v>1</v>
      </c>
      <c r="D941">
        <v>48</v>
      </c>
      <c r="E941" t="s">
        <v>30</v>
      </c>
      <c r="F941">
        <v>0.44824999999999998</v>
      </c>
      <c r="G941" s="1">
        <v>46002</v>
      </c>
      <c r="H941">
        <v>2.1029499999999999</v>
      </c>
      <c r="I941" s="1">
        <v>46045</v>
      </c>
      <c r="J941">
        <f t="shared" si="98"/>
        <v>63.617251162500004</v>
      </c>
      <c r="K941">
        <v>5.31</v>
      </c>
      <c r="M941">
        <f t="shared" si="97"/>
        <v>0</v>
      </c>
      <c r="N941">
        <f t="shared" si="96"/>
        <v>-5.31</v>
      </c>
      <c r="P941">
        <v>2.7983699999999998</v>
      </c>
    </row>
    <row r="942" spans="1:29" x14ac:dyDescent="0.3">
      <c r="A942" t="s">
        <v>220</v>
      </c>
      <c r="B942" t="s">
        <v>51</v>
      </c>
      <c r="C942">
        <v>1</v>
      </c>
      <c r="D942">
        <v>48</v>
      </c>
      <c r="E942" t="s">
        <v>31</v>
      </c>
      <c r="F942">
        <v>0.44733000000000001</v>
      </c>
      <c r="G942" s="1">
        <v>46002</v>
      </c>
      <c r="H942">
        <v>2.0939199999999998</v>
      </c>
      <c r="I942" s="1">
        <v>46045</v>
      </c>
      <c r="J942">
        <f t="shared" si="98"/>
        <v>63.617251162500004</v>
      </c>
      <c r="K942">
        <v>5.31</v>
      </c>
      <c r="M942">
        <f t="shared" si="97"/>
        <v>0</v>
      </c>
      <c r="N942">
        <f t="shared" si="96"/>
        <v>-5.31</v>
      </c>
      <c r="P942">
        <v>2.9167000000000001</v>
      </c>
    </row>
    <row r="943" spans="1:29" x14ac:dyDescent="0.3">
      <c r="A943" t="s">
        <v>220</v>
      </c>
      <c r="B943" t="s">
        <v>51</v>
      </c>
      <c r="C943">
        <v>2</v>
      </c>
      <c r="D943">
        <v>0.5</v>
      </c>
      <c r="E943" t="s">
        <v>64</v>
      </c>
      <c r="F943">
        <v>4.5427999999999997</v>
      </c>
      <c r="G943" s="1">
        <v>46002</v>
      </c>
      <c r="H943">
        <v>5.1029</v>
      </c>
      <c r="I943" s="1">
        <v>46045</v>
      </c>
      <c r="J943">
        <f t="shared" si="98"/>
        <v>63.617251162500004</v>
      </c>
      <c r="K943">
        <v>5.31</v>
      </c>
      <c r="M943">
        <f t="shared" si="97"/>
        <v>0</v>
      </c>
      <c r="N943">
        <f t="shared" si="96"/>
        <v>-5.31</v>
      </c>
      <c r="P943">
        <v>17.906469999999999</v>
      </c>
      <c r="AC943" t="s">
        <v>225</v>
      </c>
    </row>
    <row r="944" spans="1:29" x14ac:dyDescent="0.3">
      <c r="A944" t="s">
        <v>220</v>
      </c>
      <c r="B944" t="s">
        <v>51</v>
      </c>
      <c r="C944">
        <v>2</v>
      </c>
      <c r="D944">
        <v>0.5</v>
      </c>
      <c r="E944" t="s">
        <v>30</v>
      </c>
      <c r="F944">
        <v>4.4829400000000001</v>
      </c>
      <c r="G944" s="1">
        <v>46002</v>
      </c>
      <c r="H944">
        <v>5.1338499999999998</v>
      </c>
      <c r="I944" s="1">
        <v>46045</v>
      </c>
      <c r="J944">
        <f t="shared" si="98"/>
        <v>63.617251162500004</v>
      </c>
      <c r="K944">
        <v>5.31</v>
      </c>
      <c r="M944">
        <f t="shared" si="97"/>
        <v>0</v>
      </c>
      <c r="N944">
        <f t="shared" si="96"/>
        <v>-5.31</v>
      </c>
      <c r="P944">
        <v>9.7846200000000003</v>
      </c>
      <c r="AC944" t="s">
        <v>225</v>
      </c>
    </row>
    <row r="945" spans="1:29" x14ac:dyDescent="0.3">
      <c r="A945" t="s">
        <v>220</v>
      </c>
      <c r="B945" t="s">
        <v>51</v>
      </c>
      <c r="C945">
        <v>2</v>
      </c>
      <c r="D945">
        <v>0.5</v>
      </c>
      <c r="E945" t="s">
        <v>31</v>
      </c>
      <c r="F945">
        <v>4.5118099999999997</v>
      </c>
      <c r="G945" s="1">
        <v>46002</v>
      </c>
      <c r="H945">
        <v>5.0966800000000001</v>
      </c>
      <c r="I945" s="1">
        <v>46045</v>
      </c>
      <c r="J945">
        <f t="shared" si="98"/>
        <v>63.617251162500004</v>
      </c>
      <c r="K945">
        <v>5.31</v>
      </c>
      <c r="M945">
        <f t="shared" si="97"/>
        <v>0</v>
      </c>
      <c r="N945">
        <f t="shared" si="96"/>
        <v>-5.31</v>
      </c>
      <c r="P945">
        <v>9.6565999999999992</v>
      </c>
      <c r="AC945" t="s">
        <v>225</v>
      </c>
    </row>
    <row r="946" spans="1:29" x14ac:dyDescent="0.3">
      <c r="A946" t="s">
        <v>220</v>
      </c>
      <c r="B946" s="7" t="s">
        <v>51</v>
      </c>
      <c r="C946" s="7">
        <v>2</v>
      </c>
      <c r="D946" s="7">
        <v>2</v>
      </c>
      <c r="E946" s="7" t="s">
        <v>64</v>
      </c>
      <c r="F946">
        <v>4.5886100000000001</v>
      </c>
      <c r="G946" s="1">
        <v>46002</v>
      </c>
      <c r="H946">
        <v>5.1107300000000002</v>
      </c>
      <c r="I946" s="1">
        <v>46045</v>
      </c>
      <c r="J946">
        <f t="shared" si="98"/>
        <v>63.617251162500004</v>
      </c>
      <c r="K946">
        <v>5.31</v>
      </c>
      <c r="M946">
        <f t="shared" si="97"/>
        <v>0</v>
      </c>
      <c r="N946">
        <f t="shared" si="96"/>
        <v>-5.31</v>
      </c>
      <c r="P946" s="7" t="s">
        <v>224</v>
      </c>
      <c r="AC946" t="s">
        <v>225</v>
      </c>
    </row>
    <row r="947" spans="1:29" x14ac:dyDescent="0.3">
      <c r="A947" t="s">
        <v>220</v>
      </c>
      <c r="B947" s="7" t="s">
        <v>51</v>
      </c>
      <c r="C947" s="7">
        <v>2</v>
      </c>
      <c r="D947" s="7">
        <v>2</v>
      </c>
      <c r="E947" s="7" t="s">
        <v>30</v>
      </c>
      <c r="F947">
        <v>4.4472300000000002</v>
      </c>
      <c r="G947" s="1">
        <v>46002</v>
      </c>
      <c r="H947">
        <v>5.1052299999999997</v>
      </c>
      <c r="I947" s="1">
        <v>46045</v>
      </c>
      <c r="J947">
        <f t="shared" si="98"/>
        <v>63.617251162500004</v>
      </c>
      <c r="K947">
        <v>5.31</v>
      </c>
      <c r="M947">
        <f t="shared" si="97"/>
        <v>0</v>
      </c>
      <c r="N947">
        <f t="shared" si="96"/>
        <v>-5.31</v>
      </c>
      <c r="P947" s="7" t="s">
        <v>224</v>
      </c>
      <c r="AC947" t="s">
        <v>225</v>
      </c>
    </row>
    <row r="948" spans="1:29" x14ac:dyDescent="0.3">
      <c r="A948" t="s">
        <v>220</v>
      </c>
      <c r="B948" s="7" t="s">
        <v>51</v>
      </c>
      <c r="C948" s="7">
        <v>2</v>
      </c>
      <c r="D948" s="7">
        <v>2</v>
      </c>
      <c r="E948" s="7" t="s">
        <v>31</v>
      </c>
      <c r="F948">
        <v>4.57979</v>
      </c>
      <c r="G948" s="1">
        <v>46002</v>
      </c>
      <c r="H948">
        <v>5.0808999999999997</v>
      </c>
      <c r="I948" s="1">
        <v>46045</v>
      </c>
      <c r="J948">
        <f t="shared" si="98"/>
        <v>63.617251162500004</v>
      </c>
      <c r="K948">
        <v>5.31</v>
      </c>
      <c r="M948">
        <f t="shared" si="97"/>
        <v>0</v>
      </c>
      <c r="N948">
        <f t="shared" si="96"/>
        <v>-5.31</v>
      </c>
      <c r="P948" s="7" t="s">
        <v>224</v>
      </c>
      <c r="AC948" t="s">
        <v>225</v>
      </c>
    </row>
    <row r="949" spans="1:29" x14ac:dyDescent="0.3">
      <c r="A949" t="s">
        <v>220</v>
      </c>
      <c r="B949" s="7" t="s">
        <v>51</v>
      </c>
      <c r="C949" s="7">
        <v>2</v>
      </c>
      <c r="D949" s="7">
        <v>6</v>
      </c>
      <c r="E949" s="7" t="s">
        <v>64</v>
      </c>
      <c r="F949">
        <v>0.45005000000000001</v>
      </c>
      <c r="G949" s="1">
        <v>46002</v>
      </c>
      <c r="H949">
        <v>5.1572699999999996</v>
      </c>
      <c r="I949" s="1">
        <v>46045</v>
      </c>
      <c r="J949">
        <f t="shared" si="98"/>
        <v>63.617251162500004</v>
      </c>
      <c r="K949">
        <v>5.31</v>
      </c>
      <c r="M949">
        <f t="shared" si="97"/>
        <v>0</v>
      </c>
      <c r="N949">
        <f t="shared" si="96"/>
        <v>-5.31</v>
      </c>
      <c r="P949">
        <v>6.7074600000000002</v>
      </c>
      <c r="AC949" t="s">
        <v>225</v>
      </c>
    </row>
    <row r="950" spans="1:29" x14ac:dyDescent="0.3">
      <c r="A950" t="s">
        <v>220</v>
      </c>
      <c r="B950" s="7" t="s">
        <v>51</v>
      </c>
      <c r="C950" s="7">
        <v>2</v>
      </c>
      <c r="D950" s="7">
        <v>6</v>
      </c>
      <c r="E950" s="7" t="s">
        <v>30</v>
      </c>
      <c r="F950">
        <v>0.44691999999999998</v>
      </c>
      <c r="G950" s="1">
        <v>46002</v>
      </c>
      <c r="H950" t="s">
        <v>231</v>
      </c>
      <c r="I950" s="1">
        <v>46045</v>
      </c>
      <c r="J950">
        <f t="shared" si="98"/>
        <v>63.617251162500004</v>
      </c>
      <c r="K950">
        <v>5.31</v>
      </c>
      <c r="M950">
        <f t="shared" si="97"/>
        <v>0</v>
      </c>
      <c r="N950">
        <f t="shared" si="96"/>
        <v>-5.31</v>
      </c>
      <c r="P950">
        <v>6.8740300000000003</v>
      </c>
      <c r="AC950" t="s">
        <v>225</v>
      </c>
    </row>
    <row r="951" spans="1:29" x14ac:dyDescent="0.3">
      <c r="A951" t="s">
        <v>220</v>
      </c>
      <c r="B951" s="7" t="s">
        <v>51</v>
      </c>
      <c r="C951" s="7">
        <v>2</v>
      </c>
      <c r="D951" s="7">
        <v>6</v>
      </c>
      <c r="E951" s="7" t="s">
        <v>31</v>
      </c>
      <c r="F951">
        <v>0.44552999999999998</v>
      </c>
      <c r="G951" s="1">
        <v>46002</v>
      </c>
      <c r="H951">
        <v>5.1165900000000004</v>
      </c>
      <c r="I951" s="1">
        <v>46045</v>
      </c>
      <c r="J951">
        <f t="shared" si="98"/>
        <v>63.617251162500004</v>
      </c>
      <c r="K951">
        <v>5.31</v>
      </c>
      <c r="M951">
        <f t="shared" si="97"/>
        <v>0</v>
      </c>
      <c r="N951">
        <f t="shared" si="96"/>
        <v>-5.31</v>
      </c>
      <c r="P951">
        <v>6.7730300000000003</v>
      </c>
      <c r="AC951" t="s">
        <v>225</v>
      </c>
    </row>
    <row r="952" spans="1:29" x14ac:dyDescent="0.3">
      <c r="A952" t="s">
        <v>220</v>
      </c>
      <c r="B952" t="s">
        <v>51</v>
      </c>
      <c r="C952">
        <v>2</v>
      </c>
      <c r="D952">
        <v>12</v>
      </c>
      <c r="E952" t="s">
        <v>64</v>
      </c>
      <c r="F952">
        <v>0.44697999999999999</v>
      </c>
      <c r="G952" s="1">
        <v>46002</v>
      </c>
      <c r="H952">
        <v>5.1233199999999997</v>
      </c>
      <c r="I952" s="1">
        <v>46045</v>
      </c>
      <c r="J952">
        <f t="shared" si="98"/>
        <v>63.617251162500004</v>
      </c>
      <c r="K952">
        <v>5.31</v>
      </c>
      <c r="M952">
        <f t="shared" si="97"/>
        <v>0</v>
      </c>
      <c r="N952">
        <f t="shared" si="96"/>
        <v>-5.31</v>
      </c>
      <c r="P952">
        <v>7.05586</v>
      </c>
      <c r="AC952" t="s">
        <v>225</v>
      </c>
    </row>
    <row r="953" spans="1:29" x14ac:dyDescent="0.3">
      <c r="A953" t="s">
        <v>220</v>
      </c>
      <c r="B953" t="s">
        <v>51</v>
      </c>
      <c r="C953">
        <v>2</v>
      </c>
      <c r="D953">
        <v>12</v>
      </c>
      <c r="E953" t="s">
        <v>30</v>
      </c>
      <c r="F953">
        <v>0.44762999999999997</v>
      </c>
      <c r="G953" s="1">
        <v>46002</v>
      </c>
      <c r="H953">
        <v>5.1085000000000003</v>
      </c>
      <c r="I953" s="1">
        <v>46045</v>
      </c>
      <c r="J953">
        <f t="shared" si="98"/>
        <v>63.617251162500004</v>
      </c>
      <c r="K953">
        <v>5.31</v>
      </c>
      <c r="M953">
        <f t="shared" si="97"/>
        <v>0</v>
      </c>
      <c r="N953">
        <f t="shared" si="96"/>
        <v>-5.31</v>
      </c>
      <c r="P953">
        <v>8.5087399999999995</v>
      </c>
      <c r="AC953" t="s">
        <v>225</v>
      </c>
    </row>
    <row r="954" spans="1:29" x14ac:dyDescent="0.3">
      <c r="A954" t="s">
        <v>220</v>
      </c>
      <c r="B954" t="s">
        <v>51</v>
      </c>
      <c r="C954">
        <v>2</v>
      </c>
      <c r="D954">
        <v>12</v>
      </c>
      <c r="E954" t="s">
        <v>31</v>
      </c>
      <c r="F954">
        <v>0.44640000000000002</v>
      </c>
      <c r="G954" s="1">
        <v>46002</v>
      </c>
      <c r="H954">
        <v>5.1501099999999997</v>
      </c>
      <c r="I954" s="1">
        <v>46045</v>
      </c>
      <c r="J954">
        <f t="shared" si="98"/>
        <v>63.617251162500004</v>
      </c>
      <c r="K954">
        <v>5.31</v>
      </c>
      <c r="M954">
        <f t="shared" si="97"/>
        <v>0</v>
      </c>
      <c r="N954">
        <f t="shared" si="96"/>
        <v>-5.31</v>
      </c>
      <c r="P954">
        <v>7.5956799999999998</v>
      </c>
      <c r="AC954" t="s">
        <v>234</v>
      </c>
    </row>
    <row r="955" spans="1:29" x14ac:dyDescent="0.3">
      <c r="A955" t="s">
        <v>220</v>
      </c>
      <c r="B955" t="s">
        <v>51</v>
      </c>
      <c r="C955">
        <v>2</v>
      </c>
      <c r="D955">
        <v>18</v>
      </c>
      <c r="E955" t="s">
        <v>64</v>
      </c>
      <c r="F955">
        <v>0.44861000000000001</v>
      </c>
      <c r="G955" s="1">
        <v>46002</v>
      </c>
      <c r="H955">
        <v>5.10581</v>
      </c>
      <c r="I955" s="1">
        <v>46045</v>
      </c>
      <c r="J955">
        <f t="shared" si="98"/>
        <v>63.617251162500004</v>
      </c>
      <c r="K955">
        <v>5.31</v>
      </c>
      <c r="M955">
        <f t="shared" si="97"/>
        <v>0</v>
      </c>
      <c r="N955">
        <f t="shared" si="96"/>
        <v>-5.31</v>
      </c>
      <c r="P955">
        <v>6.1050300000000002</v>
      </c>
      <c r="AC955" t="s">
        <v>225</v>
      </c>
    </row>
    <row r="956" spans="1:29" x14ac:dyDescent="0.3">
      <c r="A956" t="s">
        <v>220</v>
      </c>
      <c r="B956" t="s">
        <v>51</v>
      </c>
      <c r="C956">
        <v>2</v>
      </c>
      <c r="D956">
        <v>18</v>
      </c>
      <c r="E956" t="s">
        <v>30</v>
      </c>
      <c r="F956">
        <v>0.44625999999999999</v>
      </c>
      <c r="G956" s="1">
        <v>46002</v>
      </c>
      <c r="H956">
        <v>5.1319299999999997</v>
      </c>
      <c r="I956" s="1">
        <v>46045</v>
      </c>
      <c r="J956">
        <f t="shared" si="98"/>
        <v>63.617251162500004</v>
      </c>
      <c r="K956">
        <v>5.31</v>
      </c>
      <c r="M956">
        <f t="shared" si="97"/>
        <v>0</v>
      </c>
      <c r="N956">
        <f t="shared" si="96"/>
        <v>-5.31</v>
      </c>
      <c r="P956">
        <v>6.4985600000000003</v>
      </c>
      <c r="AC956" t="s">
        <v>225</v>
      </c>
    </row>
    <row r="957" spans="1:29" x14ac:dyDescent="0.3">
      <c r="A957" t="s">
        <v>220</v>
      </c>
      <c r="B957" t="s">
        <v>51</v>
      </c>
      <c r="C957">
        <v>2</v>
      </c>
      <c r="D957">
        <v>18</v>
      </c>
      <c r="E957" t="s">
        <v>31</v>
      </c>
      <c r="F957">
        <v>0.45182</v>
      </c>
      <c r="G957" s="1">
        <v>46002</v>
      </c>
      <c r="H957">
        <v>5.1469100000000001</v>
      </c>
      <c r="I957" s="1">
        <v>46045</v>
      </c>
      <c r="J957">
        <f t="shared" si="98"/>
        <v>63.617251162500004</v>
      </c>
      <c r="K957">
        <v>5.31</v>
      </c>
      <c r="M957">
        <f t="shared" si="97"/>
        <v>0</v>
      </c>
      <c r="N957">
        <f t="shared" si="96"/>
        <v>-5.31</v>
      </c>
      <c r="P957">
        <v>6.45756</v>
      </c>
      <c r="AC957" t="s">
        <v>225</v>
      </c>
    </row>
    <row r="958" spans="1:29" x14ac:dyDescent="0.3">
      <c r="A958" t="s">
        <v>220</v>
      </c>
      <c r="B958" t="s">
        <v>51</v>
      </c>
      <c r="C958">
        <v>2</v>
      </c>
      <c r="D958">
        <v>24</v>
      </c>
      <c r="E958" t="s">
        <v>28</v>
      </c>
      <c r="F958">
        <v>0.44703999999999999</v>
      </c>
      <c r="G958" s="1">
        <v>46002</v>
      </c>
      <c r="H958">
        <v>5.1124799999999997</v>
      </c>
      <c r="I958" s="1">
        <v>46045</v>
      </c>
      <c r="J958">
        <f t="shared" si="98"/>
        <v>63.617251162500004</v>
      </c>
      <c r="K958">
        <v>5.31</v>
      </c>
      <c r="M958">
        <f t="shared" si="97"/>
        <v>0</v>
      </c>
      <c r="N958">
        <f t="shared" si="96"/>
        <v>-5.31</v>
      </c>
      <c r="P958">
        <v>6.0157999999999996</v>
      </c>
      <c r="AC958" t="s">
        <v>225</v>
      </c>
    </row>
    <row r="959" spans="1:29" x14ac:dyDescent="0.3">
      <c r="A959" t="s">
        <v>220</v>
      </c>
      <c r="B959" t="s">
        <v>51</v>
      </c>
      <c r="C959">
        <v>2</v>
      </c>
      <c r="D959">
        <v>24</v>
      </c>
      <c r="E959" t="s">
        <v>30</v>
      </c>
      <c r="F959">
        <v>0.45168000000000003</v>
      </c>
      <c r="G959" s="1">
        <v>46002</v>
      </c>
      <c r="H959">
        <v>5.1275399999999998</v>
      </c>
      <c r="I959" s="1">
        <v>46045</v>
      </c>
      <c r="J959">
        <f t="shared" si="98"/>
        <v>63.617251162500004</v>
      </c>
      <c r="K959">
        <v>5.31</v>
      </c>
      <c r="M959">
        <f t="shared" si="97"/>
        <v>0</v>
      </c>
      <c r="N959">
        <f t="shared" si="96"/>
        <v>-5.31</v>
      </c>
      <c r="P959">
        <v>5.8825900000000004</v>
      </c>
      <c r="AC959" t="s">
        <v>225</v>
      </c>
    </row>
    <row r="960" spans="1:29" x14ac:dyDescent="0.3">
      <c r="A960" t="s">
        <v>220</v>
      </c>
      <c r="B960" t="s">
        <v>51</v>
      </c>
      <c r="C960">
        <v>2</v>
      </c>
      <c r="D960">
        <v>24</v>
      </c>
      <c r="E960" t="s">
        <v>31</v>
      </c>
      <c r="F960">
        <v>0.45262999999999998</v>
      </c>
      <c r="G960" s="1">
        <v>46002</v>
      </c>
      <c r="H960">
        <v>5.13483</v>
      </c>
      <c r="I960" s="1">
        <v>46045</v>
      </c>
      <c r="J960">
        <f t="shared" si="98"/>
        <v>63.617251162500004</v>
      </c>
      <c r="K960">
        <v>5.31</v>
      </c>
      <c r="M960">
        <f t="shared" si="97"/>
        <v>0</v>
      </c>
      <c r="N960">
        <f t="shared" si="96"/>
        <v>-5.31</v>
      </c>
      <c r="P960">
        <v>5.9801799999999998</v>
      </c>
      <c r="AC960" t="s">
        <v>225</v>
      </c>
    </row>
    <row r="961" spans="1:29" x14ac:dyDescent="0.3">
      <c r="A961" t="s">
        <v>220</v>
      </c>
      <c r="B961" t="s">
        <v>51</v>
      </c>
      <c r="C961">
        <v>2</v>
      </c>
      <c r="D961">
        <v>48</v>
      </c>
      <c r="E961" t="s">
        <v>64</v>
      </c>
      <c r="F961">
        <v>0.45133000000000001</v>
      </c>
      <c r="G961" s="1">
        <v>46002</v>
      </c>
      <c r="H961">
        <v>5.12392</v>
      </c>
      <c r="I961" s="1">
        <v>46045</v>
      </c>
      <c r="J961">
        <f t="shared" si="98"/>
        <v>63.617251162500004</v>
      </c>
      <c r="K961">
        <v>5.31</v>
      </c>
      <c r="M961">
        <f t="shared" si="97"/>
        <v>0</v>
      </c>
      <c r="N961">
        <f t="shared" si="96"/>
        <v>-5.31</v>
      </c>
      <c r="P961">
        <v>5.94435</v>
      </c>
      <c r="AC961" t="s">
        <v>225</v>
      </c>
    </row>
    <row r="962" spans="1:29" x14ac:dyDescent="0.3">
      <c r="A962" t="s">
        <v>220</v>
      </c>
      <c r="B962" t="s">
        <v>51</v>
      </c>
      <c r="C962">
        <v>2</v>
      </c>
      <c r="D962">
        <v>48</v>
      </c>
      <c r="E962" t="s">
        <v>30</v>
      </c>
      <c r="F962">
        <v>0.45152999999999999</v>
      </c>
      <c r="G962" s="1">
        <v>46002</v>
      </c>
      <c r="H962">
        <v>5.1351000000000004</v>
      </c>
      <c r="I962" s="1">
        <v>46045</v>
      </c>
      <c r="J962">
        <f t="shared" si="98"/>
        <v>63.617251162500004</v>
      </c>
      <c r="K962">
        <v>5.31</v>
      </c>
      <c r="M962">
        <f t="shared" si="97"/>
        <v>0</v>
      </c>
      <c r="N962">
        <f t="shared" ref="N962:N1025" si="99">L962*J962-K962</f>
        <v>-5.31</v>
      </c>
      <c r="P962">
        <v>5.8675199999999998</v>
      </c>
      <c r="AC962" t="s">
        <v>225</v>
      </c>
    </row>
    <row r="963" spans="1:29" x14ac:dyDescent="0.3">
      <c r="A963" t="s">
        <v>220</v>
      </c>
      <c r="B963" t="s">
        <v>51</v>
      </c>
      <c r="C963">
        <v>2</v>
      </c>
      <c r="D963">
        <v>48</v>
      </c>
      <c r="E963" t="s">
        <v>31</v>
      </c>
      <c r="F963">
        <v>0.45555000000000001</v>
      </c>
      <c r="G963" s="1">
        <v>46002</v>
      </c>
      <c r="H963">
        <v>5.1091899999999999</v>
      </c>
      <c r="I963" s="1">
        <v>46045</v>
      </c>
      <c r="J963">
        <f t="shared" si="98"/>
        <v>63.617251162500004</v>
      </c>
      <c r="K963">
        <v>5.31</v>
      </c>
      <c r="M963">
        <f t="shared" si="97"/>
        <v>0</v>
      </c>
      <c r="N963">
        <f t="shared" si="99"/>
        <v>-5.31</v>
      </c>
      <c r="P963">
        <v>5.8363199999999997</v>
      </c>
      <c r="AC963" t="s">
        <v>225</v>
      </c>
    </row>
    <row r="964" spans="1:29" x14ac:dyDescent="0.3">
      <c r="A964" t="s">
        <v>220</v>
      </c>
      <c r="B964" s="7" t="s">
        <v>51</v>
      </c>
      <c r="C964" s="7"/>
      <c r="D964" s="7"/>
      <c r="E964" s="7" t="s">
        <v>67</v>
      </c>
      <c r="H964">
        <v>5.1103100000000001</v>
      </c>
      <c r="J964">
        <f t="shared" si="98"/>
        <v>63.617251162500004</v>
      </c>
      <c r="K964">
        <v>5.31</v>
      </c>
      <c r="M964">
        <f t="shared" ref="M964:M1027" si="100">L964*F964</f>
        <v>0</v>
      </c>
      <c r="N964">
        <f t="shared" si="99"/>
        <v>-5.31</v>
      </c>
      <c r="AC964" t="s">
        <v>225</v>
      </c>
    </row>
    <row r="965" spans="1:29" x14ac:dyDescent="0.3">
      <c r="A965" t="s">
        <v>220</v>
      </c>
      <c r="B965" s="7" t="s">
        <v>51</v>
      </c>
      <c r="C965" s="7"/>
      <c r="D965" s="7"/>
      <c r="E965" s="7" t="s">
        <v>68</v>
      </c>
      <c r="H965">
        <v>5.1406000000000001</v>
      </c>
      <c r="J965">
        <f t="shared" si="98"/>
        <v>63.617251162500004</v>
      </c>
      <c r="K965">
        <v>5.31</v>
      </c>
      <c r="M965">
        <f t="shared" si="100"/>
        <v>0</v>
      </c>
      <c r="N965">
        <f t="shared" si="99"/>
        <v>-5.31</v>
      </c>
      <c r="AC965" t="s">
        <v>225</v>
      </c>
    </row>
    <row r="966" spans="1:29" x14ac:dyDescent="0.3">
      <c r="A966" t="s">
        <v>220</v>
      </c>
      <c r="B966" s="7" t="s">
        <v>51</v>
      </c>
      <c r="C966" s="7"/>
      <c r="D966" s="7"/>
      <c r="E966" s="7" t="s">
        <v>69</v>
      </c>
      <c r="H966" t="s">
        <v>232</v>
      </c>
      <c r="J966">
        <f t="shared" si="98"/>
        <v>63.617251162500004</v>
      </c>
      <c r="K966">
        <v>5.31</v>
      </c>
      <c r="M966">
        <f t="shared" si="100"/>
        <v>0</v>
      </c>
      <c r="N966">
        <f t="shared" si="99"/>
        <v>-5.31</v>
      </c>
      <c r="AC966" t="s">
        <v>225</v>
      </c>
    </row>
    <row r="967" spans="1:29" x14ac:dyDescent="0.3">
      <c r="A967" t="s">
        <v>220</v>
      </c>
      <c r="B967" s="7" t="s">
        <v>51</v>
      </c>
      <c r="C967" s="7"/>
      <c r="D967" s="7"/>
      <c r="E967" s="7" t="s">
        <v>70</v>
      </c>
      <c r="H967">
        <v>5.15761</v>
      </c>
      <c r="J967">
        <f t="shared" si="98"/>
        <v>63.617251162500004</v>
      </c>
      <c r="K967">
        <v>5.31</v>
      </c>
      <c r="M967">
        <f t="shared" si="100"/>
        <v>0</v>
      </c>
      <c r="N967">
        <f t="shared" si="99"/>
        <v>-5.31</v>
      </c>
      <c r="AC967" t="s">
        <v>225</v>
      </c>
    </row>
    <row r="968" spans="1:29" x14ac:dyDescent="0.3">
      <c r="A968" t="s">
        <v>220</v>
      </c>
      <c r="B968" s="7" t="s">
        <v>54</v>
      </c>
      <c r="C968" s="7">
        <v>1</v>
      </c>
      <c r="D968" s="7">
        <v>0.5</v>
      </c>
      <c r="E968" s="7" t="s">
        <v>64</v>
      </c>
      <c r="F968">
        <v>4.3861699999999999</v>
      </c>
      <c r="G968" s="1">
        <v>45994</v>
      </c>
      <c r="H968">
        <v>6.6816300000000002</v>
      </c>
      <c r="I968" s="1">
        <v>46032</v>
      </c>
      <c r="J968">
        <f t="shared" si="98"/>
        <v>63.617251162500004</v>
      </c>
      <c r="K968">
        <v>5.31</v>
      </c>
      <c r="M968">
        <f t="shared" si="100"/>
        <v>0</v>
      </c>
      <c r="N968">
        <f t="shared" si="99"/>
        <v>-5.31</v>
      </c>
      <c r="O968" t="s">
        <v>236</v>
      </c>
      <c r="P968">
        <v>11.09944</v>
      </c>
    </row>
    <row r="969" spans="1:29" x14ac:dyDescent="0.3">
      <c r="A969" t="s">
        <v>220</v>
      </c>
      <c r="B969" s="7" t="s">
        <v>54</v>
      </c>
      <c r="C969" s="7">
        <v>1</v>
      </c>
      <c r="D969" s="7">
        <v>0.5</v>
      </c>
      <c r="E969" s="7" t="s">
        <v>30</v>
      </c>
      <c r="F969">
        <v>4.13239</v>
      </c>
      <c r="G969" s="1">
        <v>45994</v>
      </c>
      <c r="H969">
        <v>6.6745400000000004</v>
      </c>
      <c r="I969" s="1">
        <v>46032</v>
      </c>
      <c r="J969">
        <f t="shared" si="98"/>
        <v>63.617251162500004</v>
      </c>
      <c r="K969">
        <v>5.31</v>
      </c>
      <c r="M969">
        <f t="shared" si="100"/>
        <v>0</v>
      </c>
      <c r="N969">
        <f t="shared" si="99"/>
        <v>-5.31</v>
      </c>
      <c r="P969">
        <v>11.586819999999999</v>
      </c>
      <c r="AC969" t="s">
        <v>235</v>
      </c>
    </row>
    <row r="970" spans="1:29" x14ac:dyDescent="0.3">
      <c r="A970" t="s">
        <v>220</v>
      </c>
      <c r="B970" s="7" t="s">
        <v>54</v>
      </c>
      <c r="C970" s="7">
        <v>1</v>
      </c>
      <c r="D970" s="7">
        <v>0.5</v>
      </c>
      <c r="E970" s="7" t="s">
        <v>31</v>
      </c>
      <c r="F970">
        <v>4.5840500000000004</v>
      </c>
      <c r="G970" s="1">
        <v>45994</v>
      </c>
      <c r="H970">
        <v>6.6450500000000003</v>
      </c>
      <c r="I970" s="1">
        <v>46032</v>
      </c>
      <c r="J970">
        <f t="shared" si="98"/>
        <v>63.617251162500004</v>
      </c>
      <c r="K970">
        <v>5.31</v>
      </c>
      <c r="M970">
        <f t="shared" si="100"/>
        <v>0</v>
      </c>
      <c r="N970">
        <f t="shared" si="99"/>
        <v>-5.31</v>
      </c>
      <c r="P970">
        <v>11.289289999999999</v>
      </c>
    </row>
    <row r="971" spans="1:29" x14ac:dyDescent="0.3">
      <c r="A971" t="s">
        <v>220</v>
      </c>
      <c r="B971" s="7" t="s">
        <v>54</v>
      </c>
      <c r="C971" s="7">
        <v>1</v>
      </c>
      <c r="D971" s="7">
        <v>2</v>
      </c>
      <c r="E971" s="7" t="s">
        <v>64</v>
      </c>
      <c r="F971">
        <v>4.5093399999999999</v>
      </c>
      <c r="G971" s="1">
        <v>45994</v>
      </c>
      <c r="H971">
        <v>6.7300300000000002</v>
      </c>
      <c r="I971" s="1">
        <v>46032</v>
      </c>
      <c r="J971">
        <f t="shared" si="98"/>
        <v>63.617251162500004</v>
      </c>
      <c r="K971">
        <v>5.31</v>
      </c>
      <c r="M971">
        <f t="shared" si="100"/>
        <v>0</v>
      </c>
      <c r="N971">
        <f t="shared" si="99"/>
        <v>-5.31</v>
      </c>
      <c r="P971">
        <v>11.39371</v>
      </c>
    </row>
    <row r="972" spans="1:29" x14ac:dyDescent="0.3">
      <c r="A972" t="s">
        <v>220</v>
      </c>
      <c r="B972" s="7" t="s">
        <v>54</v>
      </c>
      <c r="C972" s="7">
        <v>1</v>
      </c>
      <c r="D972" s="7">
        <v>2</v>
      </c>
      <c r="E972" s="7" t="s">
        <v>30</v>
      </c>
      <c r="F972">
        <v>4.17631</v>
      </c>
      <c r="G972" s="1">
        <v>45994</v>
      </c>
      <c r="H972">
        <v>6.6493200000000003</v>
      </c>
      <c r="I972" s="1">
        <v>46032</v>
      </c>
      <c r="J972">
        <f t="shared" si="98"/>
        <v>63.617251162500004</v>
      </c>
      <c r="K972">
        <v>5.31</v>
      </c>
      <c r="M972">
        <f t="shared" si="100"/>
        <v>0</v>
      </c>
      <c r="N972">
        <f t="shared" si="99"/>
        <v>-5.31</v>
      </c>
      <c r="P972">
        <v>10.998060000000001</v>
      </c>
    </row>
    <row r="973" spans="1:29" x14ac:dyDescent="0.3">
      <c r="A973" t="s">
        <v>220</v>
      </c>
      <c r="B973" s="7" t="s">
        <v>54</v>
      </c>
      <c r="C973" s="7">
        <v>1</v>
      </c>
      <c r="D973" s="7">
        <v>2</v>
      </c>
      <c r="E973" s="7" t="s">
        <v>31</v>
      </c>
      <c r="F973">
        <v>4.3176100000000002</v>
      </c>
      <c r="G973" s="1">
        <v>45994</v>
      </c>
      <c r="H973">
        <v>6.9556399999999998</v>
      </c>
      <c r="I973" s="1">
        <v>46032</v>
      </c>
      <c r="J973">
        <f t="shared" si="98"/>
        <v>63.617251162500004</v>
      </c>
      <c r="K973">
        <v>5.31</v>
      </c>
      <c r="M973">
        <f t="shared" si="100"/>
        <v>0</v>
      </c>
      <c r="N973">
        <f t="shared" si="99"/>
        <v>-5.31</v>
      </c>
      <c r="P973">
        <v>11.42296</v>
      </c>
    </row>
    <row r="974" spans="1:29" x14ac:dyDescent="0.3">
      <c r="A974" t="s">
        <v>220</v>
      </c>
      <c r="B974" s="7" t="s">
        <v>54</v>
      </c>
      <c r="C974" s="7">
        <v>1</v>
      </c>
      <c r="D974" s="7">
        <v>6</v>
      </c>
      <c r="E974" s="7" t="s">
        <v>64</v>
      </c>
      <c r="F974">
        <v>0.44608999999999999</v>
      </c>
      <c r="G974" s="1">
        <v>45994</v>
      </c>
      <c r="H974">
        <v>6.9574999999999996</v>
      </c>
      <c r="I974" s="1">
        <v>46032</v>
      </c>
      <c r="J974">
        <f t="shared" si="98"/>
        <v>63.617251162500004</v>
      </c>
      <c r="K974">
        <v>5.31</v>
      </c>
      <c r="M974">
        <f t="shared" si="100"/>
        <v>0</v>
      </c>
      <c r="N974">
        <f t="shared" si="99"/>
        <v>-5.31</v>
      </c>
      <c r="P974">
        <v>7.4732900000000004</v>
      </c>
      <c r="Q974">
        <v>7.4635800000000003</v>
      </c>
      <c r="AC974" t="s">
        <v>233</v>
      </c>
    </row>
    <row r="975" spans="1:29" x14ac:dyDescent="0.3">
      <c r="A975" t="s">
        <v>220</v>
      </c>
      <c r="B975" s="7" t="s">
        <v>54</v>
      </c>
      <c r="C975" s="7">
        <v>1</v>
      </c>
      <c r="D975" s="7">
        <v>6</v>
      </c>
      <c r="E975" s="7" t="s">
        <v>30</v>
      </c>
      <c r="F975">
        <v>0.44438</v>
      </c>
      <c r="G975" s="1">
        <v>45994</v>
      </c>
      <c r="H975">
        <v>6.8989200000000004</v>
      </c>
      <c r="I975" s="1">
        <v>46032</v>
      </c>
      <c r="J975">
        <f t="shared" si="98"/>
        <v>63.617251162500004</v>
      </c>
      <c r="K975">
        <v>5.31</v>
      </c>
      <c r="M975">
        <f t="shared" si="100"/>
        <v>0</v>
      </c>
      <c r="N975">
        <f t="shared" si="99"/>
        <v>-5.31</v>
      </c>
      <c r="P975">
        <v>7.7452899999999998</v>
      </c>
    </row>
    <row r="976" spans="1:29" x14ac:dyDescent="0.3">
      <c r="A976" t="s">
        <v>220</v>
      </c>
      <c r="B976" s="7" t="s">
        <v>54</v>
      </c>
      <c r="C976" s="7">
        <v>1</v>
      </c>
      <c r="D976" s="7">
        <v>6</v>
      </c>
      <c r="E976" s="7" t="s">
        <v>31</v>
      </c>
      <c r="F976">
        <v>0.44784000000000002</v>
      </c>
      <c r="G976" s="1">
        <v>45994</v>
      </c>
      <c r="H976">
        <v>6.9523700000000002</v>
      </c>
      <c r="I976" s="1">
        <v>46032</v>
      </c>
      <c r="J976">
        <f t="shared" si="98"/>
        <v>63.617251162500004</v>
      </c>
      <c r="K976">
        <v>5.31</v>
      </c>
      <c r="M976">
        <f t="shared" si="100"/>
        <v>0</v>
      </c>
      <c r="N976">
        <f t="shared" si="99"/>
        <v>-5.31</v>
      </c>
      <c r="P976">
        <v>7.7005299999999997</v>
      </c>
    </row>
    <row r="977" spans="1:16" x14ac:dyDescent="0.3">
      <c r="A977" t="s">
        <v>220</v>
      </c>
      <c r="B977" s="7" t="s">
        <v>54</v>
      </c>
      <c r="C977" s="7">
        <v>1</v>
      </c>
      <c r="D977" s="7">
        <v>12</v>
      </c>
      <c r="E977" s="7" t="s">
        <v>64</v>
      </c>
      <c r="F977">
        <v>0.44703999999999999</v>
      </c>
      <c r="G977" s="1">
        <v>45994</v>
      </c>
      <c r="H977">
        <v>6.6224699999999999</v>
      </c>
      <c r="I977" s="1">
        <v>46032</v>
      </c>
      <c r="J977">
        <f t="shared" si="98"/>
        <v>63.617251162500004</v>
      </c>
      <c r="K977">
        <v>5.31</v>
      </c>
      <c r="M977">
        <f t="shared" si="100"/>
        <v>0</v>
      </c>
      <c r="N977">
        <f t="shared" si="99"/>
        <v>-5.31</v>
      </c>
      <c r="P977">
        <v>7.7184400000000002</v>
      </c>
    </row>
    <row r="978" spans="1:16" x14ac:dyDescent="0.3">
      <c r="A978" t="s">
        <v>220</v>
      </c>
      <c r="B978" s="7" t="s">
        <v>54</v>
      </c>
      <c r="C978" s="7">
        <v>1</v>
      </c>
      <c r="D978" s="7">
        <v>12</v>
      </c>
      <c r="E978" s="7" t="s">
        <v>30</v>
      </c>
      <c r="F978">
        <v>0.44661000000000001</v>
      </c>
      <c r="G978" s="1">
        <v>45994</v>
      </c>
      <c r="H978">
        <v>6.93452</v>
      </c>
      <c r="I978" s="1">
        <v>46032</v>
      </c>
      <c r="J978">
        <f t="shared" si="98"/>
        <v>63.617251162500004</v>
      </c>
      <c r="K978">
        <v>5.31</v>
      </c>
      <c r="M978">
        <f t="shared" si="100"/>
        <v>0</v>
      </c>
      <c r="N978">
        <f t="shared" si="99"/>
        <v>-5.31</v>
      </c>
      <c r="P978">
        <v>8.1170299999999997</v>
      </c>
    </row>
    <row r="979" spans="1:16" x14ac:dyDescent="0.3">
      <c r="A979" t="s">
        <v>220</v>
      </c>
      <c r="B979" s="7" t="s">
        <v>54</v>
      </c>
      <c r="C979" s="7">
        <v>1</v>
      </c>
      <c r="D979" s="7">
        <v>12</v>
      </c>
      <c r="E979" s="7" t="s">
        <v>31</v>
      </c>
      <c r="F979">
        <v>0.4451</v>
      </c>
      <c r="G979" s="1">
        <v>45994</v>
      </c>
      <c r="H979">
        <v>6.9537300000000002</v>
      </c>
      <c r="I979" s="1">
        <v>46032</v>
      </c>
      <c r="J979">
        <f t="shared" si="98"/>
        <v>63.617251162500004</v>
      </c>
      <c r="K979">
        <v>5.31</v>
      </c>
      <c r="M979">
        <f t="shared" si="100"/>
        <v>0</v>
      </c>
      <c r="N979">
        <f t="shared" si="99"/>
        <v>-5.31</v>
      </c>
      <c r="P979">
        <v>7.9217300000000002</v>
      </c>
    </row>
    <row r="980" spans="1:16" x14ac:dyDescent="0.3">
      <c r="A980" t="s">
        <v>220</v>
      </c>
      <c r="B980" s="7" t="s">
        <v>54</v>
      </c>
      <c r="C980" s="7">
        <v>1</v>
      </c>
      <c r="D980" s="7">
        <v>18</v>
      </c>
      <c r="E980" s="7" t="s">
        <v>64</v>
      </c>
      <c r="F980">
        <v>0.44578000000000001</v>
      </c>
      <c r="G980" s="1">
        <v>45994</v>
      </c>
      <c r="H980">
        <v>6.6653000000000002</v>
      </c>
      <c r="I980" s="1">
        <v>46032</v>
      </c>
      <c r="J980">
        <f t="shared" si="98"/>
        <v>63.617251162500004</v>
      </c>
      <c r="K980">
        <v>5.31</v>
      </c>
      <c r="M980">
        <f t="shared" si="100"/>
        <v>0</v>
      </c>
      <c r="N980">
        <f t="shared" si="99"/>
        <v>-5.31</v>
      </c>
      <c r="P980">
        <v>7.4649299999999998</v>
      </c>
    </row>
    <row r="981" spans="1:16" x14ac:dyDescent="0.3">
      <c r="A981" t="s">
        <v>220</v>
      </c>
      <c r="B981" s="7" t="s">
        <v>54</v>
      </c>
      <c r="C981" s="7">
        <v>1</v>
      </c>
      <c r="D981" s="7">
        <v>18</v>
      </c>
      <c r="E981" s="7" t="s">
        <v>30</v>
      </c>
      <c r="F981">
        <v>0.44571</v>
      </c>
      <c r="G981" s="1">
        <v>45994</v>
      </c>
      <c r="H981">
        <v>6.67394</v>
      </c>
      <c r="I981" s="1">
        <v>46032</v>
      </c>
      <c r="J981">
        <f t="shared" si="98"/>
        <v>63.617251162500004</v>
      </c>
      <c r="K981">
        <v>5.31</v>
      </c>
      <c r="M981">
        <f t="shared" si="100"/>
        <v>0</v>
      </c>
      <c r="N981">
        <f t="shared" si="99"/>
        <v>-5.31</v>
      </c>
      <c r="P981">
        <v>7.4902199999999999</v>
      </c>
    </row>
    <row r="982" spans="1:16" x14ac:dyDescent="0.3">
      <c r="A982" t="s">
        <v>220</v>
      </c>
      <c r="B982" s="7" t="s">
        <v>54</v>
      </c>
      <c r="C982" s="7">
        <v>1</v>
      </c>
      <c r="D982" s="7">
        <v>18</v>
      </c>
      <c r="E982" s="7" t="s">
        <v>31</v>
      </c>
      <c r="F982">
        <v>0.44896999999999998</v>
      </c>
      <c r="G982" s="1">
        <v>45994</v>
      </c>
      <c r="H982">
        <v>6.6393800000000001</v>
      </c>
      <c r="I982" s="1">
        <v>46032</v>
      </c>
      <c r="J982">
        <f t="shared" si="98"/>
        <v>63.617251162500004</v>
      </c>
      <c r="K982">
        <v>5.31</v>
      </c>
      <c r="M982">
        <f t="shared" si="100"/>
        <v>0</v>
      </c>
      <c r="N982">
        <f t="shared" si="99"/>
        <v>-5.31</v>
      </c>
      <c r="P982">
        <v>7.4881700000000002</v>
      </c>
    </row>
    <row r="983" spans="1:16" x14ac:dyDescent="0.3">
      <c r="A983" t="s">
        <v>220</v>
      </c>
      <c r="B983" s="7" t="s">
        <v>54</v>
      </c>
      <c r="C983" s="7">
        <v>1</v>
      </c>
      <c r="D983" s="7">
        <v>24</v>
      </c>
      <c r="E983" s="7" t="s">
        <v>28</v>
      </c>
      <c r="F983">
        <v>0.4456</v>
      </c>
      <c r="G983" s="1">
        <v>45994</v>
      </c>
      <c r="H983">
        <v>6.9893299999999998</v>
      </c>
      <c r="I983" s="1">
        <v>46032</v>
      </c>
      <c r="J983">
        <f t="shared" si="98"/>
        <v>63.617251162500004</v>
      </c>
      <c r="K983">
        <v>5.31</v>
      </c>
      <c r="M983">
        <f t="shared" si="100"/>
        <v>0</v>
      </c>
      <c r="N983">
        <f t="shared" si="99"/>
        <v>-5.31</v>
      </c>
      <c r="P983">
        <v>7.8551700000000002</v>
      </c>
    </row>
    <row r="984" spans="1:16" x14ac:dyDescent="0.3">
      <c r="A984" t="s">
        <v>220</v>
      </c>
      <c r="B984" s="7" t="s">
        <v>54</v>
      </c>
      <c r="C984" s="7">
        <v>1</v>
      </c>
      <c r="D984" s="7">
        <v>24</v>
      </c>
      <c r="E984" s="7" t="s">
        <v>30</v>
      </c>
      <c r="F984">
        <v>0.44629999999999997</v>
      </c>
      <c r="G984" s="1">
        <v>45994</v>
      </c>
      <c r="H984">
        <v>6.6550799999999999</v>
      </c>
      <c r="I984" s="1">
        <v>46032</v>
      </c>
      <c r="J984">
        <f t="shared" si="98"/>
        <v>63.617251162500004</v>
      </c>
      <c r="K984">
        <v>5.31</v>
      </c>
      <c r="M984">
        <f t="shared" si="100"/>
        <v>0</v>
      </c>
      <c r="N984">
        <f t="shared" si="99"/>
        <v>-5.31</v>
      </c>
      <c r="P984">
        <v>7.4575300000000002</v>
      </c>
    </row>
    <row r="985" spans="1:16" x14ac:dyDescent="0.3">
      <c r="A985" t="s">
        <v>220</v>
      </c>
      <c r="B985" s="7" t="s">
        <v>54</v>
      </c>
      <c r="C985" s="7">
        <v>1</v>
      </c>
      <c r="D985" s="7">
        <v>24</v>
      </c>
      <c r="E985" s="7" t="s">
        <v>31</v>
      </c>
      <c r="F985">
        <v>0.45238</v>
      </c>
      <c r="G985" s="1">
        <v>45994</v>
      </c>
      <c r="H985">
        <v>6.6822800000000004</v>
      </c>
      <c r="I985" s="1">
        <v>46032</v>
      </c>
      <c r="J985">
        <f t="shared" si="98"/>
        <v>63.617251162500004</v>
      </c>
      <c r="K985">
        <v>5.31</v>
      </c>
      <c r="M985">
        <f t="shared" si="100"/>
        <v>0</v>
      </c>
      <c r="N985">
        <f t="shared" si="99"/>
        <v>-5.31</v>
      </c>
      <c r="P985">
        <v>7.5516699999999997</v>
      </c>
    </row>
    <row r="986" spans="1:16" x14ac:dyDescent="0.3">
      <c r="A986" t="s">
        <v>220</v>
      </c>
      <c r="B986" s="7" t="s">
        <v>54</v>
      </c>
      <c r="C986" s="7">
        <v>1</v>
      </c>
      <c r="D986" s="7">
        <v>48</v>
      </c>
      <c r="E986" s="7" t="s">
        <v>64</v>
      </c>
      <c r="F986">
        <v>0.45141999999999999</v>
      </c>
      <c r="G986" s="1">
        <v>45994</v>
      </c>
      <c r="H986">
        <v>6.67279</v>
      </c>
      <c r="I986" s="1">
        <v>46032</v>
      </c>
      <c r="J986">
        <f t="shared" si="98"/>
        <v>63.617251162500004</v>
      </c>
      <c r="K986">
        <v>5.31</v>
      </c>
      <c r="M986">
        <f t="shared" si="100"/>
        <v>0</v>
      </c>
      <c r="N986">
        <f t="shared" si="99"/>
        <v>-5.31</v>
      </c>
      <c r="P986">
        <v>7.8048099999999998</v>
      </c>
    </row>
    <row r="987" spans="1:16" x14ac:dyDescent="0.3">
      <c r="A987" t="s">
        <v>220</v>
      </c>
      <c r="B987" s="7" t="s">
        <v>54</v>
      </c>
      <c r="C987" s="7">
        <v>1</v>
      </c>
      <c r="D987" s="7">
        <v>48</v>
      </c>
      <c r="E987" s="7" t="s">
        <v>30</v>
      </c>
      <c r="F987">
        <v>0.45013999999999998</v>
      </c>
      <c r="G987" s="1">
        <v>45994</v>
      </c>
      <c r="H987">
        <v>6.6270899999999999</v>
      </c>
      <c r="I987" s="1">
        <v>46032</v>
      </c>
      <c r="J987">
        <f t="shared" si="98"/>
        <v>63.617251162500004</v>
      </c>
      <c r="K987">
        <v>5.31</v>
      </c>
      <c r="M987">
        <f t="shared" si="100"/>
        <v>0</v>
      </c>
      <c r="N987">
        <f t="shared" si="99"/>
        <v>-5.31</v>
      </c>
      <c r="P987">
        <v>8.1605500000000006</v>
      </c>
    </row>
    <row r="988" spans="1:16" x14ac:dyDescent="0.3">
      <c r="A988" t="s">
        <v>220</v>
      </c>
      <c r="B988" s="7" t="s">
        <v>54</v>
      </c>
      <c r="C988" s="7">
        <v>1</v>
      </c>
      <c r="D988" s="7">
        <v>48</v>
      </c>
      <c r="E988" s="7" t="s">
        <v>31</v>
      </c>
      <c r="F988">
        <v>0.45338000000000001</v>
      </c>
      <c r="G988" s="1">
        <v>45994</v>
      </c>
      <c r="H988">
        <v>6.67319</v>
      </c>
      <c r="I988" s="1">
        <v>46032</v>
      </c>
      <c r="J988">
        <f t="shared" si="98"/>
        <v>63.617251162500004</v>
      </c>
      <c r="K988">
        <v>5.31</v>
      </c>
      <c r="M988">
        <f t="shared" si="100"/>
        <v>0</v>
      </c>
      <c r="N988">
        <f t="shared" si="99"/>
        <v>-5.31</v>
      </c>
      <c r="P988">
        <v>7.9945130000000004</v>
      </c>
    </row>
    <row r="989" spans="1:16" x14ac:dyDescent="0.3">
      <c r="A989" t="s">
        <v>220</v>
      </c>
      <c r="B989" t="s">
        <v>54</v>
      </c>
      <c r="C989">
        <v>2</v>
      </c>
      <c r="D989">
        <v>0.5</v>
      </c>
      <c r="E989" t="s">
        <v>64</v>
      </c>
      <c r="F989">
        <v>4.2915000000000001</v>
      </c>
      <c r="G989" s="1">
        <v>45994</v>
      </c>
      <c r="H989">
        <v>6.5775899999999998</v>
      </c>
      <c r="I989" s="1">
        <v>46032</v>
      </c>
      <c r="J989">
        <f t="shared" si="98"/>
        <v>63.617251162500004</v>
      </c>
      <c r="K989">
        <v>5.31</v>
      </c>
      <c r="M989">
        <f t="shared" si="100"/>
        <v>0</v>
      </c>
      <c r="N989">
        <f t="shared" si="99"/>
        <v>-5.31</v>
      </c>
      <c r="P989">
        <v>10.87721</v>
      </c>
    </row>
    <row r="990" spans="1:16" x14ac:dyDescent="0.3">
      <c r="A990" t="s">
        <v>220</v>
      </c>
      <c r="B990" t="s">
        <v>54</v>
      </c>
      <c r="C990">
        <v>2</v>
      </c>
      <c r="D990">
        <v>0.5</v>
      </c>
      <c r="E990" t="s">
        <v>30</v>
      </c>
      <c r="F990">
        <v>4.3645800000000001</v>
      </c>
      <c r="G990" s="1">
        <v>45994</v>
      </c>
      <c r="H990">
        <v>6.6416300000000001</v>
      </c>
      <c r="I990" s="1">
        <v>46032</v>
      </c>
      <c r="J990">
        <f t="shared" si="98"/>
        <v>63.617251162500004</v>
      </c>
      <c r="K990">
        <v>5.31</v>
      </c>
      <c r="M990">
        <f t="shared" si="100"/>
        <v>0</v>
      </c>
      <c r="N990" s="7">
        <f t="shared" si="99"/>
        <v>-5.31</v>
      </c>
      <c r="P990">
        <v>11.01831</v>
      </c>
    </row>
    <row r="991" spans="1:16" x14ac:dyDescent="0.3">
      <c r="A991" t="s">
        <v>220</v>
      </c>
      <c r="B991" t="s">
        <v>54</v>
      </c>
      <c r="C991">
        <v>2</v>
      </c>
      <c r="D991">
        <v>0.5</v>
      </c>
      <c r="E991" t="s">
        <v>31</v>
      </c>
      <c r="F991">
        <v>4.1712499999999997</v>
      </c>
      <c r="G991" s="1">
        <v>45994</v>
      </c>
      <c r="H991">
        <v>6.6515700000000004</v>
      </c>
      <c r="I991" s="1">
        <v>46032</v>
      </c>
      <c r="J991">
        <f t="shared" si="98"/>
        <v>63.617251162500004</v>
      </c>
      <c r="K991">
        <v>5.31</v>
      </c>
      <c r="M991">
        <f t="shared" si="100"/>
        <v>0</v>
      </c>
      <c r="N991">
        <f t="shared" si="99"/>
        <v>-5.31</v>
      </c>
      <c r="P991">
        <v>10.82962</v>
      </c>
    </row>
    <row r="992" spans="1:16" x14ac:dyDescent="0.3">
      <c r="A992" t="s">
        <v>220</v>
      </c>
      <c r="B992" t="s">
        <v>54</v>
      </c>
      <c r="C992">
        <v>2</v>
      </c>
      <c r="D992">
        <v>2</v>
      </c>
      <c r="E992" t="s">
        <v>64</v>
      </c>
      <c r="F992">
        <v>4.1716600000000001</v>
      </c>
      <c r="G992" s="1">
        <v>45994</v>
      </c>
      <c r="H992">
        <v>6.6940900000000001</v>
      </c>
      <c r="I992" s="1">
        <v>46032</v>
      </c>
      <c r="J992">
        <f t="shared" si="98"/>
        <v>63.617251162500004</v>
      </c>
      <c r="K992">
        <v>5.31</v>
      </c>
      <c r="M992" s="7">
        <f t="shared" si="100"/>
        <v>0</v>
      </c>
      <c r="N992">
        <f t="shared" si="99"/>
        <v>-5.31</v>
      </c>
      <c r="P992">
        <v>10.9444</v>
      </c>
    </row>
    <row r="993" spans="1:16" x14ac:dyDescent="0.3">
      <c r="A993" t="s">
        <v>220</v>
      </c>
      <c r="B993" t="s">
        <v>54</v>
      </c>
      <c r="C993">
        <v>2</v>
      </c>
      <c r="D993">
        <v>2</v>
      </c>
      <c r="E993" t="s">
        <v>30</v>
      </c>
      <c r="F993">
        <v>4.2987200000000003</v>
      </c>
      <c r="G993" s="1">
        <v>45994</v>
      </c>
      <c r="H993">
        <v>6.63748</v>
      </c>
      <c r="I993" s="1">
        <v>46032</v>
      </c>
      <c r="J993">
        <f t="shared" si="98"/>
        <v>63.617251162500004</v>
      </c>
      <c r="K993">
        <v>5.31</v>
      </c>
      <c r="M993">
        <f t="shared" si="100"/>
        <v>0</v>
      </c>
      <c r="N993">
        <f t="shared" si="99"/>
        <v>-5.31</v>
      </c>
      <c r="P993">
        <v>10.992620000000001</v>
      </c>
    </row>
    <row r="994" spans="1:16" x14ac:dyDescent="0.3">
      <c r="A994" t="s">
        <v>220</v>
      </c>
      <c r="B994" t="s">
        <v>54</v>
      </c>
      <c r="C994">
        <v>2</v>
      </c>
      <c r="D994">
        <v>2</v>
      </c>
      <c r="E994" t="s">
        <v>31</v>
      </c>
      <c r="F994">
        <v>4.3474399999999997</v>
      </c>
      <c r="G994" s="1">
        <v>45994</v>
      </c>
      <c r="H994">
        <v>6.6600299999999999</v>
      </c>
      <c r="I994" s="1">
        <v>46032</v>
      </c>
      <c r="J994">
        <f t="shared" si="98"/>
        <v>63.617251162500004</v>
      </c>
      <c r="K994">
        <v>5.31</v>
      </c>
      <c r="M994">
        <f t="shared" si="100"/>
        <v>0</v>
      </c>
      <c r="N994" s="7">
        <f t="shared" si="99"/>
        <v>-5.31</v>
      </c>
      <c r="P994">
        <v>11.099729999999999</v>
      </c>
    </row>
    <row r="995" spans="1:16" x14ac:dyDescent="0.3">
      <c r="A995" t="s">
        <v>220</v>
      </c>
      <c r="B995" t="s">
        <v>54</v>
      </c>
      <c r="C995">
        <v>2</v>
      </c>
      <c r="D995">
        <v>6</v>
      </c>
      <c r="E995" t="s">
        <v>64</v>
      </c>
      <c r="F995">
        <v>0.45257999999999998</v>
      </c>
      <c r="G995" s="1">
        <v>45994</v>
      </c>
      <c r="H995">
        <v>6.7161600000000004</v>
      </c>
      <c r="I995" s="1">
        <v>46032</v>
      </c>
      <c r="J995">
        <f t="shared" si="98"/>
        <v>63.617251162500004</v>
      </c>
      <c r="K995">
        <v>5.31</v>
      </c>
      <c r="M995">
        <f t="shared" si="100"/>
        <v>0</v>
      </c>
      <c r="N995" s="7">
        <f t="shared" si="99"/>
        <v>-5.31</v>
      </c>
      <c r="P995">
        <v>7.5771899999999999</v>
      </c>
    </row>
    <row r="996" spans="1:16" x14ac:dyDescent="0.3">
      <c r="A996" t="s">
        <v>220</v>
      </c>
      <c r="B996" t="s">
        <v>54</v>
      </c>
      <c r="C996">
        <v>2</v>
      </c>
      <c r="D996">
        <v>6</v>
      </c>
      <c r="E996" t="s">
        <v>30</v>
      </c>
      <c r="F996">
        <v>0.45385999999999999</v>
      </c>
      <c r="G996" s="1">
        <v>45994</v>
      </c>
      <c r="H996">
        <v>6.6660500000000003</v>
      </c>
      <c r="I996" s="1">
        <v>46032</v>
      </c>
      <c r="J996">
        <f t="shared" si="98"/>
        <v>63.617251162500004</v>
      </c>
      <c r="K996">
        <v>5.31</v>
      </c>
      <c r="M996" s="7">
        <f t="shared" si="100"/>
        <v>0</v>
      </c>
      <c r="N996">
        <f t="shared" si="99"/>
        <v>-5.31</v>
      </c>
      <c r="P996">
        <v>7.6663300000000003</v>
      </c>
    </row>
    <row r="997" spans="1:16" x14ac:dyDescent="0.3">
      <c r="A997" t="s">
        <v>220</v>
      </c>
      <c r="B997" t="s">
        <v>54</v>
      </c>
      <c r="C997">
        <v>2</v>
      </c>
      <c r="D997">
        <v>6</v>
      </c>
      <c r="E997" t="s">
        <v>31</v>
      </c>
      <c r="F997">
        <v>0.44979000000000002</v>
      </c>
      <c r="G997" s="1">
        <v>45994</v>
      </c>
      <c r="H997">
        <v>6.6729000000000003</v>
      </c>
      <c r="I997" s="1">
        <v>46032</v>
      </c>
      <c r="J997">
        <f t="shared" si="98"/>
        <v>63.617251162500004</v>
      </c>
      <c r="K997">
        <v>5.31</v>
      </c>
      <c r="M997" s="7">
        <f t="shared" si="100"/>
        <v>0</v>
      </c>
      <c r="N997">
        <f t="shared" si="99"/>
        <v>-5.31</v>
      </c>
      <c r="P997">
        <v>7.9312500000000004</v>
      </c>
    </row>
    <row r="998" spans="1:16" x14ac:dyDescent="0.3">
      <c r="A998" t="s">
        <v>220</v>
      </c>
      <c r="B998" t="s">
        <v>54</v>
      </c>
      <c r="C998">
        <v>2</v>
      </c>
      <c r="D998">
        <v>12</v>
      </c>
      <c r="E998" t="s">
        <v>64</v>
      </c>
      <c r="F998">
        <v>0.45548</v>
      </c>
      <c r="G998" s="1">
        <v>45994</v>
      </c>
      <c r="H998">
        <v>6.6020700000000003</v>
      </c>
      <c r="I998" s="1">
        <v>46032</v>
      </c>
      <c r="J998">
        <f t="shared" si="98"/>
        <v>63.617251162500004</v>
      </c>
      <c r="K998">
        <v>5.31</v>
      </c>
      <c r="M998">
        <f t="shared" si="100"/>
        <v>0</v>
      </c>
      <c r="N998">
        <f t="shared" si="99"/>
        <v>-5.31</v>
      </c>
      <c r="P998">
        <v>7.4919000000000002</v>
      </c>
    </row>
    <row r="999" spans="1:16" x14ac:dyDescent="0.3">
      <c r="A999" t="s">
        <v>220</v>
      </c>
      <c r="B999" t="s">
        <v>54</v>
      </c>
      <c r="C999">
        <v>2</v>
      </c>
      <c r="D999">
        <v>12</v>
      </c>
      <c r="E999" t="s">
        <v>30</v>
      </c>
      <c r="F999">
        <v>0.45617000000000002</v>
      </c>
      <c r="G999" s="1">
        <v>45994</v>
      </c>
      <c r="H999">
        <v>6.6832799999999999</v>
      </c>
      <c r="I999" s="1">
        <v>46032</v>
      </c>
      <c r="J999">
        <f t="shared" si="98"/>
        <v>63.617251162500004</v>
      </c>
      <c r="K999">
        <v>5.31</v>
      </c>
      <c r="M999">
        <f t="shared" si="100"/>
        <v>0</v>
      </c>
      <c r="N999">
        <f t="shared" si="99"/>
        <v>-5.31</v>
      </c>
      <c r="P999">
        <v>7.6006799999999997</v>
      </c>
    </row>
    <row r="1000" spans="1:16" x14ac:dyDescent="0.3">
      <c r="A1000" t="s">
        <v>220</v>
      </c>
      <c r="B1000" t="s">
        <v>54</v>
      </c>
      <c r="C1000">
        <v>2</v>
      </c>
      <c r="D1000">
        <v>12</v>
      </c>
      <c r="E1000" t="s">
        <v>31</v>
      </c>
      <c r="F1000">
        <v>0.45402999999999999</v>
      </c>
      <c r="G1000" s="1">
        <v>45994</v>
      </c>
      <c r="H1000">
        <v>6.6402700000000001</v>
      </c>
      <c r="I1000" s="1">
        <v>46032</v>
      </c>
      <c r="J1000">
        <f t="shared" si="98"/>
        <v>63.617251162500004</v>
      </c>
      <c r="K1000">
        <v>5.31</v>
      </c>
      <c r="M1000">
        <f t="shared" si="100"/>
        <v>0</v>
      </c>
      <c r="N1000">
        <f t="shared" si="99"/>
        <v>-5.31</v>
      </c>
      <c r="P1000">
        <v>7.5013300000000003</v>
      </c>
    </row>
    <row r="1001" spans="1:16" x14ac:dyDescent="0.3">
      <c r="A1001" t="s">
        <v>220</v>
      </c>
      <c r="B1001" t="s">
        <v>54</v>
      </c>
      <c r="C1001">
        <v>2</v>
      </c>
      <c r="D1001">
        <v>18</v>
      </c>
      <c r="E1001" t="s">
        <v>64</v>
      </c>
      <c r="F1001">
        <v>0.45623000000000002</v>
      </c>
      <c r="G1001" s="1">
        <v>45994</v>
      </c>
      <c r="H1001">
        <v>6.57653</v>
      </c>
      <c r="I1001" s="1">
        <v>46032</v>
      </c>
      <c r="J1001">
        <f t="shared" si="98"/>
        <v>63.617251162500004</v>
      </c>
      <c r="K1001">
        <v>5.31</v>
      </c>
      <c r="M1001">
        <f t="shared" si="100"/>
        <v>0</v>
      </c>
      <c r="N1001">
        <f t="shared" si="99"/>
        <v>-5.31</v>
      </c>
      <c r="P1001">
        <v>7.42645</v>
      </c>
    </row>
    <row r="1002" spans="1:16" x14ac:dyDescent="0.3">
      <c r="A1002" t="s">
        <v>220</v>
      </c>
      <c r="B1002" t="s">
        <v>54</v>
      </c>
      <c r="C1002">
        <v>2</v>
      </c>
      <c r="D1002">
        <v>18</v>
      </c>
      <c r="E1002" t="s">
        <v>30</v>
      </c>
      <c r="F1002">
        <v>0.45534999999999998</v>
      </c>
      <c r="G1002" s="1">
        <v>45994</v>
      </c>
      <c r="H1002">
        <v>6.5764300000000002</v>
      </c>
      <c r="I1002" s="1">
        <v>46032</v>
      </c>
      <c r="J1002">
        <f t="shared" si="98"/>
        <v>63.617251162500004</v>
      </c>
      <c r="K1002">
        <v>5.31</v>
      </c>
      <c r="M1002">
        <f t="shared" si="100"/>
        <v>0</v>
      </c>
      <c r="N1002">
        <f t="shared" si="99"/>
        <v>-5.31</v>
      </c>
      <c r="P1002">
        <v>7.4893400000000003</v>
      </c>
    </row>
    <row r="1003" spans="1:16" x14ac:dyDescent="0.3">
      <c r="A1003" t="s">
        <v>220</v>
      </c>
      <c r="B1003" t="s">
        <v>54</v>
      </c>
      <c r="C1003">
        <v>2</v>
      </c>
      <c r="D1003">
        <v>18</v>
      </c>
      <c r="E1003" t="s">
        <v>31</v>
      </c>
      <c r="F1003">
        <v>0.45529999999999998</v>
      </c>
      <c r="G1003" s="1">
        <v>45994</v>
      </c>
      <c r="H1003">
        <v>6.6741900000000003</v>
      </c>
      <c r="I1003" s="1">
        <v>46032</v>
      </c>
      <c r="J1003">
        <f t="shared" si="98"/>
        <v>63.617251162500004</v>
      </c>
      <c r="K1003">
        <v>5.31</v>
      </c>
      <c r="M1003">
        <f t="shared" si="100"/>
        <v>0</v>
      </c>
      <c r="N1003">
        <f t="shared" si="99"/>
        <v>-5.31</v>
      </c>
      <c r="P1003">
        <v>7.6223599999999996</v>
      </c>
    </row>
    <row r="1004" spans="1:16" x14ac:dyDescent="0.3">
      <c r="A1004" t="s">
        <v>220</v>
      </c>
      <c r="B1004" t="s">
        <v>54</v>
      </c>
      <c r="C1004">
        <v>2</v>
      </c>
      <c r="D1004">
        <v>24</v>
      </c>
      <c r="E1004" t="s">
        <v>28</v>
      </c>
      <c r="F1004">
        <v>0.45494000000000001</v>
      </c>
      <c r="G1004" s="1">
        <v>45994</v>
      </c>
      <c r="H1004">
        <v>6.6207500000000001</v>
      </c>
      <c r="I1004" s="1">
        <v>46032</v>
      </c>
      <c r="J1004">
        <f t="shared" ref="J1004:J1067" si="101">4.5*4.5*3.14159265</f>
        <v>63.617251162500004</v>
      </c>
      <c r="K1004">
        <v>5.31</v>
      </c>
      <c r="M1004">
        <f t="shared" si="100"/>
        <v>0</v>
      </c>
      <c r="N1004">
        <f t="shared" si="99"/>
        <v>-5.31</v>
      </c>
      <c r="P1004">
        <v>7.56168</v>
      </c>
    </row>
    <row r="1005" spans="1:16" x14ac:dyDescent="0.3">
      <c r="A1005" t="s">
        <v>220</v>
      </c>
      <c r="B1005" t="s">
        <v>54</v>
      </c>
      <c r="C1005">
        <v>2</v>
      </c>
      <c r="D1005">
        <v>24</v>
      </c>
      <c r="E1005" t="s">
        <v>30</v>
      </c>
      <c r="F1005">
        <v>0.45179000000000002</v>
      </c>
      <c r="G1005" s="1">
        <v>45994</v>
      </c>
      <c r="H1005">
        <v>6.5767300000000004</v>
      </c>
      <c r="I1005" s="1">
        <v>46032</v>
      </c>
      <c r="J1005">
        <f t="shared" si="101"/>
        <v>63.617251162500004</v>
      </c>
      <c r="K1005">
        <v>5.31</v>
      </c>
      <c r="M1005">
        <f t="shared" si="100"/>
        <v>0</v>
      </c>
      <c r="N1005">
        <f t="shared" si="99"/>
        <v>-5.31</v>
      </c>
      <c r="P1005">
        <v>7.5121099999999998</v>
      </c>
    </row>
    <row r="1006" spans="1:16" x14ac:dyDescent="0.3">
      <c r="A1006" t="s">
        <v>220</v>
      </c>
      <c r="B1006" t="s">
        <v>54</v>
      </c>
      <c r="C1006">
        <v>2</v>
      </c>
      <c r="D1006">
        <v>24</v>
      </c>
      <c r="E1006" t="s">
        <v>31</v>
      </c>
      <c r="F1006">
        <v>0.45280999999999999</v>
      </c>
      <c r="G1006" s="1">
        <v>45994</v>
      </c>
      <c r="H1006">
        <v>6.6128799999999996</v>
      </c>
      <c r="I1006" s="1">
        <v>46032</v>
      </c>
      <c r="J1006">
        <f t="shared" si="101"/>
        <v>63.617251162500004</v>
      </c>
      <c r="K1006">
        <v>5.31</v>
      </c>
      <c r="M1006">
        <f t="shared" si="100"/>
        <v>0</v>
      </c>
      <c r="N1006">
        <f t="shared" si="99"/>
        <v>-5.31</v>
      </c>
      <c r="P1006">
        <v>7.5262599999999997</v>
      </c>
    </row>
    <row r="1007" spans="1:16" x14ac:dyDescent="0.3">
      <c r="A1007" t="s">
        <v>220</v>
      </c>
      <c r="B1007" t="s">
        <v>54</v>
      </c>
      <c r="C1007">
        <v>2</v>
      </c>
      <c r="D1007">
        <v>48</v>
      </c>
      <c r="E1007" t="s">
        <v>64</v>
      </c>
      <c r="F1007">
        <v>0.44993</v>
      </c>
      <c r="G1007" s="1">
        <v>45994</v>
      </c>
      <c r="H1007">
        <v>6.6373499999999996</v>
      </c>
      <c r="I1007" s="1">
        <v>46032</v>
      </c>
      <c r="J1007">
        <f t="shared" si="101"/>
        <v>63.617251162500004</v>
      </c>
      <c r="K1007">
        <v>5.31</v>
      </c>
      <c r="M1007">
        <f t="shared" si="100"/>
        <v>0</v>
      </c>
      <c r="N1007">
        <f t="shared" si="99"/>
        <v>-5.31</v>
      </c>
      <c r="P1007">
        <v>9.1493000000000002</v>
      </c>
    </row>
    <row r="1008" spans="1:16" x14ac:dyDescent="0.3">
      <c r="A1008" t="s">
        <v>220</v>
      </c>
      <c r="B1008" t="s">
        <v>54</v>
      </c>
      <c r="C1008">
        <v>2</v>
      </c>
      <c r="D1008">
        <v>48</v>
      </c>
      <c r="E1008" t="s">
        <v>30</v>
      </c>
      <c r="F1008">
        <v>0.45233000000000001</v>
      </c>
      <c r="G1008" s="1">
        <v>45994</v>
      </c>
      <c r="H1008">
        <v>6.6688799999999997</v>
      </c>
      <c r="I1008" s="1">
        <v>46032</v>
      </c>
      <c r="J1008">
        <f t="shared" si="101"/>
        <v>63.617251162500004</v>
      </c>
      <c r="K1008">
        <v>5.31</v>
      </c>
      <c r="M1008">
        <f t="shared" si="100"/>
        <v>0</v>
      </c>
      <c r="N1008">
        <f t="shared" si="99"/>
        <v>-5.31</v>
      </c>
      <c r="P1008">
        <v>9.0409600000000001</v>
      </c>
    </row>
    <row r="1009" spans="1:16" x14ac:dyDescent="0.3">
      <c r="A1009" t="s">
        <v>220</v>
      </c>
      <c r="B1009" t="s">
        <v>54</v>
      </c>
      <c r="C1009">
        <v>2</v>
      </c>
      <c r="D1009">
        <v>48</v>
      </c>
      <c r="E1009" t="s">
        <v>31</v>
      </c>
      <c r="F1009">
        <v>0.45129000000000002</v>
      </c>
      <c r="G1009" s="1">
        <v>45994</v>
      </c>
      <c r="H1009">
        <v>6.98651</v>
      </c>
      <c r="I1009" s="1">
        <v>46032</v>
      </c>
      <c r="J1009">
        <f t="shared" si="101"/>
        <v>63.617251162500004</v>
      </c>
      <c r="K1009">
        <v>5.31</v>
      </c>
      <c r="M1009">
        <f t="shared" si="100"/>
        <v>0</v>
      </c>
      <c r="N1009">
        <f t="shared" si="99"/>
        <v>-5.31</v>
      </c>
      <c r="P1009">
        <v>9.8848699999999994</v>
      </c>
    </row>
    <row r="1010" spans="1:16" x14ac:dyDescent="0.3">
      <c r="A1010" t="s">
        <v>220</v>
      </c>
      <c r="B1010" t="s">
        <v>54</v>
      </c>
      <c r="E1010" t="s">
        <v>67</v>
      </c>
      <c r="J1010">
        <f t="shared" si="101"/>
        <v>63.617251162500004</v>
      </c>
      <c r="K1010">
        <v>5.31</v>
      </c>
      <c r="M1010">
        <f t="shared" si="100"/>
        <v>0</v>
      </c>
      <c r="N1010">
        <f t="shared" si="99"/>
        <v>-5.31</v>
      </c>
    </row>
    <row r="1011" spans="1:16" x14ac:dyDescent="0.3">
      <c r="A1011" t="s">
        <v>220</v>
      </c>
      <c r="B1011" t="s">
        <v>54</v>
      </c>
      <c r="E1011" t="s">
        <v>68</v>
      </c>
      <c r="J1011">
        <f t="shared" si="101"/>
        <v>63.617251162500004</v>
      </c>
      <c r="K1011">
        <v>5.31</v>
      </c>
      <c r="M1011">
        <f t="shared" si="100"/>
        <v>0</v>
      </c>
      <c r="N1011">
        <f t="shared" si="99"/>
        <v>-5.31</v>
      </c>
    </row>
    <row r="1012" spans="1:16" x14ac:dyDescent="0.3">
      <c r="A1012" t="s">
        <v>220</v>
      </c>
      <c r="B1012" t="s">
        <v>54</v>
      </c>
      <c r="E1012" t="s">
        <v>69</v>
      </c>
      <c r="J1012">
        <f t="shared" si="101"/>
        <v>63.617251162500004</v>
      </c>
      <c r="K1012">
        <v>5.31</v>
      </c>
      <c r="M1012">
        <f t="shared" si="100"/>
        <v>0</v>
      </c>
      <c r="N1012">
        <f t="shared" si="99"/>
        <v>-5.31</v>
      </c>
    </row>
    <row r="1013" spans="1:16" x14ac:dyDescent="0.3">
      <c r="A1013" t="s">
        <v>220</v>
      </c>
      <c r="B1013" t="s">
        <v>54</v>
      </c>
      <c r="E1013" t="s">
        <v>70</v>
      </c>
      <c r="J1013">
        <f t="shared" si="101"/>
        <v>63.617251162500004</v>
      </c>
      <c r="K1013">
        <v>5.31</v>
      </c>
      <c r="M1013">
        <f t="shared" si="100"/>
        <v>0</v>
      </c>
      <c r="N1013">
        <f t="shared" si="99"/>
        <v>-5.31</v>
      </c>
    </row>
    <row r="1014" spans="1:16" x14ac:dyDescent="0.3">
      <c r="A1014" t="s">
        <v>220</v>
      </c>
      <c r="B1014" t="s">
        <v>57</v>
      </c>
      <c r="C1014">
        <v>1</v>
      </c>
      <c r="D1014">
        <v>0.5</v>
      </c>
      <c r="E1014" t="s">
        <v>64</v>
      </c>
      <c r="F1014">
        <v>4.3959099999999998</v>
      </c>
      <c r="G1014" s="1">
        <v>45993</v>
      </c>
      <c r="H1014">
        <v>6.7185100000000002</v>
      </c>
      <c r="I1014" s="1">
        <v>46033</v>
      </c>
      <c r="J1014">
        <f t="shared" si="101"/>
        <v>63.617251162500004</v>
      </c>
      <c r="K1014">
        <v>5.31</v>
      </c>
      <c r="M1014">
        <f t="shared" si="100"/>
        <v>0</v>
      </c>
      <c r="N1014">
        <f t="shared" si="99"/>
        <v>-5.31</v>
      </c>
      <c r="P1014">
        <v>11.22753</v>
      </c>
    </row>
    <row r="1015" spans="1:16" x14ac:dyDescent="0.3">
      <c r="A1015" t="s">
        <v>220</v>
      </c>
      <c r="B1015" t="s">
        <v>57</v>
      </c>
      <c r="C1015">
        <v>1</v>
      </c>
      <c r="D1015">
        <v>0.5</v>
      </c>
      <c r="E1015" t="s">
        <v>30</v>
      </c>
      <c r="F1015">
        <v>4.6352099999999998</v>
      </c>
      <c r="G1015" s="1">
        <v>45993</v>
      </c>
      <c r="H1015">
        <v>6.5961499999999997</v>
      </c>
      <c r="I1015" s="1">
        <v>46033</v>
      </c>
      <c r="J1015">
        <f t="shared" si="101"/>
        <v>63.617251162500004</v>
      </c>
      <c r="K1015">
        <v>5.31</v>
      </c>
      <c r="M1015">
        <f t="shared" si="100"/>
        <v>0</v>
      </c>
      <c r="N1015">
        <f t="shared" si="99"/>
        <v>-5.31</v>
      </c>
      <c r="P1015">
        <v>11.28055</v>
      </c>
    </row>
    <row r="1016" spans="1:16" x14ac:dyDescent="0.3">
      <c r="A1016" t="s">
        <v>220</v>
      </c>
      <c r="B1016" t="s">
        <v>57</v>
      </c>
      <c r="C1016">
        <v>1</v>
      </c>
      <c r="D1016">
        <v>0.5</v>
      </c>
      <c r="E1016" t="s">
        <v>31</v>
      </c>
      <c r="F1016">
        <v>4.3843399999999999</v>
      </c>
      <c r="G1016" s="1">
        <v>45993</v>
      </c>
      <c r="H1016">
        <v>6.6579899999999999</v>
      </c>
      <c r="I1016" s="1">
        <v>46033</v>
      </c>
      <c r="J1016">
        <f t="shared" si="101"/>
        <v>63.617251162500004</v>
      </c>
      <c r="K1016">
        <v>5.31</v>
      </c>
      <c r="M1016">
        <f t="shared" si="100"/>
        <v>0</v>
      </c>
      <c r="N1016">
        <f t="shared" si="99"/>
        <v>-5.31</v>
      </c>
      <c r="P1016">
        <v>11.15889</v>
      </c>
    </row>
    <row r="1017" spans="1:16" x14ac:dyDescent="0.3">
      <c r="A1017" t="s">
        <v>220</v>
      </c>
      <c r="B1017" t="s">
        <v>57</v>
      </c>
      <c r="C1017">
        <v>1</v>
      </c>
      <c r="D1017">
        <v>2</v>
      </c>
      <c r="E1017" t="s">
        <v>64</v>
      </c>
      <c r="F1017">
        <v>4.3618899999999998</v>
      </c>
      <c r="G1017" s="1">
        <v>45993</v>
      </c>
      <c r="H1017">
        <v>6.6628499999999997</v>
      </c>
      <c r="I1017" s="1">
        <v>46033</v>
      </c>
      <c r="J1017">
        <f t="shared" si="101"/>
        <v>63.617251162500004</v>
      </c>
      <c r="K1017">
        <v>5.31</v>
      </c>
      <c r="M1017">
        <f t="shared" si="100"/>
        <v>0</v>
      </c>
      <c r="N1017">
        <f t="shared" si="99"/>
        <v>-5.31</v>
      </c>
      <c r="P1017">
        <v>11.20002</v>
      </c>
    </row>
    <row r="1018" spans="1:16" x14ac:dyDescent="0.3">
      <c r="A1018" t="s">
        <v>220</v>
      </c>
      <c r="B1018" t="s">
        <v>57</v>
      </c>
      <c r="C1018">
        <v>1</v>
      </c>
      <c r="D1018">
        <v>2</v>
      </c>
      <c r="E1018" t="s">
        <v>30</v>
      </c>
      <c r="F1018">
        <v>4.2201199999999996</v>
      </c>
      <c r="G1018" s="1">
        <v>45993</v>
      </c>
      <c r="H1018">
        <v>7.0041799999999999</v>
      </c>
      <c r="I1018" s="1">
        <v>46033</v>
      </c>
      <c r="J1018">
        <f t="shared" si="101"/>
        <v>63.617251162500004</v>
      </c>
      <c r="K1018">
        <v>5.31</v>
      </c>
      <c r="M1018">
        <f t="shared" si="100"/>
        <v>0</v>
      </c>
      <c r="N1018">
        <f t="shared" si="99"/>
        <v>-5.31</v>
      </c>
      <c r="P1018">
        <v>11.384359999999999</v>
      </c>
    </row>
    <row r="1019" spans="1:16" x14ac:dyDescent="0.3">
      <c r="A1019" t="s">
        <v>220</v>
      </c>
      <c r="B1019" t="s">
        <v>57</v>
      </c>
      <c r="C1019">
        <v>1</v>
      </c>
      <c r="D1019">
        <v>2</v>
      </c>
      <c r="E1019" t="s">
        <v>31</v>
      </c>
      <c r="F1019">
        <v>4.3637800000000002</v>
      </c>
      <c r="G1019" s="1">
        <v>45993</v>
      </c>
      <c r="H1019">
        <v>7.0217700000000001</v>
      </c>
      <c r="I1019" s="1">
        <v>46033</v>
      </c>
      <c r="J1019">
        <f t="shared" si="101"/>
        <v>63.617251162500004</v>
      </c>
      <c r="K1019">
        <v>5.31</v>
      </c>
      <c r="M1019">
        <f t="shared" si="100"/>
        <v>0</v>
      </c>
      <c r="N1019">
        <f t="shared" si="99"/>
        <v>-5.31</v>
      </c>
      <c r="P1019">
        <v>11.453440000000001</v>
      </c>
    </row>
    <row r="1020" spans="1:16" x14ac:dyDescent="0.3">
      <c r="A1020" t="s">
        <v>220</v>
      </c>
      <c r="B1020" t="s">
        <v>57</v>
      </c>
      <c r="C1020">
        <v>1</v>
      </c>
      <c r="D1020">
        <v>6</v>
      </c>
      <c r="E1020" t="s">
        <v>64</v>
      </c>
      <c r="F1020">
        <v>0.44747999999999999</v>
      </c>
      <c r="G1020" s="1">
        <v>45993</v>
      </c>
      <c r="H1020">
        <v>6.9158200000000001</v>
      </c>
      <c r="I1020" s="1">
        <v>46033</v>
      </c>
      <c r="J1020">
        <f t="shared" si="101"/>
        <v>63.617251162500004</v>
      </c>
      <c r="K1020">
        <v>5.31</v>
      </c>
      <c r="M1020">
        <f t="shared" si="100"/>
        <v>0</v>
      </c>
      <c r="N1020">
        <f t="shared" si="99"/>
        <v>-5.31</v>
      </c>
      <c r="P1020">
        <v>7.7073799999999997</v>
      </c>
    </row>
    <row r="1021" spans="1:16" x14ac:dyDescent="0.3">
      <c r="A1021" t="s">
        <v>220</v>
      </c>
      <c r="B1021" t="s">
        <v>57</v>
      </c>
      <c r="C1021">
        <v>1</v>
      </c>
      <c r="D1021">
        <v>6</v>
      </c>
      <c r="E1021" t="s">
        <v>30</v>
      </c>
      <c r="F1021">
        <v>0.44462000000000002</v>
      </c>
      <c r="G1021" s="1">
        <v>45993</v>
      </c>
      <c r="H1021">
        <v>7.0346099999999998</v>
      </c>
      <c r="I1021" s="1">
        <v>46033</v>
      </c>
      <c r="J1021">
        <f t="shared" si="101"/>
        <v>63.617251162500004</v>
      </c>
      <c r="K1021">
        <v>5.31</v>
      </c>
      <c r="M1021">
        <f t="shared" si="100"/>
        <v>0</v>
      </c>
      <c r="N1021">
        <f t="shared" si="99"/>
        <v>-5.31</v>
      </c>
      <c r="P1021">
        <v>7.7615699999999999</v>
      </c>
    </row>
    <row r="1022" spans="1:16" x14ac:dyDescent="0.3">
      <c r="A1022" t="s">
        <v>220</v>
      </c>
      <c r="B1022" t="s">
        <v>57</v>
      </c>
      <c r="C1022">
        <v>1</v>
      </c>
      <c r="D1022">
        <v>6</v>
      </c>
      <c r="E1022" t="s">
        <v>31</v>
      </c>
      <c r="F1022">
        <v>0.44616</v>
      </c>
      <c r="G1022" s="1">
        <v>45993</v>
      </c>
      <c r="H1022">
        <v>6.9911799999999999</v>
      </c>
      <c r="I1022" s="1">
        <v>46033</v>
      </c>
      <c r="J1022">
        <f t="shared" si="101"/>
        <v>63.617251162500004</v>
      </c>
      <c r="K1022">
        <v>5.31</v>
      </c>
      <c r="M1022">
        <f t="shared" si="100"/>
        <v>0</v>
      </c>
      <c r="N1022">
        <f t="shared" si="99"/>
        <v>-5.31</v>
      </c>
      <c r="P1022">
        <v>7.5738300000000001</v>
      </c>
    </row>
    <row r="1023" spans="1:16" x14ac:dyDescent="0.3">
      <c r="A1023" t="s">
        <v>220</v>
      </c>
      <c r="B1023" t="s">
        <v>57</v>
      </c>
      <c r="C1023">
        <v>1</v>
      </c>
      <c r="D1023">
        <v>12</v>
      </c>
      <c r="E1023" t="s">
        <v>64</v>
      </c>
      <c r="F1023">
        <v>0.44364999999999999</v>
      </c>
      <c r="G1023" s="1">
        <v>45993</v>
      </c>
      <c r="H1023">
        <v>6.9485099999999997</v>
      </c>
      <c r="I1023" s="1">
        <v>46033</v>
      </c>
      <c r="J1023">
        <f t="shared" si="101"/>
        <v>63.617251162500004</v>
      </c>
      <c r="K1023">
        <v>5.31</v>
      </c>
      <c r="M1023">
        <f t="shared" si="100"/>
        <v>0</v>
      </c>
      <c r="N1023">
        <f t="shared" si="99"/>
        <v>-5.31</v>
      </c>
      <c r="P1023">
        <v>7.6346499999999997</v>
      </c>
    </row>
    <row r="1024" spans="1:16" x14ac:dyDescent="0.3">
      <c r="A1024" t="s">
        <v>220</v>
      </c>
      <c r="B1024" t="s">
        <v>57</v>
      </c>
      <c r="C1024">
        <v>1</v>
      </c>
      <c r="D1024">
        <v>12</v>
      </c>
      <c r="E1024" t="s">
        <v>30</v>
      </c>
      <c r="F1024">
        <v>0.44718000000000002</v>
      </c>
      <c r="G1024" s="1">
        <v>45993</v>
      </c>
      <c r="H1024">
        <v>7.0286</v>
      </c>
      <c r="I1024" s="1">
        <v>46033</v>
      </c>
      <c r="J1024">
        <f t="shared" si="101"/>
        <v>63.617251162500004</v>
      </c>
      <c r="K1024">
        <v>5.31</v>
      </c>
      <c r="M1024">
        <f t="shared" si="100"/>
        <v>0</v>
      </c>
      <c r="N1024">
        <f t="shared" si="99"/>
        <v>-5.31</v>
      </c>
      <c r="P1024">
        <v>7.8353000000000002</v>
      </c>
    </row>
    <row r="1025" spans="1:29" x14ac:dyDescent="0.3">
      <c r="A1025" t="s">
        <v>220</v>
      </c>
      <c r="B1025" t="s">
        <v>57</v>
      </c>
      <c r="C1025">
        <v>1</v>
      </c>
      <c r="D1025">
        <v>12</v>
      </c>
      <c r="E1025" t="s">
        <v>31</v>
      </c>
      <c r="F1025">
        <v>0.44334000000000001</v>
      </c>
      <c r="G1025" s="1">
        <v>45993</v>
      </c>
      <c r="H1025">
        <v>6.6342999999999996</v>
      </c>
      <c r="I1025" s="1">
        <v>46033</v>
      </c>
      <c r="J1025">
        <f t="shared" si="101"/>
        <v>63.617251162500004</v>
      </c>
      <c r="K1025">
        <v>5.31</v>
      </c>
      <c r="M1025">
        <f t="shared" si="100"/>
        <v>0</v>
      </c>
      <c r="N1025">
        <f t="shared" si="99"/>
        <v>-5.31</v>
      </c>
      <c r="P1025">
        <v>7.4413799999999997</v>
      </c>
    </row>
    <row r="1026" spans="1:29" x14ac:dyDescent="0.3">
      <c r="A1026" t="s">
        <v>220</v>
      </c>
      <c r="B1026" t="s">
        <v>57</v>
      </c>
      <c r="C1026">
        <v>1</v>
      </c>
      <c r="D1026">
        <v>18</v>
      </c>
      <c r="E1026" t="s">
        <v>64</v>
      </c>
      <c r="F1026">
        <v>0.44516</v>
      </c>
      <c r="G1026" s="1">
        <v>45993</v>
      </c>
      <c r="H1026">
        <v>6.67171</v>
      </c>
      <c r="I1026" s="1">
        <v>46033</v>
      </c>
      <c r="J1026">
        <f t="shared" si="101"/>
        <v>63.617251162500004</v>
      </c>
      <c r="K1026">
        <v>5.31</v>
      </c>
      <c r="M1026">
        <f t="shared" si="100"/>
        <v>0</v>
      </c>
      <c r="N1026">
        <f t="shared" ref="N1026:N1089" si="102">L1026*J1026-K1026</f>
        <v>-5.31</v>
      </c>
      <c r="P1026">
        <v>7.4724500000000003</v>
      </c>
      <c r="AC1026" t="s">
        <v>237</v>
      </c>
    </row>
    <row r="1027" spans="1:29" x14ac:dyDescent="0.3">
      <c r="A1027" t="s">
        <v>220</v>
      </c>
      <c r="B1027" t="s">
        <v>57</v>
      </c>
      <c r="C1027">
        <v>1</v>
      </c>
      <c r="D1027">
        <v>18</v>
      </c>
      <c r="E1027" t="s">
        <v>30</v>
      </c>
      <c r="F1027">
        <v>0.44721</v>
      </c>
      <c r="G1027" s="1">
        <v>45993</v>
      </c>
      <c r="H1027">
        <v>6.5910500000000001</v>
      </c>
      <c r="I1027" s="1">
        <v>46033</v>
      </c>
      <c r="J1027">
        <f t="shared" si="101"/>
        <v>63.617251162500004</v>
      </c>
      <c r="K1027">
        <v>5.31</v>
      </c>
      <c r="M1027">
        <f t="shared" si="100"/>
        <v>0</v>
      </c>
      <c r="N1027">
        <f t="shared" si="102"/>
        <v>-5.31</v>
      </c>
      <c r="P1027">
        <v>7.3648699999999998</v>
      </c>
      <c r="AC1027" t="s">
        <v>237</v>
      </c>
    </row>
    <row r="1028" spans="1:29" x14ac:dyDescent="0.3">
      <c r="A1028" t="s">
        <v>220</v>
      </c>
      <c r="B1028" t="s">
        <v>57</v>
      </c>
      <c r="C1028">
        <v>1</v>
      </c>
      <c r="D1028">
        <v>18</v>
      </c>
      <c r="E1028" t="s">
        <v>31</v>
      </c>
      <c r="F1028">
        <v>0.44671</v>
      </c>
      <c r="G1028" s="1">
        <v>45993</v>
      </c>
      <c r="H1028">
        <v>6.6279000000000003</v>
      </c>
      <c r="I1028" s="1">
        <v>46033</v>
      </c>
      <c r="J1028">
        <f t="shared" si="101"/>
        <v>63.617251162500004</v>
      </c>
      <c r="K1028">
        <v>5.31</v>
      </c>
      <c r="M1028">
        <f t="shared" ref="M1028:M1091" si="103">L1028*F1028</f>
        <v>0</v>
      </c>
      <c r="N1028">
        <f t="shared" si="102"/>
        <v>-5.31</v>
      </c>
      <c r="P1028">
        <v>7.4350500000000004</v>
      </c>
      <c r="AC1028" t="s">
        <v>237</v>
      </c>
    </row>
    <row r="1029" spans="1:29" ht="16.2" customHeight="1" x14ac:dyDescent="0.3">
      <c r="A1029" t="s">
        <v>220</v>
      </c>
      <c r="B1029" t="s">
        <v>57</v>
      </c>
      <c r="C1029">
        <v>1</v>
      </c>
      <c r="D1029">
        <v>24</v>
      </c>
      <c r="E1029" t="s">
        <v>28</v>
      </c>
      <c r="F1029">
        <v>0.44613999999999998</v>
      </c>
      <c r="G1029" s="1">
        <v>45993</v>
      </c>
      <c r="H1029">
        <v>6.6172199999999997</v>
      </c>
      <c r="I1029" s="1">
        <v>46033</v>
      </c>
      <c r="J1029">
        <f t="shared" si="101"/>
        <v>63.617251162500004</v>
      </c>
      <c r="K1029">
        <v>5.31</v>
      </c>
      <c r="M1029">
        <f t="shared" si="103"/>
        <v>0</v>
      </c>
      <c r="N1029">
        <f t="shared" si="102"/>
        <v>-5.31</v>
      </c>
      <c r="P1029">
        <v>7.4997699999999998</v>
      </c>
      <c r="AC1029" t="s">
        <v>238</v>
      </c>
    </row>
    <row r="1030" spans="1:29" x14ac:dyDescent="0.3">
      <c r="A1030" t="s">
        <v>220</v>
      </c>
      <c r="B1030" t="s">
        <v>57</v>
      </c>
      <c r="C1030">
        <v>1</v>
      </c>
      <c r="D1030">
        <v>24</v>
      </c>
      <c r="E1030" t="s">
        <v>30</v>
      </c>
      <c r="F1030">
        <v>0.44699</v>
      </c>
      <c r="G1030" s="1">
        <v>45993</v>
      </c>
      <c r="H1030">
        <v>6.9641799999999998</v>
      </c>
      <c r="I1030" s="1">
        <v>46033</v>
      </c>
      <c r="J1030">
        <f t="shared" si="101"/>
        <v>63.617251162500004</v>
      </c>
      <c r="K1030">
        <v>5.31</v>
      </c>
      <c r="M1030">
        <f t="shared" si="103"/>
        <v>0</v>
      </c>
      <c r="N1030">
        <f t="shared" si="102"/>
        <v>-5.31</v>
      </c>
      <c r="P1030">
        <v>7.9142400000000004</v>
      </c>
      <c r="AC1030" t="s">
        <v>238</v>
      </c>
    </row>
    <row r="1031" spans="1:29" x14ac:dyDescent="0.3">
      <c r="A1031" t="s">
        <v>220</v>
      </c>
      <c r="B1031" t="s">
        <v>57</v>
      </c>
      <c r="C1031">
        <v>1</v>
      </c>
      <c r="D1031">
        <v>24</v>
      </c>
      <c r="E1031" t="s">
        <v>31</v>
      </c>
      <c r="F1031">
        <v>0.44486999999999999</v>
      </c>
      <c r="G1031" s="1">
        <v>45993</v>
      </c>
      <c r="H1031">
        <v>6.9802900000000001</v>
      </c>
      <c r="I1031" s="1">
        <v>46033</v>
      </c>
      <c r="J1031">
        <f t="shared" si="101"/>
        <v>63.617251162500004</v>
      </c>
      <c r="K1031">
        <v>5.31</v>
      </c>
      <c r="M1031">
        <f t="shared" si="103"/>
        <v>0</v>
      </c>
      <c r="N1031">
        <f t="shared" si="102"/>
        <v>-5.31</v>
      </c>
      <c r="P1031">
        <v>7.8846600000000002</v>
      </c>
      <c r="AC1031" t="s">
        <v>238</v>
      </c>
    </row>
    <row r="1032" spans="1:29" x14ac:dyDescent="0.3">
      <c r="A1032" t="s">
        <v>220</v>
      </c>
      <c r="B1032" t="s">
        <v>57</v>
      </c>
      <c r="C1032">
        <v>1</v>
      </c>
      <c r="D1032">
        <v>48</v>
      </c>
      <c r="E1032" t="s">
        <v>64</v>
      </c>
      <c r="F1032">
        <v>0.44462000000000002</v>
      </c>
      <c r="G1032" s="1">
        <v>45993</v>
      </c>
      <c r="H1032">
        <v>6.9421600000000003</v>
      </c>
      <c r="I1032" s="1">
        <v>46033</v>
      </c>
      <c r="J1032">
        <f t="shared" si="101"/>
        <v>63.617251162500004</v>
      </c>
      <c r="K1032">
        <v>5.31</v>
      </c>
      <c r="M1032">
        <f t="shared" si="103"/>
        <v>0</v>
      </c>
      <c r="N1032">
        <f t="shared" si="102"/>
        <v>-5.31</v>
      </c>
      <c r="P1032">
        <v>11.51052</v>
      </c>
    </row>
    <row r="1033" spans="1:29" x14ac:dyDescent="0.3">
      <c r="A1033" t="s">
        <v>220</v>
      </c>
      <c r="B1033" t="s">
        <v>57</v>
      </c>
      <c r="C1033">
        <v>1</v>
      </c>
      <c r="D1033">
        <v>48</v>
      </c>
      <c r="E1033" t="s">
        <v>30</v>
      </c>
      <c r="F1033">
        <v>0.44713999999999998</v>
      </c>
      <c r="G1033" s="1">
        <v>45993</v>
      </c>
      <c r="H1033">
        <v>6.93485</v>
      </c>
      <c r="I1033" s="1">
        <v>46033</v>
      </c>
      <c r="J1033">
        <f t="shared" si="101"/>
        <v>63.617251162500004</v>
      </c>
      <c r="K1033">
        <v>5.31</v>
      </c>
      <c r="M1033">
        <f t="shared" si="103"/>
        <v>0</v>
      </c>
      <c r="N1033">
        <f t="shared" si="102"/>
        <v>-5.31</v>
      </c>
      <c r="P1033">
        <v>13.960240000000001</v>
      </c>
    </row>
    <row r="1034" spans="1:29" x14ac:dyDescent="0.3">
      <c r="A1034" t="s">
        <v>220</v>
      </c>
      <c r="B1034" t="s">
        <v>57</v>
      </c>
      <c r="C1034">
        <v>1</v>
      </c>
      <c r="D1034">
        <v>48</v>
      </c>
      <c r="E1034" t="s">
        <v>31</v>
      </c>
      <c r="F1034">
        <v>0.44686999999999999</v>
      </c>
      <c r="G1034" s="1">
        <v>45993</v>
      </c>
      <c r="H1034">
        <v>6.5497300000000003</v>
      </c>
      <c r="I1034" s="1">
        <v>46033</v>
      </c>
      <c r="J1034">
        <f t="shared" si="101"/>
        <v>63.617251162500004</v>
      </c>
      <c r="K1034">
        <v>5.31</v>
      </c>
      <c r="M1034">
        <f t="shared" si="103"/>
        <v>0</v>
      </c>
      <c r="N1034">
        <f t="shared" si="102"/>
        <v>-5.31</v>
      </c>
      <c r="P1034">
        <v>14.651300000000001</v>
      </c>
    </row>
    <row r="1035" spans="1:29" x14ac:dyDescent="0.3">
      <c r="A1035" t="s">
        <v>220</v>
      </c>
      <c r="B1035" t="s">
        <v>57</v>
      </c>
      <c r="C1035">
        <v>2</v>
      </c>
      <c r="D1035">
        <v>0.5</v>
      </c>
      <c r="E1035" t="s">
        <v>64</v>
      </c>
      <c r="F1035">
        <v>4.2391899999999998</v>
      </c>
      <c r="G1035" s="1">
        <v>45993</v>
      </c>
      <c r="H1035">
        <v>6.6096700000000004</v>
      </c>
      <c r="I1035" s="1">
        <v>46033</v>
      </c>
      <c r="J1035">
        <f t="shared" si="101"/>
        <v>63.617251162500004</v>
      </c>
      <c r="K1035">
        <v>5.31</v>
      </c>
      <c r="M1035">
        <f t="shared" si="103"/>
        <v>0</v>
      </c>
      <c r="N1035">
        <f t="shared" si="102"/>
        <v>-5.31</v>
      </c>
      <c r="P1035">
        <v>10.887560000000001</v>
      </c>
    </row>
    <row r="1036" spans="1:29" x14ac:dyDescent="0.3">
      <c r="A1036" t="s">
        <v>220</v>
      </c>
      <c r="B1036" t="s">
        <v>57</v>
      </c>
      <c r="C1036">
        <v>2</v>
      </c>
      <c r="D1036">
        <v>0.5</v>
      </c>
      <c r="E1036" t="s">
        <v>30</v>
      </c>
      <c r="F1036">
        <v>4.30844</v>
      </c>
      <c r="G1036" s="1">
        <v>45993</v>
      </c>
      <c r="H1036">
        <v>6.657</v>
      </c>
      <c r="I1036" s="1">
        <v>46033</v>
      </c>
      <c r="J1036">
        <f t="shared" si="101"/>
        <v>63.617251162500004</v>
      </c>
      <c r="K1036">
        <v>5.31</v>
      </c>
      <c r="M1036">
        <f t="shared" si="103"/>
        <v>0</v>
      </c>
      <c r="N1036">
        <f t="shared" si="102"/>
        <v>-5.31</v>
      </c>
      <c r="P1036">
        <v>11.049770000000001</v>
      </c>
    </row>
    <row r="1037" spans="1:29" x14ac:dyDescent="0.3">
      <c r="A1037" t="s">
        <v>220</v>
      </c>
      <c r="B1037" t="s">
        <v>57</v>
      </c>
      <c r="C1037">
        <v>2</v>
      </c>
      <c r="D1037">
        <v>0.5</v>
      </c>
      <c r="E1037" t="s">
        <v>31</v>
      </c>
      <c r="F1037">
        <v>4.4079899999999999</v>
      </c>
      <c r="G1037" s="1">
        <v>45993</v>
      </c>
      <c r="H1037">
        <v>6.6338499999999998</v>
      </c>
      <c r="I1037" s="1">
        <v>46033</v>
      </c>
      <c r="J1037">
        <f t="shared" si="101"/>
        <v>63.617251162500004</v>
      </c>
      <c r="K1037">
        <v>5.31</v>
      </c>
      <c r="M1037">
        <f t="shared" si="103"/>
        <v>0</v>
      </c>
      <c r="N1037">
        <f t="shared" si="102"/>
        <v>-5.31</v>
      </c>
      <c r="P1037">
        <v>11.12372</v>
      </c>
    </row>
    <row r="1038" spans="1:29" x14ac:dyDescent="0.3">
      <c r="A1038" t="s">
        <v>220</v>
      </c>
      <c r="B1038" t="s">
        <v>57</v>
      </c>
      <c r="C1038">
        <v>2</v>
      </c>
      <c r="D1038">
        <v>2</v>
      </c>
      <c r="E1038" t="s">
        <v>64</v>
      </c>
      <c r="F1038">
        <v>4.6025900000000002</v>
      </c>
      <c r="G1038" s="1">
        <v>45993</v>
      </c>
      <c r="H1038">
        <v>6.6840200000000003</v>
      </c>
      <c r="I1038" s="1">
        <v>46033</v>
      </c>
      <c r="J1038">
        <f t="shared" si="101"/>
        <v>63.617251162500004</v>
      </c>
      <c r="K1038">
        <v>5.31</v>
      </c>
      <c r="M1038">
        <f t="shared" si="103"/>
        <v>0</v>
      </c>
      <c r="N1038">
        <f t="shared" si="102"/>
        <v>-5.31</v>
      </c>
      <c r="P1038">
        <v>11.508279999999999</v>
      </c>
    </row>
    <row r="1039" spans="1:29" x14ac:dyDescent="0.3">
      <c r="A1039" t="s">
        <v>220</v>
      </c>
      <c r="B1039" t="s">
        <v>57</v>
      </c>
      <c r="C1039">
        <v>2</v>
      </c>
      <c r="D1039">
        <v>2</v>
      </c>
      <c r="E1039" t="s">
        <v>30</v>
      </c>
      <c r="F1039">
        <v>4.2538</v>
      </c>
      <c r="G1039" s="1">
        <v>45993</v>
      </c>
      <c r="H1039">
        <v>6.6105999999999998</v>
      </c>
      <c r="I1039" s="1">
        <v>46033</v>
      </c>
      <c r="J1039">
        <f t="shared" si="101"/>
        <v>63.617251162500004</v>
      </c>
      <c r="K1039">
        <v>5.31</v>
      </c>
      <c r="M1039">
        <f t="shared" si="103"/>
        <v>0</v>
      </c>
      <c r="N1039">
        <f t="shared" si="102"/>
        <v>-5.31</v>
      </c>
      <c r="P1039">
        <v>10.95875</v>
      </c>
    </row>
    <row r="1040" spans="1:29" x14ac:dyDescent="0.3">
      <c r="A1040" t="s">
        <v>220</v>
      </c>
      <c r="B1040" t="s">
        <v>57</v>
      </c>
      <c r="C1040">
        <v>2</v>
      </c>
      <c r="D1040">
        <v>2</v>
      </c>
      <c r="E1040" t="s">
        <v>31</v>
      </c>
      <c r="F1040">
        <v>3.9451999999999998</v>
      </c>
      <c r="G1040" s="1">
        <v>45993</v>
      </c>
      <c r="H1040">
        <v>6.6201600000000003</v>
      </c>
      <c r="I1040" s="1">
        <v>46033</v>
      </c>
      <c r="J1040">
        <f t="shared" si="101"/>
        <v>63.617251162500004</v>
      </c>
      <c r="K1040">
        <v>5.31</v>
      </c>
      <c r="M1040">
        <f t="shared" si="103"/>
        <v>0</v>
      </c>
      <c r="N1040">
        <f t="shared" si="102"/>
        <v>-5.31</v>
      </c>
      <c r="P1040" s="7">
        <v>10.6434</v>
      </c>
    </row>
    <row r="1041" spans="1:29" x14ac:dyDescent="0.3">
      <c r="A1041" t="s">
        <v>220</v>
      </c>
      <c r="B1041" t="s">
        <v>57</v>
      </c>
      <c r="C1041">
        <v>2</v>
      </c>
      <c r="D1041">
        <v>6</v>
      </c>
      <c r="E1041" t="s">
        <v>64</v>
      </c>
      <c r="F1041">
        <v>0.44513999999999998</v>
      </c>
      <c r="G1041" s="1">
        <v>45993</v>
      </c>
      <c r="H1041">
        <v>6.6074599999999997</v>
      </c>
      <c r="I1041" s="1">
        <v>46033</v>
      </c>
      <c r="J1041">
        <f t="shared" si="101"/>
        <v>63.617251162500004</v>
      </c>
      <c r="K1041">
        <v>5.31</v>
      </c>
      <c r="M1041">
        <f t="shared" si="103"/>
        <v>0</v>
      </c>
      <c r="N1041">
        <f t="shared" si="102"/>
        <v>-5.31</v>
      </c>
      <c r="P1041">
        <v>7.4257900000000001</v>
      </c>
    </row>
    <row r="1042" spans="1:29" x14ac:dyDescent="0.3">
      <c r="A1042" t="s">
        <v>220</v>
      </c>
      <c r="B1042" t="s">
        <v>57</v>
      </c>
      <c r="C1042">
        <v>2</v>
      </c>
      <c r="D1042">
        <v>6</v>
      </c>
      <c r="E1042" t="s">
        <v>30</v>
      </c>
      <c r="F1042">
        <v>0.44625999999999999</v>
      </c>
      <c r="G1042" s="1">
        <v>45993</v>
      </c>
      <c r="H1042">
        <v>6.6143599999999996</v>
      </c>
      <c r="I1042" s="1">
        <v>46033</v>
      </c>
      <c r="J1042">
        <f t="shared" si="101"/>
        <v>63.617251162500004</v>
      </c>
      <c r="K1042">
        <v>5.31</v>
      </c>
      <c r="M1042">
        <f t="shared" si="103"/>
        <v>0</v>
      </c>
      <c r="N1042">
        <f t="shared" si="102"/>
        <v>-5.31</v>
      </c>
      <c r="P1042">
        <v>7.3819499999999998</v>
      </c>
    </row>
    <row r="1043" spans="1:29" x14ac:dyDescent="0.3">
      <c r="A1043" t="s">
        <v>220</v>
      </c>
      <c r="B1043" t="s">
        <v>57</v>
      </c>
      <c r="C1043">
        <v>2</v>
      </c>
      <c r="D1043">
        <v>6</v>
      </c>
      <c r="E1043" t="s">
        <v>31</v>
      </c>
      <c r="F1043">
        <v>0.44550000000000001</v>
      </c>
      <c r="G1043" s="1">
        <v>45993</v>
      </c>
      <c r="H1043">
        <v>6.6803800000000004</v>
      </c>
      <c r="I1043" s="1">
        <v>46033</v>
      </c>
      <c r="J1043">
        <f t="shared" si="101"/>
        <v>63.617251162500004</v>
      </c>
      <c r="K1043">
        <v>5.31</v>
      </c>
      <c r="M1043">
        <f t="shared" si="103"/>
        <v>0</v>
      </c>
      <c r="N1043">
        <f t="shared" si="102"/>
        <v>-5.31</v>
      </c>
      <c r="P1043">
        <v>7.4775499999999999</v>
      </c>
    </row>
    <row r="1044" spans="1:29" x14ac:dyDescent="0.3">
      <c r="A1044" t="s">
        <v>220</v>
      </c>
      <c r="B1044" t="s">
        <v>57</v>
      </c>
      <c r="C1044">
        <v>2</v>
      </c>
      <c r="D1044">
        <v>12</v>
      </c>
      <c r="E1044" t="s">
        <v>64</v>
      </c>
      <c r="F1044">
        <v>0.44651999999999997</v>
      </c>
      <c r="G1044" s="1">
        <v>45993</v>
      </c>
      <c r="H1044">
        <v>6.62521</v>
      </c>
      <c r="I1044" s="1">
        <v>46033</v>
      </c>
      <c r="J1044">
        <f t="shared" si="101"/>
        <v>63.617251162500004</v>
      </c>
      <c r="K1044">
        <v>5.31</v>
      </c>
      <c r="M1044">
        <f t="shared" si="103"/>
        <v>0</v>
      </c>
      <c r="N1044">
        <f t="shared" si="102"/>
        <v>-5.31</v>
      </c>
      <c r="P1044">
        <v>7.3369400000000002</v>
      </c>
    </row>
    <row r="1045" spans="1:29" x14ac:dyDescent="0.3">
      <c r="A1045" t="s">
        <v>220</v>
      </c>
      <c r="B1045" t="s">
        <v>57</v>
      </c>
      <c r="C1045">
        <v>2</v>
      </c>
      <c r="D1045">
        <v>12</v>
      </c>
      <c r="E1045" t="s">
        <v>30</v>
      </c>
      <c r="F1045">
        <v>0.44671</v>
      </c>
      <c r="G1045" s="1">
        <v>45993</v>
      </c>
      <c r="H1045">
        <v>6.6622500000000002</v>
      </c>
      <c r="I1045" s="1">
        <v>46033</v>
      </c>
      <c r="J1045">
        <f t="shared" si="101"/>
        <v>63.617251162500004</v>
      </c>
      <c r="K1045">
        <v>5.31</v>
      </c>
      <c r="M1045">
        <f t="shared" si="103"/>
        <v>0</v>
      </c>
      <c r="N1045">
        <f t="shared" si="102"/>
        <v>-5.31</v>
      </c>
      <c r="P1045">
        <v>7.4316300000000002</v>
      </c>
    </row>
    <row r="1046" spans="1:29" x14ac:dyDescent="0.3">
      <c r="A1046" t="s">
        <v>220</v>
      </c>
      <c r="B1046" t="s">
        <v>57</v>
      </c>
      <c r="C1046">
        <v>2</v>
      </c>
      <c r="D1046">
        <v>12</v>
      </c>
      <c r="E1046" t="s">
        <v>31</v>
      </c>
      <c r="F1046">
        <v>0.44621</v>
      </c>
      <c r="G1046" s="1">
        <v>45993</v>
      </c>
      <c r="H1046">
        <v>6.6344099999999999</v>
      </c>
      <c r="I1046" s="1">
        <v>46033</v>
      </c>
      <c r="J1046">
        <f t="shared" si="101"/>
        <v>63.617251162500004</v>
      </c>
      <c r="K1046">
        <v>5.31</v>
      </c>
      <c r="M1046">
        <f t="shared" si="103"/>
        <v>0</v>
      </c>
      <c r="N1046">
        <f t="shared" si="102"/>
        <v>-5.31</v>
      </c>
      <c r="P1046">
        <v>7.34504</v>
      </c>
    </row>
    <row r="1047" spans="1:29" x14ac:dyDescent="0.3">
      <c r="A1047" t="s">
        <v>220</v>
      </c>
      <c r="B1047" t="s">
        <v>57</v>
      </c>
      <c r="C1047">
        <v>2</v>
      </c>
      <c r="D1047">
        <v>18</v>
      </c>
      <c r="E1047" t="s">
        <v>64</v>
      </c>
      <c r="F1047">
        <v>0.44690999999999997</v>
      </c>
      <c r="G1047" s="1">
        <v>45993</v>
      </c>
      <c r="H1047">
        <v>6.6585299999999998</v>
      </c>
      <c r="I1047" s="1">
        <v>46033</v>
      </c>
      <c r="J1047">
        <f t="shared" si="101"/>
        <v>63.617251162500004</v>
      </c>
      <c r="K1047">
        <v>5.31</v>
      </c>
      <c r="M1047">
        <f t="shared" si="103"/>
        <v>0</v>
      </c>
      <c r="N1047">
        <f t="shared" si="102"/>
        <v>-5.31</v>
      </c>
      <c r="P1047">
        <v>7.4717000000000002</v>
      </c>
    </row>
    <row r="1048" spans="1:29" x14ac:dyDescent="0.3">
      <c r="A1048" t="s">
        <v>220</v>
      </c>
      <c r="B1048" t="s">
        <v>57</v>
      </c>
      <c r="C1048">
        <v>2</v>
      </c>
      <c r="D1048">
        <v>18</v>
      </c>
      <c r="E1048" t="s">
        <v>30</v>
      </c>
      <c r="F1048">
        <v>0.44613000000000003</v>
      </c>
      <c r="G1048" s="1">
        <v>45993</v>
      </c>
      <c r="H1048">
        <v>6.2718999999999996</v>
      </c>
      <c r="I1048" s="1">
        <v>46033</v>
      </c>
      <c r="J1048">
        <f t="shared" si="101"/>
        <v>63.617251162500004</v>
      </c>
      <c r="K1048">
        <v>5.31</v>
      </c>
      <c r="M1048">
        <f t="shared" si="103"/>
        <v>0</v>
      </c>
      <c r="N1048">
        <f t="shared" si="102"/>
        <v>-5.31</v>
      </c>
      <c r="P1048">
        <v>7.0602499999999999</v>
      </c>
    </row>
    <row r="1049" spans="1:29" x14ac:dyDescent="0.3">
      <c r="A1049" t="s">
        <v>220</v>
      </c>
      <c r="B1049" t="s">
        <v>57</v>
      </c>
      <c r="C1049">
        <v>2</v>
      </c>
      <c r="D1049">
        <v>18</v>
      </c>
      <c r="E1049" t="s">
        <v>31</v>
      </c>
      <c r="F1049">
        <v>0.44583</v>
      </c>
      <c r="G1049" s="1">
        <v>45993</v>
      </c>
      <c r="H1049">
        <v>6.2973299999999997</v>
      </c>
      <c r="I1049" s="1">
        <v>46033</v>
      </c>
      <c r="J1049">
        <f t="shared" si="101"/>
        <v>63.617251162500004</v>
      </c>
      <c r="K1049">
        <v>5.31</v>
      </c>
      <c r="M1049">
        <f t="shared" si="103"/>
        <v>0</v>
      </c>
      <c r="N1049">
        <f t="shared" si="102"/>
        <v>-5.31</v>
      </c>
      <c r="P1049">
        <v>7.0973800000000002</v>
      </c>
    </row>
    <row r="1050" spans="1:29" x14ac:dyDescent="0.3">
      <c r="A1050" t="s">
        <v>220</v>
      </c>
      <c r="B1050" t="s">
        <v>57</v>
      </c>
      <c r="C1050">
        <v>2</v>
      </c>
      <c r="D1050">
        <v>24</v>
      </c>
      <c r="E1050" t="s">
        <v>28</v>
      </c>
      <c r="F1050">
        <v>0.44524999999999998</v>
      </c>
      <c r="G1050" s="1">
        <v>45993</v>
      </c>
      <c r="H1050">
        <v>6.2998700000000003</v>
      </c>
      <c r="I1050" s="1">
        <v>46033</v>
      </c>
      <c r="J1050">
        <f t="shared" si="101"/>
        <v>63.617251162500004</v>
      </c>
      <c r="K1050">
        <v>5.31</v>
      </c>
      <c r="M1050">
        <f t="shared" si="103"/>
        <v>0</v>
      </c>
      <c r="N1050">
        <f t="shared" si="102"/>
        <v>-5.31</v>
      </c>
      <c r="P1050">
        <v>7.2815300000000001</v>
      </c>
    </row>
    <row r="1051" spans="1:29" x14ac:dyDescent="0.3">
      <c r="A1051" t="s">
        <v>220</v>
      </c>
      <c r="B1051" t="s">
        <v>57</v>
      </c>
      <c r="C1051">
        <v>2</v>
      </c>
      <c r="D1051">
        <v>24</v>
      </c>
      <c r="E1051" t="s">
        <v>30</v>
      </c>
      <c r="F1051">
        <v>0.44657999999999998</v>
      </c>
      <c r="G1051" s="1">
        <v>45993</v>
      </c>
      <c r="H1051">
        <v>6.27217</v>
      </c>
      <c r="I1051" s="1">
        <v>46033</v>
      </c>
      <c r="J1051">
        <f t="shared" si="101"/>
        <v>63.617251162500004</v>
      </c>
      <c r="K1051">
        <v>5.31</v>
      </c>
      <c r="M1051">
        <f t="shared" si="103"/>
        <v>0</v>
      </c>
      <c r="N1051">
        <f t="shared" si="102"/>
        <v>-5.31</v>
      </c>
      <c r="P1051">
        <v>7.9283200000000003</v>
      </c>
      <c r="AC1051" t="s">
        <v>239</v>
      </c>
    </row>
    <row r="1052" spans="1:29" x14ac:dyDescent="0.3">
      <c r="A1052" t="s">
        <v>220</v>
      </c>
      <c r="B1052" t="s">
        <v>57</v>
      </c>
      <c r="C1052">
        <v>2</v>
      </c>
      <c r="D1052">
        <v>24</v>
      </c>
      <c r="E1052" t="s">
        <v>31</v>
      </c>
      <c r="F1052">
        <v>0.44579999999999997</v>
      </c>
      <c r="G1052" s="1">
        <v>45993</v>
      </c>
      <c r="H1052">
        <v>6.3426200000000001</v>
      </c>
      <c r="I1052" s="1">
        <v>46033</v>
      </c>
      <c r="J1052">
        <f t="shared" si="101"/>
        <v>63.617251162500004</v>
      </c>
      <c r="K1052">
        <v>5.31</v>
      </c>
      <c r="M1052">
        <f t="shared" si="103"/>
        <v>0</v>
      </c>
      <c r="N1052">
        <f t="shared" si="102"/>
        <v>-5.31</v>
      </c>
      <c r="P1052">
        <v>7.2888000000000002</v>
      </c>
    </row>
    <row r="1053" spans="1:29" x14ac:dyDescent="0.3">
      <c r="A1053" t="s">
        <v>220</v>
      </c>
      <c r="B1053" t="s">
        <v>57</v>
      </c>
      <c r="C1053">
        <v>2</v>
      </c>
      <c r="D1053">
        <v>48</v>
      </c>
      <c r="E1053" t="s">
        <v>64</v>
      </c>
      <c r="F1053">
        <v>0.44535999999999998</v>
      </c>
      <c r="G1053" s="1">
        <v>45993</v>
      </c>
      <c r="H1053">
        <v>6.3274699999999999</v>
      </c>
      <c r="I1053" s="1">
        <v>46033</v>
      </c>
      <c r="J1053">
        <f t="shared" si="101"/>
        <v>63.617251162500004</v>
      </c>
      <c r="K1053">
        <v>5.31</v>
      </c>
      <c r="M1053">
        <f t="shared" si="103"/>
        <v>0</v>
      </c>
      <c r="N1053">
        <f t="shared" si="102"/>
        <v>-5.31</v>
      </c>
      <c r="P1053">
        <v>10.83896</v>
      </c>
    </row>
    <row r="1054" spans="1:29" x14ac:dyDescent="0.3">
      <c r="A1054" t="s">
        <v>220</v>
      </c>
      <c r="B1054" t="s">
        <v>57</v>
      </c>
      <c r="C1054">
        <v>2</v>
      </c>
      <c r="D1054">
        <v>48</v>
      </c>
      <c r="E1054" t="s">
        <v>30</v>
      </c>
      <c r="F1054">
        <v>0.44505</v>
      </c>
      <c r="G1054" s="1">
        <v>45993</v>
      </c>
      <c r="H1054">
        <v>6.3309899999999999</v>
      </c>
      <c r="I1054" s="1">
        <v>46033</v>
      </c>
      <c r="J1054">
        <f t="shared" si="101"/>
        <v>63.617251162500004</v>
      </c>
      <c r="K1054">
        <v>5.31</v>
      </c>
      <c r="M1054">
        <f t="shared" si="103"/>
        <v>0</v>
      </c>
      <c r="N1054">
        <f t="shared" si="102"/>
        <v>-5.31</v>
      </c>
      <c r="P1054">
        <v>12.162419999999999</v>
      </c>
    </row>
    <row r="1055" spans="1:29" x14ac:dyDescent="0.3">
      <c r="A1055" t="s">
        <v>220</v>
      </c>
      <c r="B1055" t="s">
        <v>57</v>
      </c>
      <c r="C1055">
        <v>2</v>
      </c>
      <c r="D1055">
        <v>48</v>
      </c>
      <c r="E1055" t="s">
        <v>31</v>
      </c>
      <c r="F1055">
        <v>0.44535000000000002</v>
      </c>
      <c r="G1055" s="1">
        <v>45993</v>
      </c>
      <c r="H1055">
        <v>6.3092899999999998</v>
      </c>
      <c r="I1055" s="1">
        <v>46033</v>
      </c>
      <c r="J1055">
        <f t="shared" si="101"/>
        <v>63.617251162500004</v>
      </c>
      <c r="K1055">
        <v>5.31</v>
      </c>
      <c r="M1055">
        <f t="shared" si="103"/>
        <v>0</v>
      </c>
      <c r="N1055">
        <f t="shared" si="102"/>
        <v>-5.31</v>
      </c>
      <c r="P1055">
        <v>14.761839999999999</v>
      </c>
    </row>
    <row r="1056" spans="1:29" x14ac:dyDescent="0.3">
      <c r="A1056" t="s">
        <v>220</v>
      </c>
      <c r="B1056" t="s">
        <v>57</v>
      </c>
      <c r="E1056" t="s">
        <v>67</v>
      </c>
      <c r="J1056">
        <f t="shared" si="101"/>
        <v>63.617251162500004</v>
      </c>
      <c r="K1056">
        <v>5.31</v>
      </c>
      <c r="M1056">
        <f t="shared" si="103"/>
        <v>0</v>
      </c>
      <c r="N1056">
        <f t="shared" si="102"/>
        <v>-5.31</v>
      </c>
    </row>
    <row r="1057" spans="1:14" x14ac:dyDescent="0.3">
      <c r="A1057" t="s">
        <v>220</v>
      </c>
      <c r="B1057" t="s">
        <v>57</v>
      </c>
      <c r="E1057" t="s">
        <v>68</v>
      </c>
      <c r="J1057">
        <f t="shared" si="101"/>
        <v>63.617251162500004</v>
      </c>
      <c r="K1057">
        <v>5.31</v>
      </c>
      <c r="M1057">
        <f t="shared" si="103"/>
        <v>0</v>
      </c>
      <c r="N1057">
        <f t="shared" si="102"/>
        <v>-5.31</v>
      </c>
    </row>
    <row r="1058" spans="1:14" x14ac:dyDescent="0.3">
      <c r="A1058" t="s">
        <v>220</v>
      </c>
      <c r="B1058" t="s">
        <v>57</v>
      </c>
      <c r="E1058" t="s">
        <v>69</v>
      </c>
      <c r="J1058">
        <f t="shared" si="101"/>
        <v>63.617251162500004</v>
      </c>
      <c r="K1058">
        <v>5.31</v>
      </c>
      <c r="M1058">
        <f t="shared" si="103"/>
        <v>0</v>
      </c>
      <c r="N1058">
        <f t="shared" si="102"/>
        <v>-5.31</v>
      </c>
    </row>
    <row r="1059" spans="1:14" x14ac:dyDescent="0.3">
      <c r="A1059" t="s">
        <v>220</v>
      </c>
      <c r="B1059" t="s">
        <v>57</v>
      </c>
      <c r="E1059" t="s">
        <v>70</v>
      </c>
      <c r="J1059">
        <f t="shared" si="101"/>
        <v>63.617251162500004</v>
      </c>
      <c r="K1059">
        <v>5.31</v>
      </c>
      <c r="M1059">
        <f t="shared" si="103"/>
        <v>0</v>
      </c>
      <c r="N1059">
        <f t="shared" si="102"/>
        <v>-5.31</v>
      </c>
    </row>
    <row r="1060" spans="1:14" x14ac:dyDescent="0.3">
      <c r="A1060" t="s">
        <v>248</v>
      </c>
      <c r="B1060" t="s">
        <v>61</v>
      </c>
      <c r="C1060">
        <v>1</v>
      </c>
      <c r="D1060">
        <v>0.5</v>
      </c>
      <c r="E1060" t="s">
        <v>28</v>
      </c>
      <c r="J1060">
        <f t="shared" si="101"/>
        <v>63.617251162500004</v>
      </c>
      <c r="K1060">
        <v>5.31</v>
      </c>
      <c r="M1060">
        <f t="shared" si="103"/>
        <v>0</v>
      </c>
      <c r="N1060">
        <f t="shared" si="102"/>
        <v>-5.31</v>
      </c>
    </row>
    <row r="1061" spans="1:14" x14ac:dyDescent="0.3">
      <c r="A1061" t="s">
        <v>248</v>
      </c>
      <c r="B1061" t="s">
        <v>61</v>
      </c>
      <c r="C1061">
        <v>1</v>
      </c>
      <c r="D1061">
        <v>0.5</v>
      </c>
      <c r="E1061" t="s">
        <v>30</v>
      </c>
      <c r="J1061">
        <f t="shared" si="101"/>
        <v>63.617251162500004</v>
      </c>
      <c r="K1061">
        <v>5.31</v>
      </c>
      <c r="M1061">
        <f t="shared" si="103"/>
        <v>0</v>
      </c>
      <c r="N1061">
        <f t="shared" si="102"/>
        <v>-5.31</v>
      </c>
    </row>
    <row r="1062" spans="1:14" x14ac:dyDescent="0.3">
      <c r="A1062" t="s">
        <v>248</v>
      </c>
      <c r="B1062" t="s">
        <v>61</v>
      </c>
      <c r="C1062">
        <v>1</v>
      </c>
      <c r="D1062">
        <v>0.5</v>
      </c>
      <c r="E1062" t="s">
        <v>31</v>
      </c>
      <c r="J1062">
        <f t="shared" si="101"/>
        <v>63.617251162500004</v>
      </c>
      <c r="K1062">
        <v>5.31</v>
      </c>
      <c r="M1062">
        <f t="shared" si="103"/>
        <v>0</v>
      </c>
      <c r="N1062">
        <f t="shared" si="102"/>
        <v>-5.31</v>
      </c>
    </row>
    <row r="1063" spans="1:14" x14ac:dyDescent="0.3">
      <c r="A1063" t="s">
        <v>248</v>
      </c>
      <c r="B1063" t="s">
        <v>61</v>
      </c>
      <c r="C1063">
        <v>1</v>
      </c>
      <c r="D1063">
        <v>2</v>
      </c>
      <c r="E1063" t="s">
        <v>28</v>
      </c>
      <c r="J1063">
        <f t="shared" si="101"/>
        <v>63.617251162500004</v>
      </c>
      <c r="K1063">
        <v>5.31</v>
      </c>
      <c r="M1063">
        <f t="shared" si="103"/>
        <v>0</v>
      </c>
      <c r="N1063">
        <f t="shared" si="102"/>
        <v>-5.31</v>
      </c>
    </row>
    <row r="1064" spans="1:14" x14ac:dyDescent="0.3">
      <c r="A1064" t="s">
        <v>248</v>
      </c>
      <c r="B1064" t="s">
        <v>61</v>
      </c>
      <c r="C1064">
        <v>1</v>
      </c>
      <c r="D1064">
        <v>2</v>
      </c>
      <c r="E1064" t="s">
        <v>30</v>
      </c>
      <c r="J1064">
        <f t="shared" si="101"/>
        <v>63.617251162500004</v>
      </c>
      <c r="K1064">
        <v>5.31</v>
      </c>
      <c r="M1064">
        <f t="shared" si="103"/>
        <v>0</v>
      </c>
      <c r="N1064">
        <f t="shared" si="102"/>
        <v>-5.31</v>
      </c>
    </row>
    <row r="1065" spans="1:14" x14ac:dyDescent="0.3">
      <c r="A1065" t="s">
        <v>248</v>
      </c>
      <c r="B1065" t="s">
        <v>61</v>
      </c>
      <c r="C1065">
        <v>1</v>
      </c>
      <c r="D1065">
        <v>2</v>
      </c>
      <c r="E1065" t="s">
        <v>31</v>
      </c>
      <c r="J1065">
        <f t="shared" si="101"/>
        <v>63.617251162500004</v>
      </c>
      <c r="K1065">
        <v>5.31</v>
      </c>
      <c r="M1065">
        <f t="shared" si="103"/>
        <v>0</v>
      </c>
      <c r="N1065">
        <f t="shared" si="102"/>
        <v>-5.31</v>
      </c>
    </row>
    <row r="1066" spans="1:14" x14ac:dyDescent="0.3">
      <c r="A1066" t="s">
        <v>248</v>
      </c>
      <c r="B1066" t="s">
        <v>61</v>
      </c>
      <c r="C1066">
        <v>1</v>
      </c>
      <c r="D1066">
        <v>6</v>
      </c>
      <c r="E1066" t="s">
        <v>28</v>
      </c>
      <c r="J1066">
        <f t="shared" si="101"/>
        <v>63.617251162500004</v>
      </c>
      <c r="K1066">
        <v>5.31</v>
      </c>
      <c r="M1066">
        <f t="shared" si="103"/>
        <v>0</v>
      </c>
      <c r="N1066">
        <f t="shared" si="102"/>
        <v>-5.31</v>
      </c>
    </row>
    <row r="1067" spans="1:14" x14ac:dyDescent="0.3">
      <c r="A1067" t="s">
        <v>248</v>
      </c>
      <c r="B1067" t="s">
        <v>61</v>
      </c>
      <c r="C1067">
        <v>1</v>
      </c>
      <c r="D1067">
        <v>6</v>
      </c>
      <c r="E1067" t="s">
        <v>30</v>
      </c>
      <c r="J1067">
        <f t="shared" si="101"/>
        <v>63.617251162500004</v>
      </c>
      <c r="K1067">
        <v>5.31</v>
      </c>
      <c r="M1067">
        <f t="shared" si="103"/>
        <v>0</v>
      </c>
      <c r="N1067">
        <f t="shared" si="102"/>
        <v>-5.31</v>
      </c>
    </row>
    <row r="1068" spans="1:14" x14ac:dyDescent="0.3">
      <c r="A1068" t="s">
        <v>248</v>
      </c>
      <c r="B1068" t="s">
        <v>61</v>
      </c>
      <c r="C1068">
        <v>1</v>
      </c>
      <c r="D1068">
        <v>6</v>
      </c>
      <c r="E1068" t="s">
        <v>31</v>
      </c>
      <c r="J1068">
        <f t="shared" ref="J1068:J1131" si="104">4.5*4.5*3.14159265</f>
        <v>63.617251162500004</v>
      </c>
      <c r="K1068">
        <v>5.31</v>
      </c>
      <c r="M1068">
        <f t="shared" si="103"/>
        <v>0</v>
      </c>
      <c r="N1068">
        <f t="shared" si="102"/>
        <v>-5.31</v>
      </c>
    </row>
    <row r="1069" spans="1:14" x14ac:dyDescent="0.3">
      <c r="A1069" t="s">
        <v>248</v>
      </c>
      <c r="B1069" t="s">
        <v>61</v>
      </c>
      <c r="C1069">
        <v>1</v>
      </c>
      <c r="D1069">
        <v>12</v>
      </c>
      <c r="E1069" t="s">
        <v>28</v>
      </c>
      <c r="J1069">
        <f t="shared" si="104"/>
        <v>63.617251162500004</v>
      </c>
      <c r="K1069">
        <v>5.31</v>
      </c>
      <c r="M1069">
        <f t="shared" si="103"/>
        <v>0</v>
      </c>
      <c r="N1069">
        <f t="shared" si="102"/>
        <v>-5.31</v>
      </c>
    </row>
    <row r="1070" spans="1:14" x14ac:dyDescent="0.3">
      <c r="A1070" t="s">
        <v>248</v>
      </c>
      <c r="B1070" t="s">
        <v>61</v>
      </c>
      <c r="C1070">
        <v>1</v>
      </c>
      <c r="D1070">
        <v>12</v>
      </c>
      <c r="E1070" t="s">
        <v>30</v>
      </c>
      <c r="J1070">
        <f t="shared" si="104"/>
        <v>63.617251162500004</v>
      </c>
      <c r="K1070">
        <v>5.31</v>
      </c>
      <c r="M1070">
        <f t="shared" si="103"/>
        <v>0</v>
      </c>
      <c r="N1070">
        <f t="shared" si="102"/>
        <v>-5.31</v>
      </c>
    </row>
    <row r="1071" spans="1:14" x14ac:dyDescent="0.3">
      <c r="A1071" t="s">
        <v>248</v>
      </c>
      <c r="B1071" t="s">
        <v>61</v>
      </c>
      <c r="C1071">
        <v>1</v>
      </c>
      <c r="D1071">
        <v>12</v>
      </c>
      <c r="E1071" t="s">
        <v>31</v>
      </c>
      <c r="J1071">
        <f t="shared" si="104"/>
        <v>63.617251162500004</v>
      </c>
      <c r="K1071">
        <v>5.31</v>
      </c>
      <c r="M1071">
        <f t="shared" si="103"/>
        <v>0</v>
      </c>
      <c r="N1071">
        <f t="shared" si="102"/>
        <v>-5.31</v>
      </c>
    </row>
    <row r="1072" spans="1:14" x14ac:dyDescent="0.3">
      <c r="A1072" t="s">
        <v>248</v>
      </c>
      <c r="B1072" t="s">
        <v>61</v>
      </c>
      <c r="C1072">
        <v>1</v>
      </c>
      <c r="D1072">
        <v>18</v>
      </c>
      <c r="E1072" t="s">
        <v>28</v>
      </c>
      <c r="J1072">
        <f t="shared" si="104"/>
        <v>63.617251162500004</v>
      </c>
      <c r="K1072">
        <v>5.31</v>
      </c>
      <c r="M1072">
        <f t="shared" si="103"/>
        <v>0</v>
      </c>
      <c r="N1072">
        <f t="shared" si="102"/>
        <v>-5.31</v>
      </c>
    </row>
    <row r="1073" spans="1:14" x14ac:dyDescent="0.3">
      <c r="A1073" t="s">
        <v>248</v>
      </c>
      <c r="B1073" t="s">
        <v>61</v>
      </c>
      <c r="C1073">
        <v>1</v>
      </c>
      <c r="D1073">
        <v>18</v>
      </c>
      <c r="E1073" t="s">
        <v>30</v>
      </c>
      <c r="J1073">
        <f t="shared" si="104"/>
        <v>63.617251162500004</v>
      </c>
      <c r="K1073">
        <v>5.31</v>
      </c>
      <c r="M1073">
        <f t="shared" si="103"/>
        <v>0</v>
      </c>
      <c r="N1073">
        <f t="shared" si="102"/>
        <v>-5.31</v>
      </c>
    </row>
    <row r="1074" spans="1:14" x14ac:dyDescent="0.3">
      <c r="A1074" t="s">
        <v>248</v>
      </c>
      <c r="B1074" t="s">
        <v>61</v>
      </c>
      <c r="C1074">
        <v>1</v>
      </c>
      <c r="D1074">
        <v>18</v>
      </c>
      <c r="E1074" t="s">
        <v>62</v>
      </c>
      <c r="J1074">
        <f t="shared" si="104"/>
        <v>63.617251162500004</v>
      </c>
      <c r="K1074">
        <v>5.31</v>
      </c>
      <c r="M1074">
        <f t="shared" si="103"/>
        <v>0</v>
      </c>
      <c r="N1074">
        <f t="shared" si="102"/>
        <v>-5.31</v>
      </c>
    </row>
    <row r="1075" spans="1:14" x14ac:dyDescent="0.3">
      <c r="A1075" t="s">
        <v>248</v>
      </c>
      <c r="B1075" t="s">
        <v>61</v>
      </c>
      <c r="C1075">
        <v>1</v>
      </c>
      <c r="D1075">
        <v>24</v>
      </c>
      <c r="E1075" t="s">
        <v>28</v>
      </c>
      <c r="J1075">
        <f t="shared" si="104"/>
        <v>63.617251162500004</v>
      </c>
      <c r="K1075">
        <v>5.31</v>
      </c>
      <c r="M1075">
        <f t="shared" si="103"/>
        <v>0</v>
      </c>
      <c r="N1075">
        <f t="shared" si="102"/>
        <v>-5.31</v>
      </c>
    </row>
    <row r="1076" spans="1:14" x14ac:dyDescent="0.3">
      <c r="A1076" t="s">
        <v>248</v>
      </c>
      <c r="B1076" t="s">
        <v>61</v>
      </c>
      <c r="C1076">
        <v>1</v>
      </c>
      <c r="D1076">
        <v>24</v>
      </c>
      <c r="E1076" t="s">
        <v>30</v>
      </c>
      <c r="J1076">
        <f t="shared" si="104"/>
        <v>63.617251162500004</v>
      </c>
      <c r="K1076">
        <v>5.31</v>
      </c>
      <c r="M1076">
        <f t="shared" si="103"/>
        <v>0</v>
      </c>
      <c r="N1076">
        <f t="shared" si="102"/>
        <v>-5.31</v>
      </c>
    </row>
    <row r="1077" spans="1:14" x14ac:dyDescent="0.3">
      <c r="A1077" t="s">
        <v>248</v>
      </c>
      <c r="B1077" t="s">
        <v>61</v>
      </c>
      <c r="C1077">
        <v>1</v>
      </c>
      <c r="D1077">
        <v>24</v>
      </c>
      <c r="E1077" t="s">
        <v>31</v>
      </c>
      <c r="J1077">
        <f t="shared" si="104"/>
        <v>63.617251162500004</v>
      </c>
      <c r="K1077">
        <v>5.31</v>
      </c>
      <c r="M1077">
        <f t="shared" si="103"/>
        <v>0</v>
      </c>
      <c r="N1077">
        <f t="shared" si="102"/>
        <v>-5.31</v>
      </c>
    </row>
    <row r="1078" spans="1:14" x14ac:dyDescent="0.3">
      <c r="A1078" t="s">
        <v>248</v>
      </c>
      <c r="B1078" t="s">
        <v>61</v>
      </c>
      <c r="C1078">
        <v>1</v>
      </c>
      <c r="D1078">
        <v>48</v>
      </c>
      <c r="E1078" t="s">
        <v>28</v>
      </c>
      <c r="J1078">
        <f t="shared" si="104"/>
        <v>63.617251162500004</v>
      </c>
      <c r="K1078">
        <v>5.31</v>
      </c>
      <c r="M1078">
        <f t="shared" si="103"/>
        <v>0</v>
      </c>
      <c r="N1078">
        <f t="shared" si="102"/>
        <v>-5.31</v>
      </c>
    </row>
    <row r="1079" spans="1:14" x14ac:dyDescent="0.3">
      <c r="A1079" t="s">
        <v>248</v>
      </c>
      <c r="B1079" t="s">
        <v>61</v>
      </c>
      <c r="C1079">
        <v>1</v>
      </c>
      <c r="D1079">
        <v>48</v>
      </c>
      <c r="E1079" t="s">
        <v>30</v>
      </c>
      <c r="J1079">
        <f t="shared" si="104"/>
        <v>63.617251162500004</v>
      </c>
      <c r="K1079">
        <v>5.31</v>
      </c>
      <c r="M1079">
        <f t="shared" si="103"/>
        <v>0</v>
      </c>
      <c r="N1079">
        <f t="shared" si="102"/>
        <v>-5.31</v>
      </c>
    </row>
    <row r="1080" spans="1:14" x14ac:dyDescent="0.3">
      <c r="A1080" t="s">
        <v>248</v>
      </c>
      <c r="B1080" t="s">
        <v>61</v>
      </c>
      <c r="C1080">
        <v>1</v>
      </c>
      <c r="D1080">
        <v>48</v>
      </c>
      <c r="E1080" t="s">
        <v>31</v>
      </c>
      <c r="J1080">
        <f t="shared" si="104"/>
        <v>63.617251162500004</v>
      </c>
      <c r="K1080">
        <v>5.31</v>
      </c>
      <c r="M1080">
        <f t="shared" si="103"/>
        <v>0</v>
      </c>
      <c r="N1080">
        <f t="shared" si="102"/>
        <v>-5.31</v>
      </c>
    </row>
    <row r="1081" spans="1:14" x14ac:dyDescent="0.3">
      <c r="A1081" t="s">
        <v>248</v>
      </c>
      <c r="B1081" t="s">
        <v>61</v>
      </c>
      <c r="C1081">
        <v>2</v>
      </c>
      <c r="D1081">
        <v>0.5</v>
      </c>
      <c r="E1081" t="s">
        <v>28</v>
      </c>
      <c r="J1081">
        <f t="shared" si="104"/>
        <v>63.617251162500004</v>
      </c>
      <c r="K1081">
        <v>5.31</v>
      </c>
      <c r="M1081">
        <f t="shared" si="103"/>
        <v>0</v>
      </c>
      <c r="N1081">
        <f t="shared" si="102"/>
        <v>-5.31</v>
      </c>
    </row>
    <row r="1082" spans="1:14" x14ac:dyDescent="0.3">
      <c r="A1082" t="s">
        <v>248</v>
      </c>
      <c r="B1082" t="s">
        <v>61</v>
      </c>
      <c r="C1082">
        <v>2</v>
      </c>
      <c r="D1082">
        <v>0.5</v>
      </c>
      <c r="E1082" t="s">
        <v>30</v>
      </c>
      <c r="J1082">
        <f t="shared" si="104"/>
        <v>63.617251162500004</v>
      </c>
      <c r="K1082">
        <v>5.31</v>
      </c>
      <c r="M1082">
        <f t="shared" si="103"/>
        <v>0</v>
      </c>
      <c r="N1082">
        <f t="shared" si="102"/>
        <v>-5.31</v>
      </c>
    </row>
    <row r="1083" spans="1:14" x14ac:dyDescent="0.3">
      <c r="A1083" t="s">
        <v>248</v>
      </c>
      <c r="B1083" t="s">
        <v>61</v>
      </c>
      <c r="C1083">
        <v>2</v>
      </c>
      <c r="D1083">
        <v>0.5</v>
      </c>
      <c r="E1083" t="s">
        <v>31</v>
      </c>
      <c r="J1083">
        <f t="shared" si="104"/>
        <v>63.617251162500004</v>
      </c>
      <c r="K1083">
        <v>5.31</v>
      </c>
      <c r="M1083">
        <f t="shared" si="103"/>
        <v>0</v>
      </c>
      <c r="N1083">
        <f t="shared" si="102"/>
        <v>-5.31</v>
      </c>
    </row>
    <row r="1084" spans="1:14" x14ac:dyDescent="0.3">
      <c r="A1084" t="s">
        <v>248</v>
      </c>
      <c r="B1084" t="s">
        <v>61</v>
      </c>
      <c r="C1084">
        <v>2</v>
      </c>
      <c r="D1084">
        <v>2</v>
      </c>
      <c r="E1084" t="s">
        <v>28</v>
      </c>
      <c r="J1084">
        <f t="shared" si="104"/>
        <v>63.617251162500004</v>
      </c>
      <c r="K1084">
        <v>5.31</v>
      </c>
      <c r="M1084">
        <f t="shared" si="103"/>
        <v>0</v>
      </c>
      <c r="N1084">
        <f t="shared" si="102"/>
        <v>-5.31</v>
      </c>
    </row>
    <row r="1085" spans="1:14" x14ac:dyDescent="0.3">
      <c r="A1085" t="s">
        <v>248</v>
      </c>
      <c r="B1085" t="s">
        <v>61</v>
      </c>
      <c r="C1085">
        <v>2</v>
      </c>
      <c r="D1085">
        <v>2</v>
      </c>
      <c r="E1085" t="s">
        <v>30</v>
      </c>
      <c r="J1085">
        <f t="shared" si="104"/>
        <v>63.617251162500004</v>
      </c>
      <c r="K1085">
        <v>5.31</v>
      </c>
      <c r="M1085">
        <f t="shared" si="103"/>
        <v>0</v>
      </c>
      <c r="N1085">
        <f t="shared" si="102"/>
        <v>-5.31</v>
      </c>
    </row>
    <row r="1086" spans="1:14" x14ac:dyDescent="0.3">
      <c r="A1086" t="s">
        <v>248</v>
      </c>
      <c r="B1086" t="s">
        <v>61</v>
      </c>
      <c r="C1086">
        <v>2</v>
      </c>
      <c r="D1086">
        <v>2</v>
      </c>
      <c r="E1086" t="s">
        <v>31</v>
      </c>
      <c r="J1086">
        <f t="shared" si="104"/>
        <v>63.617251162500004</v>
      </c>
      <c r="K1086">
        <v>5.31</v>
      </c>
      <c r="M1086">
        <f t="shared" si="103"/>
        <v>0</v>
      </c>
      <c r="N1086">
        <f t="shared" si="102"/>
        <v>-5.31</v>
      </c>
    </row>
    <row r="1087" spans="1:14" x14ac:dyDescent="0.3">
      <c r="A1087" t="s">
        <v>248</v>
      </c>
      <c r="B1087" t="s">
        <v>61</v>
      </c>
      <c r="C1087">
        <v>2</v>
      </c>
      <c r="D1087">
        <v>6</v>
      </c>
      <c r="E1087" t="s">
        <v>28</v>
      </c>
      <c r="J1087">
        <f t="shared" si="104"/>
        <v>63.617251162500004</v>
      </c>
      <c r="K1087">
        <v>5.31</v>
      </c>
      <c r="M1087">
        <f t="shared" si="103"/>
        <v>0</v>
      </c>
      <c r="N1087">
        <f t="shared" si="102"/>
        <v>-5.31</v>
      </c>
    </row>
    <row r="1088" spans="1:14" x14ac:dyDescent="0.3">
      <c r="A1088" t="s">
        <v>248</v>
      </c>
      <c r="B1088" t="s">
        <v>61</v>
      </c>
      <c r="C1088">
        <v>2</v>
      </c>
      <c r="D1088">
        <v>6</v>
      </c>
      <c r="E1088" t="s">
        <v>30</v>
      </c>
      <c r="J1088">
        <f t="shared" si="104"/>
        <v>63.617251162500004</v>
      </c>
      <c r="K1088">
        <v>5.31</v>
      </c>
      <c r="M1088">
        <f t="shared" si="103"/>
        <v>0</v>
      </c>
      <c r="N1088">
        <f t="shared" si="102"/>
        <v>-5.31</v>
      </c>
    </row>
    <row r="1089" spans="1:14" x14ac:dyDescent="0.3">
      <c r="A1089" t="s">
        <v>248</v>
      </c>
      <c r="B1089" t="s">
        <v>61</v>
      </c>
      <c r="C1089">
        <v>2</v>
      </c>
      <c r="D1089">
        <v>6</v>
      </c>
      <c r="E1089" t="s">
        <v>31</v>
      </c>
      <c r="J1089">
        <f t="shared" si="104"/>
        <v>63.617251162500004</v>
      </c>
      <c r="K1089">
        <v>5.31</v>
      </c>
      <c r="M1089">
        <f t="shared" si="103"/>
        <v>0</v>
      </c>
      <c r="N1089">
        <f t="shared" si="102"/>
        <v>-5.31</v>
      </c>
    </row>
    <row r="1090" spans="1:14" x14ac:dyDescent="0.3">
      <c r="A1090" t="s">
        <v>248</v>
      </c>
      <c r="B1090" t="s">
        <v>61</v>
      </c>
      <c r="C1090">
        <v>2</v>
      </c>
      <c r="D1090">
        <v>12</v>
      </c>
      <c r="E1090" t="s">
        <v>28</v>
      </c>
      <c r="J1090">
        <f t="shared" si="104"/>
        <v>63.617251162500004</v>
      </c>
      <c r="K1090">
        <v>5.31</v>
      </c>
      <c r="M1090">
        <f t="shared" si="103"/>
        <v>0</v>
      </c>
      <c r="N1090">
        <f t="shared" ref="N1090:N1153" si="105">L1090*J1090-K1090</f>
        <v>-5.31</v>
      </c>
    </row>
    <row r="1091" spans="1:14" x14ac:dyDescent="0.3">
      <c r="A1091" t="s">
        <v>248</v>
      </c>
      <c r="B1091" t="s">
        <v>61</v>
      </c>
      <c r="C1091">
        <v>2</v>
      </c>
      <c r="D1091">
        <v>12</v>
      </c>
      <c r="E1091" t="s">
        <v>30</v>
      </c>
      <c r="J1091">
        <f t="shared" si="104"/>
        <v>63.617251162500004</v>
      </c>
      <c r="K1091">
        <v>5.31</v>
      </c>
      <c r="M1091">
        <f t="shared" si="103"/>
        <v>0</v>
      </c>
      <c r="N1091">
        <f t="shared" si="105"/>
        <v>-5.31</v>
      </c>
    </row>
    <row r="1092" spans="1:14" x14ac:dyDescent="0.3">
      <c r="A1092" t="s">
        <v>248</v>
      </c>
      <c r="B1092" t="s">
        <v>61</v>
      </c>
      <c r="C1092">
        <v>2</v>
      </c>
      <c r="D1092">
        <v>12</v>
      </c>
      <c r="E1092" t="s">
        <v>31</v>
      </c>
      <c r="J1092">
        <f t="shared" si="104"/>
        <v>63.617251162500004</v>
      </c>
      <c r="K1092">
        <v>5.31</v>
      </c>
      <c r="M1092">
        <f t="shared" ref="M1092:M1155" si="106">L1092*F1092</f>
        <v>0</v>
      </c>
      <c r="N1092">
        <f t="shared" ref="N1092:N1155" si="107">(L1092*J1092)-K1092</f>
        <v>-5.31</v>
      </c>
    </row>
    <row r="1093" spans="1:14" x14ac:dyDescent="0.3">
      <c r="A1093" t="s">
        <v>248</v>
      </c>
      <c r="B1093" t="s">
        <v>61</v>
      </c>
      <c r="C1093">
        <v>2</v>
      </c>
      <c r="D1093">
        <v>18</v>
      </c>
      <c r="E1093" t="s">
        <v>64</v>
      </c>
      <c r="J1093">
        <f t="shared" si="104"/>
        <v>63.617251162500004</v>
      </c>
      <c r="K1093">
        <v>5.31</v>
      </c>
      <c r="M1093">
        <f t="shared" si="106"/>
        <v>0</v>
      </c>
      <c r="N1093">
        <f t="shared" si="107"/>
        <v>-5.31</v>
      </c>
    </row>
    <row r="1094" spans="1:14" x14ac:dyDescent="0.3">
      <c r="A1094" t="s">
        <v>248</v>
      </c>
      <c r="B1094" t="s">
        <v>61</v>
      </c>
      <c r="C1094">
        <v>2</v>
      </c>
      <c r="D1094">
        <v>18</v>
      </c>
      <c r="E1094" t="s">
        <v>30</v>
      </c>
      <c r="J1094">
        <f t="shared" si="104"/>
        <v>63.617251162500004</v>
      </c>
      <c r="K1094">
        <v>5.31</v>
      </c>
      <c r="M1094">
        <f t="shared" si="106"/>
        <v>0</v>
      </c>
      <c r="N1094">
        <f t="shared" si="107"/>
        <v>-5.31</v>
      </c>
    </row>
    <row r="1095" spans="1:14" x14ac:dyDescent="0.3">
      <c r="A1095" t="s">
        <v>248</v>
      </c>
      <c r="B1095" t="s">
        <v>61</v>
      </c>
      <c r="C1095">
        <v>2</v>
      </c>
      <c r="D1095">
        <v>18</v>
      </c>
      <c r="E1095" t="s">
        <v>31</v>
      </c>
      <c r="J1095">
        <f t="shared" si="104"/>
        <v>63.617251162500004</v>
      </c>
      <c r="K1095">
        <v>5.31</v>
      </c>
      <c r="M1095">
        <f t="shared" si="106"/>
        <v>0</v>
      </c>
      <c r="N1095">
        <f t="shared" si="107"/>
        <v>-5.31</v>
      </c>
    </row>
    <row r="1096" spans="1:14" x14ac:dyDescent="0.3">
      <c r="A1096" t="s">
        <v>248</v>
      </c>
      <c r="B1096" t="s">
        <v>61</v>
      </c>
      <c r="C1096">
        <v>2</v>
      </c>
      <c r="D1096">
        <v>24</v>
      </c>
      <c r="E1096" t="s">
        <v>28</v>
      </c>
      <c r="J1096">
        <f t="shared" si="104"/>
        <v>63.617251162500004</v>
      </c>
      <c r="K1096">
        <v>5.31</v>
      </c>
      <c r="M1096">
        <f t="shared" si="106"/>
        <v>0</v>
      </c>
      <c r="N1096">
        <f t="shared" si="107"/>
        <v>-5.31</v>
      </c>
    </row>
    <row r="1097" spans="1:14" x14ac:dyDescent="0.3">
      <c r="A1097" t="s">
        <v>248</v>
      </c>
      <c r="B1097" t="s">
        <v>61</v>
      </c>
      <c r="C1097">
        <v>2</v>
      </c>
      <c r="D1097">
        <v>24</v>
      </c>
      <c r="E1097" t="s">
        <v>30</v>
      </c>
      <c r="J1097">
        <f t="shared" si="104"/>
        <v>63.617251162500004</v>
      </c>
      <c r="K1097">
        <v>5.31</v>
      </c>
      <c r="M1097">
        <f t="shared" si="106"/>
        <v>0</v>
      </c>
      <c r="N1097">
        <f t="shared" si="107"/>
        <v>-5.31</v>
      </c>
    </row>
    <row r="1098" spans="1:14" x14ac:dyDescent="0.3">
      <c r="A1098" t="s">
        <v>248</v>
      </c>
      <c r="B1098" t="s">
        <v>61</v>
      </c>
      <c r="C1098">
        <v>2</v>
      </c>
      <c r="D1098">
        <v>24</v>
      </c>
      <c r="E1098" t="s">
        <v>31</v>
      </c>
      <c r="J1098">
        <f t="shared" si="104"/>
        <v>63.617251162500004</v>
      </c>
      <c r="K1098">
        <v>5.31</v>
      </c>
      <c r="M1098">
        <f t="shared" si="106"/>
        <v>0</v>
      </c>
      <c r="N1098">
        <f t="shared" si="107"/>
        <v>-5.31</v>
      </c>
    </row>
    <row r="1099" spans="1:14" x14ac:dyDescent="0.3">
      <c r="A1099" t="s">
        <v>248</v>
      </c>
      <c r="B1099" t="s">
        <v>61</v>
      </c>
      <c r="C1099">
        <v>2</v>
      </c>
      <c r="D1099">
        <v>48</v>
      </c>
      <c r="E1099" t="s">
        <v>28</v>
      </c>
      <c r="J1099">
        <f t="shared" si="104"/>
        <v>63.617251162500004</v>
      </c>
      <c r="K1099">
        <v>5.31</v>
      </c>
      <c r="M1099">
        <f t="shared" si="106"/>
        <v>0</v>
      </c>
      <c r="N1099">
        <f t="shared" si="107"/>
        <v>-5.31</v>
      </c>
    </row>
    <row r="1100" spans="1:14" x14ac:dyDescent="0.3">
      <c r="A1100" t="s">
        <v>248</v>
      </c>
      <c r="B1100" t="s">
        <v>61</v>
      </c>
      <c r="C1100">
        <v>2</v>
      </c>
      <c r="D1100">
        <v>48</v>
      </c>
      <c r="E1100" t="s">
        <v>30</v>
      </c>
      <c r="J1100">
        <f t="shared" si="104"/>
        <v>63.617251162500004</v>
      </c>
      <c r="K1100">
        <v>5.31</v>
      </c>
      <c r="M1100">
        <f t="shared" si="106"/>
        <v>0</v>
      </c>
      <c r="N1100">
        <f t="shared" si="107"/>
        <v>-5.31</v>
      </c>
    </row>
    <row r="1101" spans="1:14" x14ac:dyDescent="0.3">
      <c r="A1101" t="s">
        <v>248</v>
      </c>
      <c r="B1101" t="s">
        <v>61</v>
      </c>
      <c r="C1101">
        <v>2</v>
      </c>
      <c r="D1101">
        <v>48</v>
      </c>
      <c r="E1101" t="s">
        <v>31</v>
      </c>
      <c r="J1101">
        <f t="shared" si="104"/>
        <v>63.617251162500004</v>
      </c>
      <c r="K1101">
        <v>5.31</v>
      </c>
      <c r="M1101">
        <f t="shared" si="106"/>
        <v>0</v>
      </c>
      <c r="N1101">
        <f t="shared" si="107"/>
        <v>-5.31</v>
      </c>
    </row>
    <row r="1102" spans="1:14" x14ac:dyDescent="0.3">
      <c r="A1102" t="s">
        <v>248</v>
      </c>
      <c r="B1102" t="s">
        <v>61</v>
      </c>
      <c r="E1102" t="s">
        <v>36</v>
      </c>
      <c r="J1102">
        <f t="shared" si="104"/>
        <v>63.617251162500004</v>
      </c>
      <c r="K1102">
        <v>5.31</v>
      </c>
      <c r="M1102">
        <f t="shared" si="106"/>
        <v>0</v>
      </c>
      <c r="N1102">
        <f t="shared" si="107"/>
        <v>-5.31</v>
      </c>
    </row>
    <row r="1103" spans="1:14" x14ac:dyDescent="0.3">
      <c r="A1103" t="s">
        <v>248</v>
      </c>
      <c r="B1103" t="s">
        <v>61</v>
      </c>
      <c r="E1103" t="s">
        <v>39</v>
      </c>
      <c r="J1103">
        <f t="shared" si="104"/>
        <v>63.617251162500004</v>
      </c>
      <c r="K1103">
        <v>5.31</v>
      </c>
      <c r="M1103">
        <f t="shared" si="106"/>
        <v>0</v>
      </c>
      <c r="N1103">
        <f t="shared" si="107"/>
        <v>-5.31</v>
      </c>
    </row>
    <row r="1104" spans="1:14" x14ac:dyDescent="0.3">
      <c r="A1104" t="s">
        <v>248</v>
      </c>
      <c r="B1104" t="s">
        <v>61</v>
      </c>
      <c r="E1104" t="s">
        <v>41</v>
      </c>
      <c r="J1104">
        <f t="shared" si="104"/>
        <v>63.617251162500004</v>
      </c>
      <c r="K1104">
        <v>5.31</v>
      </c>
      <c r="M1104">
        <f t="shared" si="106"/>
        <v>0</v>
      </c>
      <c r="N1104">
        <f t="shared" si="107"/>
        <v>-5.31</v>
      </c>
    </row>
    <row r="1105" spans="1:14" x14ac:dyDescent="0.3">
      <c r="A1105" t="s">
        <v>248</v>
      </c>
      <c r="B1105" t="s">
        <v>61</v>
      </c>
      <c r="E1105" t="s">
        <v>43</v>
      </c>
      <c r="J1105">
        <f t="shared" si="104"/>
        <v>63.617251162500004</v>
      </c>
      <c r="K1105">
        <v>5.31</v>
      </c>
      <c r="M1105">
        <f t="shared" si="106"/>
        <v>0</v>
      </c>
      <c r="N1105">
        <f t="shared" si="107"/>
        <v>-5.31</v>
      </c>
    </row>
    <row r="1106" spans="1:14" x14ac:dyDescent="0.3">
      <c r="A1106" t="s">
        <v>248</v>
      </c>
      <c r="B1106" t="s">
        <v>51</v>
      </c>
      <c r="C1106">
        <v>1</v>
      </c>
      <c r="D1106">
        <v>0.5</v>
      </c>
      <c r="E1106" t="s">
        <v>64</v>
      </c>
      <c r="J1106">
        <f t="shared" si="104"/>
        <v>63.617251162500004</v>
      </c>
      <c r="K1106">
        <v>5.31</v>
      </c>
      <c r="M1106">
        <f t="shared" si="106"/>
        <v>0</v>
      </c>
      <c r="N1106">
        <f t="shared" si="107"/>
        <v>-5.31</v>
      </c>
    </row>
    <row r="1107" spans="1:14" x14ac:dyDescent="0.3">
      <c r="A1107" t="s">
        <v>248</v>
      </c>
      <c r="B1107" t="s">
        <v>51</v>
      </c>
      <c r="C1107">
        <v>1</v>
      </c>
      <c r="D1107">
        <v>0.5</v>
      </c>
      <c r="E1107" t="s">
        <v>30</v>
      </c>
      <c r="J1107">
        <f t="shared" si="104"/>
        <v>63.617251162500004</v>
      </c>
      <c r="K1107">
        <v>5.31</v>
      </c>
      <c r="M1107">
        <f t="shared" si="106"/>
        <v>0</v>
      </c>
      <c r="N1107">
        <f t="shared" si="107"/>
        <v>-5.31</v>
      </c>
    </row>
    <row r="1108" spans="1:14" x14ac:dyDescent="0.3">
      <c r="A1108" t="s">
        <v>248</v>
      </c>
      <c r="B1108" t="s">
        <v>51</v>
      </c>
      <c r="C1108">
        <v>1</v>
      </c>
      <c r="D1108">
        <v>0.5</v>
      </c>
      <c r="E1108" t="s">
        <v>31</v>
      </c>
      <c r="J1108">
        <f t="shared" si="104"/>
        <v>63.617251162500004</v>
      </c>
      <c r="K1108">
        <v>5.31</v>
      </c>
      <c r="M1108">
        <f t="shared" si="106"/>
        <v>0</v>
      </c>
      <c r="N1108">
        <f t="shared" si="107"/>
        <v>-5.31</v>
      </c>
    </row>
    <row r="1109" spans="1:14" x14ac:dyDescent="0.3">
      <c r="A1109" t="s">
        <v>248</v>
      </c>
      <c r="B1109" s="7" t="s">
        <v>51</v>
      </c>
      <c r="C1109" s="7">
        <v>1</v>
      </c>
      <c r="D1109" s="7">
        <v>2</v>
      </c>
      <c r="E1109" s="7" t="s">
        <v>64</v>
      </c>
      <c r="J1109">
        <f t="shared" si="104"/>
        <v>63.617251162500004</v>
      </c>
      <c r="K1109">
        <v>5.31</v>
      </c>
      <c r="M1109">
        <f t="shared" si="106"/>
        <v>0</v>
      </c>
      <c r="N1109">
        <f t="shared" si="107"/>
        <v>-5.31</v>
      </c>
    </row>
    <row r="1110" spans="1:14" x14ac:dyDescent="0.3">
      <c r="A1110" t="s">
        <v>248</v>
      </c>
      <c r="B1110" s="7" t="s">
        <v>51</v>
      </c>
      <c r="C1110" s="7">
        <v>1</v>
      </c>
      <c r="D1110" s="7">
        <v>2</v>
      </c>
      <c r="E1110" s="7" t="s">
        <v>30</v>
      </c>
      <c r="J1110">
        <f t="shared" si="104"/>
        <v>63.617251162500004</v>
      </c>
      <c r="K1110">
        <v>5.31</v>
      </c>
      <c r="M1110">
        <f t="shared" si="106"/>
        <v>0</v>
      </c>
      <c r="N1110">
        <f t="shared" si="107"/>
        <v>-5.31</v>
      </c>
    </row>
    <row r="1111" spans="1:14" x14ac:dyDescent="0.3">
      <c r="A1111" t="s">
        <v>248</v>
      </c>
      <c r="B1111" s="7" t="s">
        <v>51</v>
      </c>
      <c r="C1111" s="7">
        <v>1</v>
      </c>
      <c r="D1111" s="7">
        <v>2</v>
      </c>
      <c r="E1111" s="7" t="s">
        <v>31</v>
      </c>
      <c r="J1111">
        <f t="shared" si="104"/>
        <v>63.617251162500004</v>
      </c>
      <c r="K1111">
        <v>5.31</v>
      </c>
      <c r="M1111">
        <f t="shared" si="106"/>
        <v>0</v>
      </c>
      <c r="N1111">
        <f t="shared" si="107"/>
        <v>-5.31</v>
      </c>
    </row>
    <row r="1112" spans="1:14" x14ac:dyDescent="0.3">
      <c r="A1112" t="s">
        <v>248</v>
      </c>
      <c r="B1112" s="7" t="s">
        <v>51</v>
      </c>
      <c r="C1112" s="7">
        <v>1</v>
      </c>
      <c r="D1112" s="7">
        <v>6</v>
      </c>
      <c r="E1112" s="7" t="s">
        <v>64</v>
      </c>
      <c r="J1112">
        <f t="shared" si="104"/>
        <v>63.617251162500004</v>
      </c>
      <c r="K1112">
        <v>5.31</v>
      </c>
      <c r="M1112">
        <f t="shared" si="106"/>
        <v>0</v>
      </c>
      <c r="N1112">
        <f t="shared" si="107"/>
        <v>-5.31</v>
      </c>
    </row>
    <row r="1113" spans="1:14" x14ac:dyDescent="0.3">
      <c r="A1113" t="s">
        <v>248</v>
      </c>
      <c r="B1113" s="7" t="s">
        <v>51</v>
      </c>
      <c r="C1113" s="7">
        <v>1</v>
      </c>
      <c r="D1113" s="7">
        <v>6</v>
      </c>
      <c r="E1113" s="7" t="s">
        <v>30</v>
      </c>
      <c r="J1113">
        <f t="shared" si="104"/>
        <v>63.617251162500004</v>
      </c>
      <c r="K1113">
        <v>5.31</v>
      </c>
      <c r="M1113">
        <f t="shared" si="106"/>
        <v>0</v>
      </c>
      <c r="N1113">
        <f t="shared" si="107"/>
        <v>-5.31</v>
      </c>
    </row>
    <row r="1114" spans="1:14" x14ac:dyDescent="0.3">
      <c r="A1114" t="s">
        <v>248</v>
      </c>
      <c r="B1114" s="7" t="s">
        <v>51</v>
      </c>
      <c r="C1114" s="7">
        <v>1</v>
      </c>
      <c r="D1114" s="7">
        <v>6</v>
      </c>
      <c r="E1114" s="7" t="s">
        <v>31</v>
      </c>
      <c r="J1114">
        <f t="shared" si="104"/>
        <v>63.617251162500004</v>
      </c>
      <c r="K1114">
        <v>5.31</v>
      </c>
      <c r="M1114">
        <f t="shared" si="106"/>
        <v>0</v>
      </c>
      <c r="N1114">
        <f t="shared" si="107"/>
        <v>-5.31</v>
      </c>
    </row>
    <row r="1115" spans="1:14" x14ac:dyDescent="0.3">
      <c r="A1115" t="s">
        <v>248</v>
      </c>
      <c r="B1115" t="s">
        <v>51</v>
      </c>
      <c r="C1115">
        <v>1</v>
      </c>
      <c r="D1115">
        <v>12</v>
      </c>
      <c r="E1115" t="s">
        <v>64</v>
      </c>
      <c r="J1115">
        <f t="shared" si="104"/>
        <v>63.617251162500004</v>
      </c>
      <c r="K1115">
        <v>5.31</v>
      </c>
      <c r="M1115">
        <f t="shared" si="106"/>
        <v>0</v>
      </c>
      <c r="N1115">
        <f t="shared" si="107"/>
        <v>-5.31</v>
      </c>
    </row>
    <row r="1116" spans="1:14" x14ac:dyDescent="0.3">
      <c r="A1116" t="s">
        <v>248</v>
      </c>
      <c r="B1116" t="s">
        <v>51</v>
      </c>
      <c r="C1116">
        <v>1</v>
      </c>
      <c r="D1116">
        <v>12</v>
      </c>
      <c r="E1116" t="s">
        <v>30</v>
      </c>
      <c r="J1116">
        <f t="shared" si="104"/>
        <v>63.617251162500004</v>
      </c>
      <c r="K1116">
        <v>5.31</v>
      </c>
      <c r="M1116">
        <f t="shared" si="106"/>
        <v>0</v>
      </c>
      <c r="N1116">
        <f t="shared" si="107"/>
        <v>-5.31</v>
      </c>
    </row>
    <row r="1117" spans="1:14" x14ac:dyDescent="0.3">
      <c r="A1117" t="s">
        <v>248</v>
      </c>
      <c r="B1117" t="s">
        <v>51</v>
      </c>
      <c r="C1117">
        <v>1</v>
      </c>
      <c r="D1117">
        <v>12</v>
      </c>
      <c r="E1117" t="s">
        <v>31</v>
      </c>
      <c r="J1117">
        <f t="shared" si="104"/>
        <v>63.617251162500004</v>
      </c>
      <c r="K1117">
        <v>5.31</v>
      </c>
      <c r="M1117">
        <f t="shared" si="106"/>
        <v>0</v>
      </c>
      <c r="N1117">
        <f t="shared" si="107"/>
        <v>-5.31</v>
      </c>
    </row>
    <row r="1118" spans="1:14" x14ac:dyDescent="0.3">
      <c r="A1118" t="s">
        <v>248</v>
      </c>
      <c r="B1118" t="s">
        <v>51</v>
      </c>
      <c r="C1118">
        <v>1</v>
      </c>
      <c r="D1118">
        <v>18</v>
      </c>
      <c r="E1118" t="s">
        <v>64</v>
      </c>
      <c r="J1118">
        <f t="shared" si="104"/>
        <v>63.617251162500004</v>
      </c>
      <c r="K1118">
        <v>5.31</v>
      </c>
      <c r="M1118">
        <f t="shared" si="106"/>
        <v>0</v>
      </c>
      <c r="N1118">
        <f t="shared" si="107"/>
        <v>-5.31</v>
      </c>
    </row>
    <row r="1119" spans="1:14" x14ac:dyDescent="0.3">
      <c r="A1119" t="s">
        <v>248</v>
      </c>
      <c r="B1119" t="s">
        <v>51</v>
      </c>
      <c r="C1119">
        <v>1</v>
      </c>
      <c r="D1119">
        <v>18</v>
      </c>
      <c r="E1119" t="s">
        <v>30</v>
      </c>
      <c r="J1119">
        <f t="shared" si="104"/>
        <v>63.617251162500004</v>
      </c>
      <c r="K1119">
        <v>5.31</v>
      </c>
      <c r="M1119">
        <f t="shared" si="106"/>
        <v>0</v>
      </c>
      <c r="N1119">
        <f t="shared" si="107"/>
        <v>-5.31</v>
      </c>
    </row>
    <row r="1120" spans="1:14" x14ac:dyDescent="0.3">
      <c r="A1120" t="s">
        <v>248</v>
      </c>
      <c r="B1120" t="s">
        <v>51</v>
      </c>
      <c r="C1120">
        <v>1</v>
      </c>
      <c r="D1120">
        <v>18</v>
      </c>
      <c r="E1120" t="s">
        <v>31</v>
      </c>
      <c r="J1120">
        <f t="shared" si="104"/>
        <v>63.617251162500004</v>
      </c>
      <c r="K1120">
        <v>5.31</v>
      </c>
      <c r="M1120">
        <f t="shared" si="106"/>
        <v>0</v>
      </c>
      <c r="N1120">
        <f t="shared" si="107"/>
        <v>-5.31</v>
      </c>
    </row>
    <row r="1121" spans="1:14" x14ac:dyDescent="0.3">
      <c r="A1121" t="s">
        <v>248</v>
      </c>
      <c r="B1121" t="s">
        <v>51</v>
      </c>
      <c r="C1121">
        <v>1</v>
      </c>
      <c r="D1121">
        <v>24</v>
      </c>
      <c r="E1121" t="s">
        <v>28</v>
      </c>
      <c r="J1121">
        <f t="shared" si="104"/>
        <v>63.617251162500004</v>
      </c>
      <c r="K1121">
        <v>5.31</v>
      </c>
      <c r="M1121">
        <f t="shared" si="106"/>
        <v>0</v>
      </c>
      <c r="N1121">
        <f t="shared" si="107"/>
        <v>-5.31</v>
      </c>
    </row>
    <row r="1122" spans="1:14" x14ac:dyDescent="0.3">
      <c r="A1122" t="s">
        <v>248</v>
      </c>
      <c r="B1122" t="s">
        <v>51</v>
      </c>
      <c r="C1122">
        <v>1</v>
      </c>
      <c r="D1122">
        <v>24</v>
      </c>
      <c r="E1122" t="s">
        <v>30</v>
      </c>
      <c r="J1122">
        <f t="shared" si="104"/>
        <v>63.617251162500004</v>
      </c>
      <c r="K1122">
        <v>5.31</v>
      </c>
      <c r="M1122">
        <f t="shared" si="106"/>
        <v>0</v>
      </c>
      <c r="N1122">
        <f t="shared" si="107"/>
        <v>-5.31</v>
      </c>
    </row>
    <row r="1123" spans="1:14" x14ac:dyDescent="0.3">
      <c r="A1123" t="s">
        <v>248</v>
      </c>
      <c r="B1123" s="7" t="s">
        <v>51</v>
      </c>
      <c r="C1123" s="7">
        <v>1</v>
      </c>
      <c r="D1123" s="7">
        <v>24</v>
      </c>
      <c r="E1123" s="7" t="s">
        <v>31</v>
      </c>
      <c r="J1123">
        <f t="shared" si="104"/>
        <v>63.617251162500004</v>
      </c>
      <c r="K1123">
        <v>5.31</v>
      </c>
      <c r="M1123">
        <f t="shared" si="106"/>
        <v>0</v>
      </c>
      <c r="N1123">
        <f t="shared" si="107"/>
        <v>-5.31</v>
      </c>
    </row>
    <row r="1124" spans="1:14" x14ac:dyDescent="0.3">
      <c r="A1124" t="s">
        <v>248</v>
      </c>
      <c r="B1124" t="s">
        <v>51</v>
      </c>
      <c r="C1124">
        <v>1</v>
      </c>
      <c r="D1124">
        <v>48</v>
      </c>
      <c r="E1124" t="s">
        <v>64</v>
      </c>
      <c r="J1124">
        <f t="shared" si="104"/>
        <v>63.617251162500004</v>
      </c>
      <c r="K1124">
        <v>5.31</v>
      </c>
      <c r="M1124">
        <f t="shared" si="106"/>
        <v>0</v>
      </c>
      <c r="N1124">
        <f t="shared" si="107"/>
        <v>-5.31</v>
      </c>
    </row>
    <row r="1125" spans="1:14" x14ac:dyDescent="0.3">
      <c r="A1125" t="s">
        <v>248</v>
      </c>
      <c r="B1125" t="s">
        <v>51</v>
      </c>
      <c r="C1125">
        <v>1</v>
      </c>
      <c r="D1125">
        <v>48</v>
      </c>
      <c r="E1125" t="s">
        <v>30</v>
      </c>
      <c r="J1125">
        <f t="shared" si="104"/>
        <v>63.617251162500004</v>
      </c>
      <c r="K1125">
        <v>5.31</v>
      </c>
      <c r="M1125">
        <f t="shared" si="106"/>
        <v>0</v>
      </c>
      <c r="N1125">
        <f t="shared" si="107"/>
        <v>-5.31</v>
      </c>
    </row>
    <row r="1126" spans="1:14" x14ac:dyDescent="0.3">
      <c r="A1126" t="s">
        <v>248</v>
      </c>
      <c r="B1126" t="s">
        <v>51</v>
      </c>
      <c r="C1126">
        <v>1</v>
      </c>
      <c r="D1126">
        <v>48</v>
      </c>
      <c r="E1126" t="s">
        <v>31</v>
      </c>
      <c r="J1126">
        <f t="shared" si="104"/>
        <v>63.617251162500004</v>
      </c>
      <c r="K1126">
        <v>5.31</v>
      </c>
      <c r="M1126">
        <f t="shared" si="106"/>
        <v>0</v>
      </c>
      <c r="N1126">
        <f t="shared" si="107"/>
        <v>-5.31</v>
      </c>
    </row>
    <row r="1127" spans="1:14" x14ac:dyDescent="0.3">
      <c r="A1127" t="s">
        <v>248</v>
      </c>
      <c r="B1127" t="s">
        <v>51</v>
      </c>
      <c r="C1127">
        <v>2</v>
      </c>
      <c r="D1127">
        <v>0.5</v>
      </c>
      <c r="E1127" t="s">
        <v>64</v>
      </c>
      <c r="J1127">
        <f t="shared" si="104"/>
        <v>63.617251162500004</v>
      </c>
      <c r="K1127">
        <v>5.31</v>
      </c>
      <c r="M1127">
        <f t="shared" si="106"/>
        <v>0</v>
      </c>
      <c r="N1127">
        <f t="shared" si="107"/>
        <v>-5.31</v>
      </c>
    </row>
    <row r="1128" spans="1:14" x14ac:dyDescent="0.3">
      <c r="A1128" t="s">
        <v>248</v>
      </c>
      <c r="B1128" t="s">
        <v>51</v>
      </c>
      <c r="C1128">
        <v>2</v>
      </c>
      <c r="D1128">
        <v>0.5</v>
      </c>
      <c r="E1128" t="s">
        <v>30</v>
      </c>
      <c r="J1128">
        <f t="shared" si="104"/>
        <v>63.617251162500004</v>
      </c>
      <c r="K1128">
        <v>5.31</v>
      </c>
      <c r="M1128">
        <f t="shared" si="106"/>
        <v>0</v>
      </c>
      <c r="N1128">
        <f t="shared" si="107"/>
        <v>-5.31</v>
      </c>
    </row>
    <row r="1129" spans="1:14" x14ac:dyDescent="0.3">
      <c r="A1129" t="s">
        <v>248</v>
      </c>
      <c r="B1129" t="s">
        <v>51</v>
      </c>
      <c r="C1129">
        <v>2</v>
      </c>
      <c r="D1129">
        <v>0.5</v>
      </c>
      <c r="E1129" t="s">
        <v>31</v>
      </c>
      <c r="J1129">
        <f t="shared" si="104"/>
        <v>63.617251162500004</v>
      </c>
      <c r="K1129">
        <v>5.31</v>
      </c>
      <c r="M1129">
        <f t="shared" si="106"/>
        <v>0</v>
      </c>
      <c r="N1129">
        <f t="shared" si="107"/>
        <v>-5.31</v>
      </c>
    </row>
    <row r="1130" spans="1:14" x14ac:dyDescent="0.3">
      <c r="A1130" t="s">
        <v>248</v>
      </c>
      <c r="B1130" s="7" t="s">
        <v>51</v>
      </c>
      <c r="C1130" s="7">
        <v>2</v>
      </c>
      <c r="D1130" s="7">
        <v>2</v>
      </c>
      <c r="E1130" s="7" t="s">
        <v>64</v>
      </c>
      <c r="J1130">
        <f t="shared" si="104"/>
        <v>63.617251162500004</v>
      </c>
      <c r="K1130">
        <v>5.31</v>
      </c>
      <c r="M1130">
        <f t="shared" si="106"/>
        <v>0</v>
      </c>
      <c r="N1130">
        <f t="shared" si="107"/>
        <v>-5.31</v>
      </c>
    </row>
    <row r="1131" spans="1:14" x14ac:dyDescent="0.3">
      <c r="A1131" t="s">
        <v>248</v>
      </c>
      <c r="B1131" s="7" t="s">
        <v>51</v>
      </c>
      <c r="C1131" s="7">
        <v>2</v>
      </c>
      <c r="D1131" s="7">
        <v>2</v>
      </c>
      <c r="E1131" s="7" t="s">
        <v>30</v>
      </c>
      <c r="J1131">
        <f t="shared" si="104"/>
        <v>63.617251162500004</v>
      </c>
      <c r="K1131">
        <v>5.31</v>
      </c>
      <c r="M1131">
        <f t="shared" si="106"/>
        <v>0</v>
      </c>
      <c r="N1131">
        <f t="shared" si="107"/>
        <v>-5.31</v>
      </c>
    </row>
    <row r="1132" spans="1:14" x14ac:dyDescent="0.3">
      <c r="A1132" t="s">
        <v>248</v>
      </c>
      <c r="B1132" s="7" t="s">
        <v>51</v>
      </c>
      <c r="C1132" s="7">
        <v>2</v>
      </c>
      <c r="D1132" s="7">
        <v>2</v>
      </c>
      <c r="E1132" s="7" t="s">
        <v>31</v>
      </c>
      <c r="J1132">
        <f t="shared" ref="J1132:J1195" si="108">4.5*4.5*3.14159265</f>
        <v>63.617251162500004</v>
      </c>
      <c r="K1132">
        <v>5.31</v>
      </c>
      <c r="M1132">
        <f t="shared" si="106"/>
        <v>0</v>
      </c>
      <c r="N1132">
        <f t="shared" si="107"/>
        <v>-5.31</v>
      </c>
    </row>
    <row r="1133" spans="1:14" x14ac:dyDescent="0.3">
      <c r="A1133" t="s">
        <v>248</v>
      </c>
      <c r="B1133" s="7" t="s">
        <v>51</v>
      </c>
      <c r="C1133" s="7">
        <v>2</v>
      </c>
      <c r="D1133" s="7">
        <v>6</v>
      </c>
      <c r="E1133" s="7" t="s">
        <v>64</v>
      </c>
      <c r="J1133">
        <f t="shared" si="108"/>
        <v>63.617251162500004</v>
      </c>
      <c r="K1133">
        <v>5.31</v>
      </c>
      <c r="M1133">
        <f t="shared" si="106"/>
        <v>0</v>
      </c>
      <c r="N1133">
        <f t="shared" ref="N1133:N1196" si="109">L1133*J1133-K1133</f>
        <v>-5.31</v>
      </c>
    </row>
    <row r="1134" spans="1:14" x14ac:dyDescent="0.3">
      <c r="A1134" t="s">
        <v>248</v>
      </c>
      <c r="B1134" s="7" t="s">
        <v>51</v>
      </c>
      <c r="C1134" s="7">
        <v>2</v>
      </c>
      <c r="D1134" s="7">
        <v>6</v>
      </c>
      <c r="E1134" s="7" t="s">
        <v>30</v>
      </c>
      <c r="J1134">
        <f t="shared" si="108"/>
        <v>63.617251162500004</v>
      </c>
      <c r="K1134">
        <v>5.31</v>
      </c>
      <c r="M1134">
        <f t="shared" si="106"/>
        <v>0</v>
      </c>
      <c r="N1134">
        <f t="shared" si="109"/>
        <v>-5.31</v>
      </c>
    </row>
    <row r="1135" spans="1:14" x14ac:dyDescent="0.3">
      <c r="A1135" t="s">
        <v>248</v>
      </c>
      <c r="B1135" s="7" t="s">
        <v>51</v>
      </c>
      <c r="C1135" s="7">
        <v>2</v>
      </c>
      <c r="D1135" s="7">
        <v>6</v>
      </c>
      <c r="E1135" s="7" t="s">
        <v>31</v>
      </c>
      <c r="J1135">
        <f t="shared" si="108"/>
        <v>63.617251162500004</v>
      </c>
      <c r="K1135">
        <v>5.31</v>
      </c>
      <c r="M1135">
        <f t="shared" si="106"/>
        <v>0</v>
      </c>
      <c r="N1135">
        <f t="shared" si="109"/>
        <v>-5.31</v>
      </c>
    </row>
    <row r="1136" spans="1:14" x14ac:dyDescent="0.3">
      <c r="A1136" t="s">
        <v>248</v>
      </c>
      <c r="B1136" t="s">
        <v>51</v>
      </c>
      <c r="C1136">
        <v>2</v>
      </c>
      <c r="D1136">
        <v>12</v>
      </c>
      <c r="E1136" t="s">
        <v>64</v>
      </c>
      <c r="J1136">
        <f t="shared" si="108"/>
        <v>63.617251162500004</v>
      </c>
      <c r="K1136">
        <v>5.31</v>
      </c>
      <c r="M1136">
        <f t="shared" si="106"/>
        <v>0</v>
      </c>
      <c r="N1136">
        <f t="shared" si="109"/>
        <v>-5.31</v>
      </c>
    </row>
    <row r="1137" spans="1:14" x14ac:dyDescent="0.3">
      <c r="A1137" t="s">
        <v>248</v>
      </c>
      <c r="B1137" t="s">
        <v>51</v>
      </c>
      <c r="C1137">
        <v>2</v>
      </c>
      <c r="D1137">
        <v>12</v>
      </c>
      <c r="E1137" t="s">
        <v>30</v>
      </c>
      <c r="J1137">
        <f t="shared" si="108"/>
        <v>63.617251162500004</v>
      </c>
      <c r="K1137">
        <v>5.31</v>
      </c>
      <c r="M1137">
        <f t="shared" si="106"/>
        <v>0</v>
      </c>
      <c r="N1137">
        <f t="shared" si="109"/>
        <v>-5.31</v>
      </c>
    </row>
    <row r="1138" spans="1:14" x14ac:dyDescent="0.3">
      <c r="A1138" t="s">
        <v>248</v>
      </c>
      <c r="B1138" t="s">
        <v>51</v>
      </c>
      <c r="C1138">
        <v>2</v>
      </c>
      <c r="D1138">
        <v>12</v>
      </c>
      <c r="E1138" t="s">
        <v>31</v>
      </c>
      <c r="J1138">
        <f t="shared" si="108"/>
        <v>63.617251162500004</v>
      </c>
      <c r="K1138">
        <v>5.31</v>
      </c>
      <c r="M1138">
        <f t="shared" si="106"/>
        <v>0</v>
      </c>
      <c r="N1138">
        <f t="shared" si="109"/>
        <v>-5.31</v>
      </c>
    </row>
    <row r="1139" spans="1:14" x14ac:dyDescent="0.3">
      <c r="A1139" t="s">
        <v>248</v>
      </c>
      <c r="B1139" t="s">
        <v>51</v>
      </c>
      <c r="C1139">
        <v>2</v>
      </c>
      <c r="D1139">
        <v>18</v>
      </c>
      <c r="E1139" t="s">
        <v>64</v>
      </c>
      <c r="J1139">
        <f t="shared" si="108"/>
        <v>63.617251162500004</v>
      </c>
      <c r="K1139">
        <v>5.31</v>
      </c>
      <c r="M1139">
        <f t="shared" si="106"/>
        <v>0</v>
      </c>
      <c r="N1139">
        <f t="shared" si="109"/>
        <v>-5.31</v>
      </c>
    </row>
    <row r="1140" spans="1:14" x14ac:dyDescent="0.3">
      <c r="A1140" t="s">
        <v>248</v>
      </c>
      <c r="B1140" t="s">
        <v>51</v>
      </c>
      <c r="C1140">
        <v>2</v>
      </c>
      <c r="D1140">
        <v>18</v>
      </c>
      <c r="E1140" t="s">
        <v>30</v>
      </c>
      <c r="J1140">
        <f t="shared" si="108"/>
        <v>63.617251162500004</v>
      </c>
      <c r="K1140">
        <v>5.31</v>
      </c>
      <c r="M1140">
        <f t="shared" si="106"/>
        <v>0</v>
      </c>
      <c r="N1140">
        <f t="shared" si="109"/>
        <v>-5.31</v>
      </c>
    </row>
    <row r="1141" spans="1:14" x14ac:dyDescent="0.3">
      <c r="A1141" t="s">
        <v>248</v>
      </c>
      <c r="B1141" t="s">
        <v>51</v>
      </c>
      <c r="C1141">
        <v>2</v>
      </c>
      <c r="D1141">
        <v>18</v>
      </c>
      <c r="E1141" t="s">
        <v>31</v>
      </c>
      <c r="J1141">
        <f t="shared" si="108"/>
        <v>63.617251162500004</v>
      </c>
      <c r="K1141">
        <v>5.31</v>
      </c>
      <c r="M1141">
        <f t="shared" si="106"/>
        <v>0</v>
      </c>
      <c r="N1141">
        <f t="shared" si="109"/>
        <v>-5.31</v>
      </c>
    </row>
    <row r="1142" spans="1:14" x14ac:dyDescent="0.3">
      <c r="A1142" t="s">
        <v>248</v>
      </c>
      <c r="B1142" t="s">
        <v>51</v>
      </c>
      <c r="C1142">
        <v>2</v>
      </c>
      <c r="D1142">
        <v>24</v>
      </c>
      <c r="E1142" t="s">
        <v>28</v>
      </c>
      <c r="J1142">
        <f t="shared" si="108"/>
        <v>63.617251162500004</v>
      </c>
      <c r="K1142">
        <v>5.31</v>
      </c>
      <c r="M1142">
        <f t="shared" si="106"/>
        <v>0</v>
      </c>
      <c r="N1142">
        <f t="shared" si="109"/>
        <v>-5.31</v>
      </c>
    </row>
    <row r="1143" spans="1:14" x14ac:dyDescent="0.3">
      <c r="A1143" t="s">
        <v>248</v>
      </c>
      <c r="B1143" t="s">
        <v>51</v>
      </c>
      <c r="C1143">
        <v>2</v>
      </c>
      <c r="D1143">
        <v>24</v>
      </c>
      <c r="E1143" t="s">
        <v>30</v>
      </c>
      <c r="J1143">
        <f t="shared" si="108"/>
        <v>63.617251162500004</v>
      </c>
      <c r="K1143">
        <v>5.31</v>
      </c>
      <c r="M1143">
        <f t="shared" si="106"/>
        <v>0</v>
      </c>
      <c r="N1143">
        <f t="shared" si="109"/>
        <v>-5.31</v>
      </c>
    </row>
    <row r="1144" spans="1:14" x14ac:dyDescent="0.3">
      <c r="A1144" t="s">
        <v>248</v>
      </c>
      <c r="B1144" t="s">
        <v>51</v>
      </c>
      <c r="C1144">
        <v>2</v>
      </c>
      <c r="D1144">
        <v>24</v>
      </c>
      <c r="E1144" t="s">
        <v>31</v>
      </c>
      <c r="J1144">
        <f t="shared" si="108"/>
        <v>63.617251162500004</v>
      </c>
      <c r="K1144">
        <v>5.31</v>
      </c>
      <c r="M1144">
        <f t="shared" si="106"/>
        <v>0</v>
      </c>
      <c r="N1144">
        <f t="shared" si="109"/>
        <v>-5.31</v>
      </c>
    </row>
    <row r="1145" spans="1:14" x14ac:dyDescent="0.3">
      <c r="A1145" t="s">
        <v>248</v>
      </c>
      <c r="B1145" t="s">
        <v>51</v>
      </c>
      <c r="C1145">
        <v>2</v>
      </c>
      <c r="D1145">
        <v>48</v>
      </c>
      <c r="E1145" t="s">
        <v>64</v>
      </c>
      <c r="J1145">
        <f t="shared" si="108"/>
        <v>63.617251162500004</v>
      </c>
      <c r="K1145">
        <v>5.31</v>
      </c>
      <c r="M1145">
        <f t="shared" si="106"/>
        <v>0</v>
      </c>
      <c r="N1145">
        <f t="shared" si="109"/>
        <v>-5.31</v>
      </c>
    </row>
    <row r="1146" spans="1:14" x14ac:dyDescent="0.3">
      <c r="A1146" t="s">
        <v>248</v>
      </c>
      <c r="B1146" t="s">
        <v>51</v>
      </c>
      <c r="C1146">
        <v>2</v>
      </c>
      <c r="D1146">
        <v>48</v>
      </c>
      <c r="E1146" t="s">
        <v>30</v>
      </c>
      <c r="J1146">
        <f t="shared" si="108"/>
        <v>63.617251162500004</v>
      </c>
      <c r="K1146">
        <v>5.31</v>
      </c>
      <c r="M1146">
        <f t="shared" si="106"/>
        <v>0</v>
      </c>
      <c r="N1146">
        <f t="shared" si="109"/>
        <v>-5.31</v>
      </c>
    </row>
    <row r="1147" spans="1:14" x14ac:dyDescent="0.3">
      <c r="A1147" t="s">
        <v>248</v>
      </c>
      <c r="B1147" t="s">
        <v>51</v>
      </c>
      <c r="C1147">
        <v>2</v>
      </c>
      <c r="D1147">
        <v>48</v>
      </c>
      <c r="E1147" t="s">
        <v>31</v>
      </c>
      <c r="J1147">
        <f t="shared" si="108"/>
        <v>63.617251162500004</v>
      </c>
      <c r="K1147">
        <v>5.31</v>
      </c>
      <c r="M1147">
        <f t="shared" si="106"/>
        <v>0</v>
      </c>
      <c r="N1147">
        <f t="shared" si="109"/>
        <v>-5.31</v>
      </c>
    </row>
    <row r="1148" spans="1:14" x14ac:dyDescent="0.3">
      <c r="A1148" t="s">
        <v>248</v>
      </c>
      <c r="B1148" s="7" t="s">
        <v>51</v>
      </c>
      <c r="C1148" s="7"/>
      <c r="D1148" s="7"/>
      <c r="E1148" s="7" t="s">
        <v>67</v>
      </c>
      <c r="J1148">
        <f t="shared" si="108"/>
        <v>63.617251162500004</v>
      </c>
      <c r="K1148">
        <v>5.31</v>
      </c>
      <c r="M1148">
        <f t="shared" si="106"/>
        <v>0</v>
      </c>
      <c r="N1148">
        <f t="shared" si="109"/>
        <v>-5.31</v>
      </c>
    </row>
    <row r="1149" spans="1:14" x14ac:dyDescent="0.3">
      <c r="A1149" t="s">
        <v>248</v>
      </c>
      <c r="B1149" s="7" t="s">
        <v>51</v>
      </c>
      <c r="C1149" s="7"/>
      <c r="D1149" s="7"/>
      <c r="E1149" s="7" t="s">
        <v>68</v>
      </c>
      <c r="J1149">
        <f t="shared" si="108"/>
        <v>63.617251162500004</v>
      </c>
      <c r="K1149">
        <v>5.31</v>
      </c>
      <c r="M1149">
        <f t="shared" si="106"/>
        <v>0</v>
      </c>
      <c r="N1149">
        <f t="shared" si="109"/>
        <v>-5.31</v>
      </c>
    </row>
    <row r="1150" spans="1:14" x14ac:dyDescent="0.3">
      <c r="A1150" t="s">
        <v>248</v>
      </c>
      <c r="B1150" s="7" t="s">
        <v>51</v>
      </c>
      <c r="C1150" s="7"/>
      <c r="D1150" s="7"/>
      <c r="E1150" s="7" t="s">
        <v>69</v>
      </c>
      <c r="J1150">
        <f t="shared" si="108"/>
        <v>63.617251162500004</v>
      </c>
      <c r="K1150">
        <v>5.31</v>
      </c>
      <c r="M1150">
        <f t="shared" si="106"/>
        <v>0</v>
      </c>
      <c r="N1150">
        <f t="shared" si="109"/>
        <v>-5.31</v>
      </c>
    </row>
    <row r="1151" spans="1:14" x14ac:dyDescent="0.3">
      <c r="A1151" t="s">
        <v>248</v>
      </c>
      <c r="B1151" s="7" t="s">
        <v>51</v>
      </c>
      <c r="C1151" s="7"/>
      <c r="D1151" s="7"/>
      <c r="E1151" s="7" t="s">
        <v>70</v>
      </c>
      <c r="J1151">
        <f t="shared" si="108"/>
        <v>63.617251162500004</v>
      </c>
      <c r="K1151">
        <v>5.31</v>
      </c>
      <c r="M1151">
        <f t="shared" si="106"/>
        <v>0</v>
      </c>
      <c r="N1151">
        <f t="shared" si="109"/>
        <v>-5.31</v>
      </c>
    </row>
    <row r="1152" spans="1:14" x14ac:dyDescent="0.3">
      <c r="A1152" t="s">
        <v>248</v>
      </c>
      <c r="B1152" s="7" t="s">
        <v>54</v>
      </c>
      <c r="C1152" s="7">
        <v>1</v>
      </c>
      <c r="D1152" s="7">
        <v>0.5</v>
      </c>
      <c r="E1152" s="7" t="s">
        <v>64</v>
      </c>
      <c r="J1152">
        <f t="shared" si="108"/>
        <v>63.617251162500004</v>
      </c>
      <c r="K1152">
        <v>5.31</v>
      </c>
      <c r="M1152">
        <f t="shared" si="106"/>
        <v>0</v>
      </c>
      <c r="N1152">
        <f t="shared" si="109"/>
        <v>-5.31</v>
      </c>
    </row>
    <row r="1153" spans="1:14" x14ac:dyDescent="0.3">
      <c r="A1153" t="s">
        <v>248</v>
      </c>
      <c r="B1153" s="7" t="s">
        <v>54</v>
      </c>
      <c r="C1153" s="7">
        <v>1</v>
      </c>
      <c r="D1153" s="7">
        <v>0.5</v>
      </c>
      <c r="E1153" s="7" t="s">
        <v>30</v>
      </c>
      <c r="J1153">
        <f t="shared" si="108"/>
        <v>63.617251162500004</v>
      </c>
      <c r="K1153">
        <v>5.31</v>
      </c>
      <c r="M1153">
        <f t="shared" si="106"/>
        <v>0</v>
      </c>
      <c r="N1153">
        <f t="shared" si="109"/>
        <v>-5.31</v>
      </c>
    </row>
    <row r="1154" spans="1:14" x14ac:dyDescent="0.3">
      <c r="A1154" t="s">
        <v>248</v>
      </c>
      <c r="B1154" s="7" t="s">
        <v>54</v>
      </c>
      <c r="C1154" s="7">
        <v>1</v>
      </c>
      <c r="D1154" s="7">
        <v>0.5</v>
      </c>
      <c r="E1154" s="7" t="s">
        <v>31</v>
      </c>
      <c r="J1154">
        <f t="shared" si="108"/>
        <v>63.617251162500004</v>
      </c>
      <c r="K1154">
        <v>5.31</v>
      </c>
      <c r="M1154">
        <f t="shared" si="106"/>
        <v>0</v>
      </c>
      <c r="N1154">
        <f t="shared" si="109"/>
        <v>-5.31</v>
      </c>
    </row>
    <row r="1155" spans="1:14" x14ac:dyDescent="0.3">
      <c r="A1155" t="s">
        <v>248</v>
      </c>
      <c r="B1155" s="7" t="s">
        <v>54</v>
      </c>
      <c r="C1155" s="7">
        <v>1</v>
      </c>
      <c r="D1155" s="7">
        <v>2</v>
      </c>
      <c r="E1155" s="7" t="s">
        <v>64</v>
      </c>
      <c r="J1155">
        <f t="shared" si="108"/>
        <v>63.617251162500004</v>
      </c>
      <c r="K1155">
        <v>5.31</v>
      </c>
      <c r="M1155">
        <f t="shared" si="106"/>
        <v>0</v>
      </c>
      <c r="N1155">
        <f t="shared" si="109"/>
        <v>-5.31</v>
      </c>
    </row>
    <row r="1156" spans="1:14" x14ac:dyDescent="0.3">
      <c r="A1156" t="s">
        <v>248</v>
      </c>
      <c r="B1156" s="7" t="s">
        <v>54</v>
      </c>
      <c r="C1156" s="7">
        <v>1</v>
      </c>
      <c r="D1156" s="7">
        <v>2</v>
      </c>
      <c r="E1156" s="7" t="s">
        <v>30</v>
      </c>
      <c r="J1156">
        <f t="shared" si="108"/>
        <v>63.617251162500004</v>
      </c>
      <c r="K1156">
        <v>5.31</v>
      </c>
      <c r="M1156">
        <f t="shared" ref="M1156:M1219" si="110">L1156*F1156</f>
        <v>0</v>
      </c>
      <c r="N1156">
        <f t="shared" si="109"/>
        <v>-5.31</v>
      </c>
    </row>
    <row r="1157" spans="1:14" x14ac:dyDescent="0.3">
      <c r="A1157" t="s">
        <v>248</v>
      </c>
      <c r="B1157" s="7" t="s">
        <v>54</v>
      </c>
      <c r="C1157" s="7">
        <v>1</v>
      </c>
      <c r="D1157" s="7">
        <v>2</v>
      </c>
      <c r="E1157" s="7" t="s">
        <v>31</v>
      </c>
      <c r="J1157">
        <f t="shared" si="108"/>
        <v>63.617251162500004</v>
      </c>
      <c r="K1157">
        <v>5.31</v>
      </c>
      <c r="M1157">
        <f t="shared" si="110"/>
        <v>0</v>
      </c>
      <c r="N1157">
        <f t="shared" si="109"/>
        <v>-5.31</v>
      </c>
    </row>
    <row r="1158" spans="1:14" x14ac:dyDescent="0.3">
      <c r="A1158" t="s">
        <v>248</v>
      </c>
      <c r="B1158" s="7" t="s">
        <v>54</v>
      </c>
      <c r="C1158" s="7">
        <v>1</v>
      </c>
      <c r="D1158" s="7">
        <v>6</v>
      </c>
      <c r="E1158" s="7" t="s">
        <v>64</v>
      </c>
      <c r="J1158">
        <f t="shared" si="108"/>
        <v>63.617251162500004</v>
      </c>
      <c r="K1158">
        <v>5.31</v>
      </c>
      <c r="M1158">
        <f t="shared" si="110"/>
        <v>0</v>
      </c>
      <c r="N1158">
        <f t="shared" si="109"/>
        <v>-5.31</v>
      </c>
    </row>
    <row r="1159" spans="1:14" x14ac:dyDescent="0.3">
      <c r="A1159" t="s">
        <v>248</v>
      </c>
      <c r="B1159" s="7" t="s">
        <v>54</v>
      </c>
      <c r="C1159" s="7">
        <v>1</v>
      </c>
      <c r="D1159" s="7">
        <v>6</v>
      </c>
      <c r="E1159" s="7" t="s">
        <v>30</v>
      </c>
      <c r="J1159">
        <f t="shared" si="108"/>
        <v>63.617251162500004</v>
      </c>
      <c r="K1159">
        <v>5.31</v>
      </c>
      <c r="M1159">
        <f t="shared" si="110"/>
        <v>0</v>
      </c>
      <c r="N1159">
        <f t="shared" si="109"/>
        <v>-5.31</v>
      </c>
    </row>
    <row r="1160" spans="1:14" x14ac:dyDescent="0.3">
      <c r="A1160" t="s">
        <v>248</v>
      </c>
      <c r="B1160" s="7" t="s">
        <v>54</v>
      </c>
      <c r="C1160" s="7">
        <v>1</v>
      </c>
      <c r="D1160" s="7">
        <v>6</v>
      </c>
      <c r="E1160" s="7" t="s">
        <v>31</v>
      </c>
      <c r="J1160">
        <f t="shared" si="108"/>
        <v>63.617251162500004</v>
      </c>
      <c r="K1160">
        <v>5.31</v>
      </c>
      <c r="M1160">
        <f t="shared" si="110"/>
        <v>0</v>
      </c>
      <c r="N1160">
        <f t="shared" si="109"/>
        <v>-5.31</v>
      </c>
    </row>
    <row r="1161" spans="1:14" x14ac:dyDescent="0.3">
      <c r="A1161" t="s">
        <v>248</v>
      </c>
      <c r="B1161" s="7" t="s">
        <v>54</v>
      </c>
      <c r="C1161" s="7">
        <v>1</v>
      </c>
      <c r="D1161" s="7">
        <v>12</v>
      </c>
      <c r="E1161" s="7" t="s">
        <v>64</v>
      </c>
      <c r="J1161">
        <f t="shared" si="108"/>
        <v>63.617251162500004</v>
      </c>
      <c r="K1161">
        <v>5.31</v>
      </c>
      <c r="M1161">
        <f t="shared" si="110"/>
        <v>0</v>
      </c>
      <c r="N1161">
        <f t="shared" si="109"/>
        <v>-5.31</v>
      </c>
    </row>
    <row r="1162" spans="1:14" x14ac:dyDescent="0.3">
      <c r="A1162" t="s">
        <v>248</v>
      </c>
      <c r="B1162" s="7" t="s">
        <v>54</v>
      </c>
      <c r="C1162" s="7">
        <v>1</v>
      </c>
      <c r="D1162" s="7">
        <v>12</v>
      </c>
      <c r="E1162" s="7" t="s">
        <v>30</v>
      </c>
      <c r="J1162">
        <f t="shared" si="108"/>
        <v>63.617251162500004</v>
      </c>
      <c r="K1162">
        <v>5.31</v>
      </c>
      <c r="M1162">
        <f t="shared" si="110"/>
        <v>0</v>
      </c>
      <c r="N1162">
        <f t="shared" si="109"/>
        <v>-5.31</v>
      </c>
    </row>
    <row r="1163" spans="1:14" x14ac:dyDescent="0.3">
      <c r="A1163" t="s">
        <v>248</v>
      </c>
      <c r="B1163" s="7" t="s">
        <v>54</v>
      </c>
      <c r="C1163" s="7">
        <v>1</v>
      </c>
      <c r="D1163" s="7">
        <v>12</v>
      </c>
      <c r="E1163" s="7" t="s">
        <v>31</v>
      </c>
      <c r="J1163">
        <f t="shared" si="108"/>
        <v>63.617251162500004</v>
      </c>
      <c r="K1163">
        <v>5.31</v>
      </c>
      <c r="M1163">
        <f t="shared" si="110"/>
        <v>0</v>
      </c>
      <c r="N1163">
        <f t="shared" si="109"/>
        <v>-5.31</v>
      </c>
    </row>
    <row r="1164" spans="1:14" x14ac:dyDescent="0.3">
      <c r="A1164" t="s">
        <v>248</v>
      </c>
      <c r="B1164" s="7" t="s">
        <v>54</v>
      </c>
      <c r="C1164" s="7">
        <v>1</v>
      </c>
      <c r="D1164" s="7">
        <v>18</v>
      </c>
      <c r="E1164" s="7" t="s">
        <v>64</v>
      </c>
      <c r="J1164">
        <f t="shared" si="108"/>
        <v>63.617251162500004</v>
      </c>
      <c r="K1164">
        <v>5.31</v>
      </c>
      <c r="M1164">
        <f t="shared" si="110"/>
        <v>0</v>
      </c>
      <c r="N1164">
        <f t="shared" si="109"/>
        <v>-5.31</v>
      </c>
    </row>
    <row r="1165" spans="1:14" x14ac:dyDescent="0.3">
      <c r="A1165" t="s">
        <v>248</v>
      </c>
      <c r="B1165" s="7" t="s">
        <v>54</v>
      </c>
      <c r="C1165" s="7">
        <v>1</v>
      </c>
      <c r="D1165" s="7">
        <v>18</v>
      </c>
      <c r="E1165" s="7" t="s">
        <v>30</v>
      </c>
      <c r="J1165">
        <f t="shared" si="108"/>
        <v>63.617251162500004</v>
      </c>
      <c r="K1165">
        <v>5.31</v>
      </c>
      <c r="M1165">
        <f t="shared" si="110"/>
        <v>0</v>
      </c>
      <c r="N1165">
        <f t="shared" si="109"/>
        <v>-5.31</v>
      </c>
    </row>
    <row r="1166" spans="1:14" x14ac:dyDescent="0.3">
      <c r="A1166" t="s">
        <v>248</v>
      </c>
      <c r="B1166" s="7" t="s">
        <v>54</v>
      </c>
      <c r="C1166" s="7">
        <v>1</v>
      </c>
      <c r="D1166" s="7">
        <v>18</v>
      </c>
      <c r="E1166" s="7" t="s">
        <v>31</v>
      </c>
      <c r="J1166">
        <f t="shared" si="108"/>
        <v>63.617251162500004</v>
      </c>
      <c r="K1166">
        <v>5.31</v>
      </c>
      <c r="M1166">
        <f t="shared" si="110"/>
        <v>0</v>
      </c>
      <c r="N1166">
        <f t="shared" si="109"/>
        <v>-5.31</v>
      </c>
    </row>
    <row r="1167" spans="1:14" x14ac:dyDescent="0.3">
      <c r="A1167" t="s">
        <v>248</v>
      </c>
      <c r="B1167" s="7" t="s">
        <v>54</v>
      </c>
      <c r="C1167" s="7">
        <v>1</v>
      </c>
      <c r="D1167" s="7">
        <v>24</v>
      </c>
      <c r="E1167" s="7" t="s">
        <v>28</v>
      </c>
      <c r="J1167">
        <f t="shared" si="108"/>
        <v>63.617251162500004</v>
      </c>
      <c r="K1167">
        <v>5.31</v>
      </c>
      <c r="M1167">
        <f t="shared" si="110"/>
        <v>0</v>
      </c>
      <c r="N1167">
        <f t="shared" si="109"/>
        <v>-5.31</v>
      </c>
    </row>
    <row r="1168" spans="1:14" x14ac:dyDescent="0.3">
      <c r="A1168" t="s">
        <v>248</v>
      </c>
      <c r="B1168" s="7" t="s">
        <v>54</v>
      </c>
      <c r="C1168" s="7">
        <v>1</v>
      </c>
      <c r="D1168" s="7">
        <v>24</v>
      </c>
      <c r="E1168" s="7" t="s">
        <v>30</v>
      </c>
      <c r="J1168">
        <f t="shared" si="108"/>
        <v>63.617251162500004</v>
      </c>
      <c r="K1168">
        <v>5.31</v>
      </c>
      <c r="M1168">
        <f t="shared" si="110"/>
        <v>0</v>
      </c>
      <c r="N1168">
        <f t="shared" si="109"/>
        <v>-5.31</v>
      </c>
    </row>
    <row r="1169" spans="1:14" x14ac:dyDescent="0.3">
      <c r="A1169" t="s">
        <v>248</v>
      </c>
      <c r="B1169" s="7" t="s">
        <v>54</v>
      </c>
      <c r="C1169" s="7">
        <v>1</v>
      </c>
      <c r="D1169" s="7">
        <v>24</v>
      </c>
      <c r="E1169" s="7" t="s">
        <v>31</v>
      </c>
      <c r="J1169">
        <f t="shared" si="108"/>
        <v>63.617251162500004</v>
      </c>
      <c r="K1169">
        <v>5.31</v>
      </c>
      <c r="M1169">
        <f t="shared" si="110"/>
        <v>0</v>
      </c>
      <c r="N1169">
        <f t="shared" si="109"/>
        <v>-5.31</v>
      </c>
    </row>
    <row r="1170" spans="1:14" x14ac:dyDescent="0.3">
      <c r="A1170" t="s">
        <v>248</v>
      </c>
      <c r="B1170" s="7" t="s">
        <v>54</v>
      </c>
      <c r="C1170" s="7">
        <v>1</v>
      </c>
      <c r="D1170" s="7">
        <v>48</v>
      </c>
      <c r="E1170" s="7" t="s">
        <v>64</v>
      </c>
      <c r="J1170">
        <f t="shared" si="108"/>
        <v>63.617251162500004</v>
      </c>
      <c r="K1170">
        <v>5.31</v>
      </c>
      <c r="M1170">
        <f t="shared" si="110"/>
        <v>0</v>
      </c>
      <c r="N1170">
        <f t="shared" si="109"/>
        <v>-5.31</v>
      </c>
    </row>
    <row r="1171" spans="1:14" x14ac:dyDescent="0.3">
      <c r="A1171" t="s">
        <v>248</v>
      </c>
      <c r="B1171" s="7" t="s">
        <v>54</v>
      </c>
      <c r="C1171" s="7">
        <v>1</v>
      </c>
      <c r="D1171" s="7">
        <v>48</v>
      </c>
      <c r="E1171" s="7" t="s">
        <v>30</v>
      </c>
      <c r="J1171">
        <f t="shared" si="108"/>
        <v>63.617251162500004</v>
      </c>
      <c r="K1171">
        <v>5.31</v>
      </c>
      <c r="M1171">
        <f t="shared" si="110"/>
        <v>0</v>
      </c>
      <c r="N1171">
        <f t="shared" si="109"/>
        <v>-5.31</v>
      </c>
    </row>
    <row r="1172" spans="1:14" x14ac:dyDescent="0.3">
      <c r="A1172" t="s">
        <v>248</v>
      </c>
      <c r="B1172" s="7" t="s">
        <v>54</v>
      </c>
      <c r="C1172" s="7">
        <v>1</v>
      </c>
      <c r="D1172" s="7">
        <v>48</v>
      </c>
      <c r="E1172" s="7" t="s">
        <v>31</v>
      </c>
      <c r="J1172">
        <f t="shared" si="108"/>
        <v>63.617251162500004</v>
      </c>
      <c r="K1172">
        <v>5.31</v>
      </c>
      <c r="M1172">
        <f t="shared" si="110"/>
        <v>0</v>
      </c>
      <c r="N1172">
        <f t="shared" si="109"/>
        <v>-5.31</v>
      </c>
    </row>
    <row r="1173" spans="1:14" x14ac:dyDescent="0.3">
      <c r="A1173" t="s">
        <v>248</v>
      </c>
      <c r="B1173" t="s">
        <v>54</v>
      </c>
      <c r="C1173">
        <v>2</v>
      </c>
      <c r="D1173">
        <v>0.5</v>
      </c>
      <c r="E1173" t="s">
        <v>64</v>
      </c>
      <c r="J1173">
        <f t="shared" si="108"/>
        <v>63.617251162500004</v>
      </c>
      <c r="K1173">
        <v>5.31</v>
      </c>
      <c r="M1173">
        <f t="shared" si="110"/>
        <v>0</v>
      </c>
      <c r="N1173">
        <f t="shared" si="109"/>
        <v>-5.31</v>
      </c>
    </row>
    <row r="1174" spans="1:14" x14ac:dyDescent="0.3">
      <c r="A1174" t="s">
        <v>248</v>
      </c>
      <c r="B1174" t="s">
        <v>54</v>
      </c>
      <c r="C1174">
        <v>2</v>
      </c>
      <c r="D1174">
        <v>0.5</v>
      </c>
      <c r="E1174" t="s">
        <v>30</v>
      </c>
      <c r="J1174">
        <f t="shared" si="108"/>
        <v>63.617251162500004</v>
      </c>
      <c r="K1174">
        <v>5.31</v>
      </c>
      <c r="M1174">
        <f t="shared" si="110"/>
        <v>0</v>
      </c>
      <c r="N1174">
        <f t="shared" si="109"/>
        <v>-5.31</v>
      </c>
    </row>
    <row r="1175" spans="1:14" x14ac:dyDescent="0.3">
      <c r="A1175" t="s">
        <v>248</v>
      </c>
      <c r="B1175" t="s">
        <v>54</v>
      </c>
      <c r="C1175">
        <v>2</v>
      </c>
      <c r="D1175">
        <v>0.5</v>
      </c>
      <c r="E1175" t="s">
        <v>31</v>
      </c>
      <c r="J1175">
        <f t="shared" si="108"/>
        <v>63.617251162500004</v>
      </c>
      <c r="K1175">
        <v>5.31</v>
      </c>
      <c r="M1175">
        <f t="shared" si="110"/>
        <v>0</v>
      </c>
      <c r="N1175">
        <f t="shared" si="109"/>
        <v>-5.31</v>
      </c>
    </row>
    <row r="1176" spans="1:14" x14ac:dyDescent="0.3">
      <c r="A1176" t="s">
        <v>248</v>
      </c>
      <c r="B1176" t="s">
        <v>54</v>
      </c>
      <c r="C1176">
        <v>2</v>
      </c>
      <c r="D1176">
        <v>2</v>
      </c>
      <c r="E1176" t="s">
        <v>64</v>
      </c>
      <c r="J1176">
        <f t="shared" si="108"/>
        <v>63.617251162500004</v>
      </c>
      <c r="K1176">
        <v>5.31</v>
      </c>
      <c r="M1176">
        <f t="shared" si="110"/>
        <v>0</v>
      </c>
      <c r="N1176">
        <f t="shared" si="109"/>
        <v>-5.31</v>
      </c>
    </row>
    <row r="1177" spans="1:14" x14ac:dyDescent="0.3">
      <c r="A1177" t="s">
        <v>248</v>
      </c>
      <c r="B1177" t="s">
        <v>54</v>
      </c>
      <c r="C1177">
        <v>2</v>
      </c>
      <c r="D1177">
        <v>2</v>
      </c>
      <c r="E1177" t="s">
        <v>30</v>
      </c>
      <c r="J1177">
        <f t="shared" si="108"/>
        <v>63.617251162500004</v>
      </c>
      <c r="K1177">
        <v>5.31</v>
      </c>
      <c r="M1177">
        <f t="shared" si="110"/>
        <v>0</v>
      </c>
      <c r="N1177">
        <f t="shared" si="109"/>
        <v>-5.31</v>
      </c>
    </row>
    <row r="1178" spans="1:14" x14ac:dyDescent="0.3">
      <c r="A1178" t="s">
        <v>248</v>
      </c>
      <c r="B1178" t="s">
        <v>54</v>
      </c>
      <c r="C1178">
        <v>2</v>
      </c>
      <c r="D1178">
        <v>2</v>
      </c>
      <c r="E1178" t="s">
        <v>31</v>
      </c>
      <c r="J1178">
        <f t="shared" si="108"/>
        <v>63.617251162500004</v>
      </c>
      <c r="K1178">
        <v>5.31</v>
      </c>
      <c r="M1178">
        <f t="shared" si="110"/>
        <v>0</v>
      </c>
      <c r="N1178">
        <f t="shared" si="109"/>
        <v>-5.31</v>
      </c>
    </row>
    <row r="1179" spans="1:14" x14ac:dyDescent="0.3">
      <c r="A1179" t="s">
        <v>248</v>
      </c>
      <c r="B1179" t="s">
        <v>54</v>
      </c>
      <c r="C1179">
        <v>2</v>
      </c>
      <c r="D1179">
        <v>6</v>
      </c>
      <c r="E1179" t="s">
        <v>64</v>
      </c>
      <c r="J1179">
        <f t="shared" si="108"/>
        <v>63.617251162500004</v>
      </c>
      <c r="K1179">
        <v>5.31</v>
      </c>
      <c r="M1179">
        <f t="shared" si="110"/>
        <v>0</v>
      </c>
      <c r="N1179">
        <f t="shared" si="109"/>
        <v>-5.31</v>
      </c>
    </row>
    <row r="1180" spans="1:14" x14ac:dyDescent="0.3">
      <c r="A1180" t="s">
        <v>248</v>
      </c>
      <c r="B1180" t="s">
        <v>54</v>
      </c>
      <c r="C1180">
        <v>2</v>
      </c>
      <c r="D1180">
        <v>6</v>
      </c>
      <c r="E1180" t="s">
        <v>30</v>
      </c>
      <c r="J1180">
        <f t="shared" si="108"/>
        <v>63.617251162500004</v>
      </c>
      <c r="K1180">
        <v>5.31</v>
      </c>
      <c r="M1180">
        <f t="shared" si="110"/>
        <v>0</v>
      </c>
      <c r="N1180">
        <f t="shared" si="109"/>
        <v>-5.31</v>
      </c>
    </row>
    <row r="1181" spans="1:14" x14ac:dyDescent="0.3">
      <c r="A1181" t="s">
        <v>248</v>
      </c>
      <c r="B1181" t="s">
        <v>54</v>
      </c>
      <c r="C1181">
        <v>2</v>
      </c>
      <c r="D1181">
        <v>6</v>
      </c>
      <c r="E1181" t="s">
        <v>31</v>
      </c>
      <c r="J1181">
        <f t="shared" si="108"/>
        <v>63.617251162500004</v>
      </c>
      <c r="K1181">
        <v>5.31</v>
      </c>
      <c r="M1181">
        <f t="shared" si="110"/>
        <v>0</v>
      </c>
      <c r="N1181">
        <f t="shared" si="109"/>
        <v>-5.31</v>
      </c>
    </row>
    <row r="1182" spans="1:14" x14ac:dyDescent="0.3">
      <c r="A1182" t="s">
        <v>248</v>
      </c>
      <c r="B1182" t="s">
        <v>54</v>
      </c>
      <c r="C1182">
        <v>2</v>
      </c>
      <c r="D1182">
        <v>12</v>
      </c>
      <c r="E1182" t="s">
        <v>64</v>
      </c>
      <c r="J1182">
        <f t="shared" si="108"/>
        <v>63.617251162500004</v>
      </c>
      <c r="K1182">
        <v>5.31</v>
      </c>
      <c r="M1182">
        <f t="shared" si="110"/>
        <v>0</v>
      </c>
      <c r="N1182">
        <f t="shared" si="109"/>
        <v>-5.31</v>
      </c>
    </row>
    <row r="1183" spans="1:14" x14ac:dyDescent="0.3">
      <c r="A1183" t="s">
        <v>248</v>
      </c>
      <c r="B1183" t="s">
        <v>54</v>
      </c>
      <c r="C1183">
        <v>2</v>
      </c>
      <c r="D1183">
        <v>12</v>
      </c>
      <c r="E1183" t="s">
        <v>30</v>
      </c>
      <c r="J1183">
        <f t="shared" si="108"/>
        <v>63.617251162500004</v>
      </c>
      <c r="K1183">
        <v>5.31</v>
      </c>
      <c r="M1183">
        <f t="shared" si="110"/>
        <v>0</v>
      </c>
      <c r="N1183">
        <f t="shared" si="109"/>
        <v>-5.31</v>
      </c>
    </row>
    <row r="1184" spans="1:14" x14ac:dyDescent="0.3">
      <c r="A1184" t="s">
        <v>248</v>
      </c>
      <c r="B1184" t="s">
        <v>54</v>
      </c>
      <c r="C1184">
        <v>2</v>
      </c>
      <c r="D1184">
        <v>12</v>
      </c>
      <c r="E1184" t="s">
        <v>31</v>
      </c>
      <c r="J1184">
        <f t="shared" si="108"/>
        <v>63.617251162500004</v>
      </c>
      <c r="K1184">
        <v>5.31</v>
      </c>
      <c r="M1184">
        <f t="shared" si="110"/>
        <v>0</v>
      </c>
      <c r="N1184">
        <f t="shared" si="109"/>
        <v>-5.31</v>
      </c>
    </row>
    <row r="1185" spans="1:14" x14ac:dyDescent="0.3">
      <c r="A1185" t="s">
        <v>248</v>
      </c>
      <c r="B1185" t="s">
        <v>54</v>
      </c>
      <c r="C1185">
        <v>2</v>
      </c>
      <c r="D1185">
        <v>18</v>
      </c>
      <c r="E1185" t="s">
        <v>64</v>
      </c>
      <c r="J1185">
        <f t="shared" si="108"/>
        <v>63.617251162500004</v>
      </c>
      <c r="K1185">
        <v>5.31</v>
      </c>
      <c r="M1185">
        <f t="shared" si="110"/>
        <v>0</v>
      </c>
      <c r="N1185">
        <f t="shared" si="109"/>
        <v>-5.31</v>
      </c>
    </row>
    <row r="1186" spans="1:14" x14ac:dyDescent="0.3">
      <c r="A1186" t="s">
        <v>248</v>
      </c>
      <c r="B1186" t="s">
        <v>54</v>
      </c>
      <c r="C1186">
        <v>2</v>
      </c>
      <c r="D1186">
        <v>18</v>
      </c>
      <c r="E1186" t="s">
        <v>30</v>
      </c>
      <c r="J1186">
        <f t="shared" si="108"/>
        <v>63.617251162500004</v>
      </c>
      <c r="K1186">
        <v>5.31</v>
      </c>
      <c r="M1186">
        <f t="shared" si="110"/>
        <v>0</v>
      </c>
      <c r="N1186">
        <f t="shared" si="109"/>
        <v>-5.31</v>
      </c>
    </row>
    <row r="1187" spans="1:14" x14ac:dyDescent="0.3">
      <c r="A1187" t="s">
        <v>248</v>
      </c>
      <c r="B1187" t="s">
        <v>54</v>
      </c>
      <c r="C1187">
        <v>2</v>
      </c>
      <c r="D1187">
        <v>18</v>
      </c>
      <c r="E1187" t="s">
        <v>31</v>
      </c>
      <c r="J1187">
        <f t="shared" si="108"/>
        <v>63.617251162500004</v>
      </c>
      <c r="K1187">
        <v>5.31</v>
      </c>
      <c r="M1187">
        <f t="shared" si="110"/>
        <v>0</v>
      </c>
      <c r="N1187">
        <f t="shared" si="109"/>
        <v>-5.31</v>
      </c>
    </row>
    <row r="1188" spans="1:14" x14ac:dyDescent="0.3">
      <c r="A1188" t="s">
        <v>248</v>
      </c>
      <c r="B1188" t="s">
        <v>54</v>
      </c>
      <c r="C1188">
        <v>2</v>
      </c>
      <c r="D1188">
        <v>24</v>
      </c>
      <c r="E1188" t="s">
        <v>28</v>
      </c>
      <c r="J1188">
        <f t="shared" si="108"/>
        <v>63.617251162500004</v>
      </c>
      <c r="K1188">
        <v>5.31</v>
      </c>
      <c r="M1188">
        <f t="shared" si="110"/>
        <v>0</v>
      </c>
      <c r="N1188">
        <f t="shared" si="109"/>
        <v>-5.31</v>
      </c>
    </row>
    <row r="1189" spans="1:14" x14ac:dyDescent="0.3">
      <c r="A1189" t="s">
        <v>248</v>
      </c>
      <c r="B1189" t="s">
        <v>54</v>
      </c>
      <c r="C1189">
        <v>2</v>
      </c>
      <c r="D1189">
        <v>24</v>
      </c>
      <c r="E1189" t="s">
        <v>30</v>
      </c>
      <c r="J1189">
        <f t="shared" si="108"/>
        <v>63.617251162500004</v>
      </c>
      <c r="K1189">
        <v>5.31</v>
      </c>
      <c r="M1189">
        <f t="shared" si="110"/>
        <v>0</v>
      </c>
      <c r="N1189">
        <f t="shared" si="109"/>
        <v>-5.31</v>
      </c>
    </row>
    <row r="1190" spans="1:14" x14ac:dyDescent="0.3">
      <c r="A1190" t="s">
        <v>248</v>
      </c>
      <c r="B1190" t="s">
        <v>54</v>
      </c>
      <c r="C1190">
        <v>2</v>
      </c>
      <c r="D1190">
        <v>24</v>
      </c>
      <c r="E1190" t="s">
        <v>31</v>
      </c>
      <c r="J1190">
        <f t="shared" si="108"/>
        <v>63.617251162500004</v>
      </c>
      <c r="K1190">
        <v>5.31</v>
      </c>
      <c r="M1190">
        <f t="shared" si="110"/>
        <v>0</v>
      </c>
      <c r="N1190">
        <f t="shared" si="109"/>
        <v>-5.31</v>
      </c>
    </row>
    <row r="1191" spans="1:14" x14ac:dyDescent="0.3">
      <c r="A1191" t="s">
        <v>248</v>
      </c>
      <c r="B1191" t="s">
        <v>54</v>
      </c>
      <c r="C1191">
        <v>2</v>
      </c>
      <c r="D1191">
        <v>48</v>
      </c>
      <c r="E1191" t="s">
        <v>64</v>
      </c>
      <c r="J1191">
        <f t="shared" si="108"/>
        <v>63.617251162500004</v>
      </c>
      <c r="K1191">
        <v>5.31</v>
      </c>
      <c r="M1191">
        <f t="shared" si="110"/>
        <v>0</v>
      </c>
      <c r="N1191">
        <f t="shared" si="109"/>
        <v>-5.31</v>
      </c>
    </row>
    <row r="1192" spans="1:14" x14ac:dyDescent="0.3">
      <c r="A1192" t="s">
        <v>248</v>
      </c>
      <c r="B1192" t="s">
        <v>54</v>
      </c>
      <c r="C1192">
        <v>2</v>
      </c>
      <c r="D1192">
        <v>48</v>
      </c>
      <c r="E1192" t="s">
        <v>30</v>
      </c>
      <c r="J1192">
        <f t="shared" si="108"/>
        <v>63.617251162500004</v>
      </c>
      <c r="K1192">
        <v>5.31</v>
      </c>
      <c r="M1192">
        <f t="shared" si="110"/>
        <v>0</v>
      </c>
      <c r="N1192">
        <f t="shared" si="109"/>
        <v>-5.31</v>
      </c>
    </row>
    <row r="1193" spans="1:14" x14ac:dyDescent="0.3">
      <c r="A1193" t="s">
        <v>248</v>
      </c>
      <c r="B1193" t="s">
        <v>54</v>
      </c>
      <c r="C1193">
        <v>2</v>
      </c>
      <c r="D1193">
        <v>48</v>
      </c>
      <c r="E1193" t="s">
        <v>31</v>
      </c>
      <c r="J1193">
        <f t="shared" si="108"/>
        <v>63.617251162500004</v>
      </c>
      <c r="K1193">
        <v>5.31</v>
      </c>
      <c r="M1193">
        <f t="shared" si="110"/>
        <v>0</v>
      </c>
      <c r="N1193">
        <f t="shared" si="109"/>
        <v>-5.31</v>
      </c>
    </row>
    <row r="1194" spans="1:14" x14ac:dyDescent="0.3">
      <c r="A1194" t="s">
        <v>248</v>
      </c>
      <c r="B1194" t="s">
        <v>54</v>
      </c>
      <c r="E1194" t="s">
        <v>67</v>
      </c>
      <c r="J1194">
        <f t="shared" si="108"/>
        <v>63.617251162500004</v>
      </c>
      <c r="K1194">
        <v>5.31</v>
      </c>
      <c r="M1194">
        <f t="shared" si="110"/>
        <v>0</v>
      </c>
      <c r="N1194">
        <f t="shared" si="109"/>
        <v>-5.31</v>
      </c>
    </row>
    <row r="1195" spans="1:14" x14ac:dyDescent="0.3">
      <c r="A1195" t="s">
        <v>248</v>
      </c>
      <c r="B1195" t="s">
        <v>54</v>
      </c>
      <c r="E1195" t="s">
        <v>68</v>
      </c>
      <c r="J1195">
        <f t="shared" si="108"/>
        <v>63.617251162500004</v>
      </c>
      <c r="K1195">
        <v>5.31</v>
      </c>
      <c r="M1195">
        <f t="shared" si="110"/>
        <v>0</v>
      </c>
      <c r="N1195">
        <f t="shared" si="109"/>
        <v>-5.31</v>
      </c>
    </row>
    <row r="1196" spans="1:14" x14ac:dyDescent="0.3">
      <c r="A1196" t="s">
        <v>248</v>
      </c>
      <c r="B1196" t="s">
        <v>54</v>
      </c>
      <c r="E1196" t="s">
        <v>69</v>
      </c>
      <c r="J1196">
        <f t="shared" ref="J1196:J1259" si="111">4.5*4.5*3.14159265</f>
        <v>63.617251162500004</v>
      </c>
      <c r="K1196">
        <v>5.31</v>
      </c>
      <c r="M1196">
        <f t="shared" si="110"/>
        <v>0</v>
      </c>
      <c r="N1196">
        <f t="shared" si="109"/>
        <v>-5.31</v>
      </c>
    </row>
    <row r="1197" spans="1:14" x14ac:dyDescent="0.3">
      <c r="A1197" t="s">
        <v>248</v>
      </c>
      <c r="B1197" t="s">
        <v>54</v>
      </c>
      <c r="E1197" t="s">
        <v>70</v>
      </c>
      <c r="J1197">
        <f t="shared" si="111"/>
        <v>63.617251162500004</v>
      </c>
      <c r="K1197">
        <v>5.31</v>
      </c>
      <c r="M1197">
        <f t="shared" si="110"/>
        <v>0</v>
      </c>
      <c r="N1197">
        <f t="shared" ref="N1197:N1260" si="112">L1197*J1197-K1197</f>
        <v>-5.31</v>
      </c>
    </row>
    <row r="1198" spans="1:14" x14ac:dyDescent="0.3">
      <c r="A1198" t="s">
        <v>248</v>
      </c>
      <c r="B1198" t="s">
        <v>57</v>
      </c>
      <c r="C1198">
        <v>1</v>
      </c>
      <c r="D1198">
        <v>0.5</v>
      </c>
      <c r="E1198" t="s">
        <v>64</v>
      </c>
      <c r="J1198">
        <f t="shared" si="111"/>
        <v>63.617251162500004</v>
      </c>
      <c r="K1198">
        <v>5.31</v>
      </c>
      <c r="M1198">
        <f t="shared" si="110"/>
        <v>0</v>
      </c>
      <c r="N1198">
        <f t="shared" si="112"/>
        <v>-5.31</v>
      </c>
    </row>
    <row r="1199" spans="1:14" x14ac:dyDescent="0.3">
      <c r="A1199" t="s">
        <v>248</v>
      </c>
      <c r="B1199" t="s">
        <v>57</v>
      </c>
      <c r="C1199">
        <v>1</v>
      </c>
      <c r="D1199">
        <v>0.5</v>
      </c>
      <c r="E1199" t="s">
        <v>30</v>
      </c>
      <c r="J1199">
        <f t="shared" si="111"/>
        <v>63.617251162500004</v>
      </c>
      <c r="K1199">
        <v>5.31</v>
      </c>
      <c r="M1199">
        <f t="shared" si="110"/>
        <v>0</v>
      </c>
      <c r="N1199">
        <f t="shared" si="112"/>
        <v>-5.31</v>
      </c>
    </row>
    <row r="1200" spans="1:14" x14ac:dyDescent="0.3">
      <c r="A1200" t="s">
        <v>248</v>
      </c>
      <c r="B1200" t="s">
        <v>57</v>
      </c>
      <c r="C1200">
        <v>1</v>
      </c>
      <c r="D1200">
        <v>0.5</v>
      </c>
      <c r="E1200" t="s">
        <v>31</v>
      </c>
      <c r="J1200">
        <f t="shared" si="111"/>
        <v>63.617251162500004</v>
      </c>
      <c r="K1200">
        <v>5.31</v>
      </c>
      <c r="M1200">
        <f t="shared" si="110"/>
        <v>0</v>
      </c>
      <c r="N1200">
        <f t="shared" si="112"/>
        <v>-5.31</v>
      </c>
    </row>
    <row r="1201" spans="1:14" x14ac:dyDescent="0.3">
      <c r="A1201" t="s">
        <v>248</v>
      </c>
      <c r="B1201" t="s">
        <v>57</v>
      </c>
      <c r="C1201">
        <v>1</v>
      </c>
      <c r="D1201">
        <v>2</v>
      </c>
      <c r="E1201" t="s">
        <v>64</v>
      </c>
      <c r="J1201">
        <f t="shared" si="111"/>
        <v>63.617251162500004</v>
      </c>
      <c r="K1201">
        <v>5.31</v>
      </c>
      <c r="M1201">
        <f t="shared" si="110"/>
        <v>0</v>
      </c>
      <c r="N1201">
        <f t="shared" si="112"/>
        <v>-5.31</v>
      </c>
    </row>
    <row r="1202" spans="1:14" x14ac:dyDescent="0.3">
      <c r="A1202" t="s">
        <v>248</v>
      </c>
      <c r="B1202" t="s">
        <v>57</v>
      </c>
      <c r="C1202">
        <v>1</v>
      </c>
      <c r="D1202">
        <v>2</v>
      </c>
      <c r="E1202" t="s">
        <v>30</v>
      </c>
      <c r="J1202">
        <f t="shared" si="111"/>
        <v>63.617251162500004</v>
      </c>
      <c r="K1202">
        <v>5.31</v>
      </c>
      <c r="M1202">
        <f t="shared" si="110"/>
        <v>0</v>
      </c>
      <c r="N1202">
        <f t="shared" si="112"/>
        <v>-5.31</v>
      </c>
    </row>
    <row r="1203" spans="1:14" x14ac:dyDescent="0.3">
      <c r="A1203" t="s">
        <v>248</v>
      </c>
      <c r="B1203" t="s">
        <v>57</v>
      </c>
      <c r="C1203">
        <v>1</v>
      </c>
      <c r="D1203">
        <v>2</v>
      </c>
      <c r="E1203" t="s">
        <v>31</v>
      </c>
      <c r="J1203">
        <f t="shared" si="111"/>
        <v>63.617251162500004</v>
      </c>
      <c r="K1203">
        <v>5.31</v>
      </c>
      <c r="M1203">
        <f t="shared" si="110"/>
        <v>0</v>
      </c>
      <c r="N1203">
        <f t="shared" si="112"/>
        <v>-5.31</v>
      </c>
    </row>
    <row r="1204" spans="1:14" x14ac:dyDescent="0.3">
      <c r="A1204" t="s">
        <v>248</v>
      </c>
      <c r="B1204" t="s">
        <v>57</v>
      </c>
      <c r="C1204">
        <v>1</v>
      </c>
      <c r="D1204">
        <v>6</v>
      </c>
      <c r="E1204" t="s">
        <v>64</v>
      </c>
      <c r="J1204">
        <f t="shared" si="111"/>
        <v>63.617251162500004</v>
      </c>
      <c r="K1204">
        <v>5.31</v>
      </c>
      <c r="M1204">
        <f t="shared" si="110"/>
        <v>0</v>
      </c>
      <c r="N1204">
        <f t="shared" si="112"/>
        <v>-5.31</v>
      </c>
    </row>
    <row r="1205" spans="1:14" x14ac:dyDescent="0.3">
      <c r="A1205" t="s">
        <v>248</v>
      </c>
      <c r="B1205" t="s">
        <v>57</v>
      </c>
      <c r="C1205">
        <v>1</v>
      </c>
      <c r="D1205">
        <v>6</v>
      </c>
      <c r="E1205" t="s">
        <v>30</v>
      </c>
      <c r="J1205">
        <f t="shared" si="111"/>
        <v>63.617251162500004</v>
      </c>
      <c r="K1205">
        <v>5.31</v>
      </c>
      <c r="M1205">
        <f t="shared" si="110"/>
        <v>0</v>
      </c>
      <c r="N1205">
        <f t="shared" si="112"/>
        <v>-5.31</v>
      </c>
    </row>
    <row r="1206" spans="1:14" x14ac:dyDescent="0.3">
      <c r="A1206" t="s">
        <v>248</v>
      </c>
      <c r="B1206" t="s">
        <v>57</v>
      </c>
      <c r="C1206">
        <v>1</v>
      </c>
      <c r="D1206">
        <v>6</v>
      </c>
      <c r="E1206" t="s">
        <v>31</v>
      </c>
      <c r="J1206">
        <f t="shared" si="111"/>
        <v>63.617251162500004</v>
      </c>
      <c r="K1206">
        <v>5.31</v>
      </c>
      <c r="M1206">
        <f t="shared" si="110"/>
        <v>0</v>
      </c>
      <c r="N1206">
        <f t="shared" si="112"/>
        <v>-5.31</v>
      </c>
    </row>
    <row r="1207" spans="1:14" x14ac:dyDescent="0.3">
      <c r="A1207" t="s">
        <v>248</v>
      </c>
      <c r="B1207" t="s">
        <v>57</v>
      </c>
      <c r="C1207">
        <v>1</v>
      </c>
      <c r="D1207">
        <v>12</v>
      </c>
      <c r="E1207" t="s">
        <v>64</v>
      </c>
      <c r="J1207">
        <f t="shared" si="111"/>
        <v>63.617251162500004</v>
      </c>
      <c r="K1207">
        <v>5.31</v>
      </c>
      <c r="M1207">
        <f t="shared" si="110"/>
        <v>0</v>
      </c>
      <c r="N1207">
        <f t="shared" si="112"/>
        <v>-5.31</v>
      </c>
    </row>
    <row r="1208" spans="1:14" x14ac:dyDescent="0.3">
      <c r="A1208" t="s">
        <v>248</v>
      </c>
      <c r="B1208" t="s">
        <v>57</v>
      </c>
      <c r="C1208">
        <v>1</v>
      </c>
      <c r="D1208">
        <v>12</v>
      </c>
      <c r="E1208" t="s">
        <v>30</v>
      </c>
      <c r="J1208">
        <f t="shared" si="111"/>
        <v>63.617251162500004</v>
      </c>
      <c r="K1208">
        <v>5.31</v>
      </c>
      <c r="M1208">
        <f t="shared" si="110"/>
        <v>0</v>
      </c>
      <c r="N1208">
        <f t="shared" si="112"/>
        <v>-5.31</v>
      </c>
    </row>
    <row r="1209" spans="1:14" x14ac:dyDescent="0.3">
      <c r="A1209" t="s">
        <v>248</v>
      </c>
      <c r="B1209" t="s">
        <v>57</v>
      </c>
      <c r="C1209">
        <v>1</v>
      </c>
      <c r="D1209">
        <v>12</v>
      </c>
      <c r="E1209" t="s">
        <v>31</v>
      </c>
      <c r="J1209">
        <f t="shared" si="111"/>
        <v>63.617251162500004</v>
      </c>
      <c r="K1209">
        <v>5.31</v>
      </c>
      <c r="M1209">
        <f t="shared" si="110"/>
        <v>0</v>
      </c>
      <c r="N1209">
        <f t="shared" si="112"/>
        <v>-5.31</v>
      </c>
    </row>
    <row r="1210" spans="1:14" x14ac:dyDescent="0.3">
      <c r="A1210" t="s">
        <v>248</v>
      </c>
      <c r="B1210" t="s">
        <v>57</v>
      </c>
      <c r="C1210">
        <v>1</v>
      </c>
      <c r="D1210">
        <v>18</v>
      </c>
      <c r="E1210" t="s">
        <v>64</v>
      </c>
      <c r="J1210">
        <f t="shared" si="111"/>
        <v>63.617251162500004</v>
      </c>
      <c r="K1210">
        <v>5.31</v>
      </c>
      <c r="M1210">
        <f t="shared" si="110"/>
        <v>0</v>
      </c>
      <c r="N1210">
        <f t="shared" si="112"/>
        <v>-5.31</v>
      </c>
    </row>
    <row r="1211" spans="1:14" x14ac:dyDescent="0.3">
      <c r="A1211" t="s">
        <v>248</v>
      </c>
      <c r="B1211" t="s">
        <v>57</v>
      </c>
      <c r="C1211">
        <v>1</v>
      </c>
      <c r="D1211">
        <v>18</v>
      </c>
      <c r="E1211" t="s">
        <v>30</v>
      </c>
      <c r="J1211">
        <f t="shared" si="111"/>
        <v>63.617251162500004</v>
      </c>
      <c r="K1211">
        <v>5.31</v>
      </c>
      <c r="M1211">
        <f t="shared" si="110"/>
        <v>0</v>
      </c>
      <c r="N1211">
        <f t="shared" si="112"/>
        <v>-5.31</v>
      </c>
    </row>
    <row r="1212" spans="1:14" x14ac:dyDescent="0.3">
      <c r="A1212" t="s">
        <v>248</v>
      </c>
      <c r="B1212" t="s">
        <v>57</v>
      </c>
      <c r="C1212">
        <v>1</v>
      </c>
      <c r="D1212">
        <v>18</v>
      </c>
      <c r="E1212" t="s">
        <v>31</v>
      </c>
      <c r="J1212">
        <f t="shared" si="111"/>
        <v>63.617251162500004</v>
      </c>
      <c r="K1212">
        <v>5.31</v>
      </c>
      <c r="M1212">
        <f t="shared" si="110"/>
        <v>0</v>
      </c>
      <c r="N1212">
        <f t="shared" si="112"/>
        <v>-5.31</v>
      </c>
    </row>
    <row r="1213" spans="1:14" x14ac:dyDescent="0.3">
      <c r="A1213" t="s">
        <v>248</v>
      </c>
      <c r="B1213" t="s">
        <v>57</v>
      </c>
      <c r="C1213">
        <v>1</v>
      </c>
      <c r="D1213">
        <v>24</v>
      </c>
      <c r="E1213" t="s">
        <v>28</v>
      </c>
      <c r="J1213">
        <f t="shared" si="111"/>
        <v>63.617251162500004</v>
      </c>
      <c r="K1213">
        <v>5.31</v>
      </c>
      <c r="M1213">
        <f t="shared" si="110"/>
        <v>0</v>
      </c>
      <c r="N1213">
        <f t="shared" si="112"/>
        <v>-5.31</v>
      </c>
    </row>
    <row r="1214" spans="1:14" x14ac:dyDescent="0.3">
      <c r="A1214" t="s">
        <v>248</v>
      </c>
      <c r="B1214" t="s">
        <v>57</v>
      </c>
      <c r="C1214">
        <v>1</v>
      </c>
      <c r="D1214">
        <v>24</v>
      </c>
      <c r="E1214" t="s">
        <v>30</v>
      </c>
      <c r="J1214">
        <f t="shared" si="111"/>
        <v>63.617251162500004</v>
      </c>
      <c r="K1214">
        <v>5.31</v>
      </c>
      <c r="M1214">
        <f t="shared" si="110"/>
        <v>0</v>
      </c>
      <c r="N1214">
        <f t="shared" si="112"/>
        <v>-5.31</v>
      </c>
    </row>
    <row r="1215" spans="1:14" x14ac:dyDescent="0.3">
      <c r="A1215" t="s">
        <v>248</v>
      </c>
      <c r="B1215" t="s">
        <v>57</v>
      </c>
      <c r="C1215">
        <v>1</v>
      </c>
      <c r="D1215">
        <v>24</v>
      </c>
      <c r="E1215" t="s">
        <v>31</v>
      </c>
      <c r="J1215">
        <f t="shared" si="111"/>
        <v>63.617251162500004</v>
      </c>
      <c r="K1215">
        <v>5.31</v>
      </c>
      <c r="M1215">
        <f t="shared" si="110"/>
        <v>0</v>
      </c>
      <c r="N1215">
        <f t="shared" si="112"/>
        <v>-5.31</v>
      </c>
    </row>
    <row r="1216" spans="1:14" x14ac:dyDescent="0.3">
      <c r="A1216" t="s">
        <v>248</v>
      </c>
      <c r="B1216" t="s">
        <v>57</v>
      </c>
      <c r="C1216">
        <v>1</v>
      </c>
      <c r="D1216">
        <v>48</v>
      </c>
      <c r="E1216" t="s">
        <v>64</v>
      </c>
      <c r="J1216">
        <f t="shared" si="111"/>
        <v>63.617251162500004</v>
      </c>
      <c r="K1216">
        <v>5.31</v>
      </c>
      <c r="M1216">
        <f t="shared" si="110"/>
        <v>0</v>
      </c>
      <c r="N1216">
        <f t="shared" si="112"/>
        <v>-5.31</v>
      </c>
    </row>
    <row r="1217" spans="1:14" x14ac:dyDescent="0.3">
      <c r="A1217" t="s">
        <v>248</v>
      </c>
      <c r="B1217" t="s">
        <v>57</v>
      </c>
      <c r="C1217">
        <v>1</v>
      </c>
      <c r="D1217">
        <v>48</v>
      </c>
      <c r="E1217" t="s">
        <v>30</v>
      </c>
      <c r="J1217">
        <f t="shared" si="111"/>
        <v>63.617251162500004</v>
      </c>
      <c r="K1217">
        <v>5.31</v>
      </c>
      <c r="M1217">
        <f t="shared" si="110"/>
        <v>0</v>
      </c>
      <c r="N1217">
        <f t="shared" si="112"/>
        <v>-5.31</v>
      </c>
    </row>
    <row r="1218" spans="1:14" x14ac:dyDescent="0.3">
      <c r="A1218" t="s">
        <v>248</v>
      </c>
      <c r="B1218" t="s">
        <v>57</v>
      </c>
      <c r="C1218">
        <v>1</v>
      </c>
      <c r="D1218">
        <v>48</v>
      </c>
      <c r="E1218" t="s">
        <v>31</v>
      </c>
      <c r="J1218">
        <f t="shared" si="111"/>
        <v>63.617251162500004</v>
      </c>
      <c r="K1218">
        <v>5.31</v>
      </c>
      <c r="M1218">
        <f t="shared" si="110"/>
        <v>0</v>
      </c>
      <c r="N1218">
        <f t="shared" si="112"/>
        <v>-5.31</v>
      </c>
    </row>
    <row r="1219" spans="1:14" x14ac:dyDescent="0.3">
      <c r="A1219" t="s">
        <v>248</v>
      </c>
      <c r="B1219" t="s">
        <v>57</v>
      </c>
      <c r="C1219">
        <v>2</v>
      </c>
      <c r="D1219">
        <v>0.5</v>
      </c>
      <c r="E1219" t="s">
        <v>64</v>
      </c>
      <c r="J1219">
        <f t="shared" si="111"/>
        <v>63.617251162500004</v>
      </c>
      <c r="K1219">
        <v>5.31</v>
      </c>
      <c r="M1219">
        <f t="shared" si="110"/>
        <v>0</v>
      </c>
      <c r="N1219">
        <f t="shared" si="112"/>
        <v>-5.31</v>
      </c>
    </row>
    <row r="1220" spans="1:14" x14ac:dyDescent="0.3">
      <c r="A1220" t="s">
        <v>248</v>
      </c>
      <c r="B1220" t="s">
        <v>57</v>
      </c>
      <c r="C1220">
        <v>2</v>
      </c>
      <c r="D1220">
        <v>0.5</v>
      </c>
      <c r="E1220" t="s">
        <v>30</v>
      </c>
      <c r="J1220">
        <f t="shared" si="111"/>
        <v>63.617251162500004</v>
      </c>
      <c r="K1220">
        <v>5.31</v>
      </c>
      <c r="M1220">
        <f t="shared" ref="M1220:M1283" si="113">L1220*F1220</f>
        <v>0</v>
      </c>
      <c r="N1220">
        <f t="shared" si="112"/>
        <v>-5.31</v>
      </c>
    </row>
    <row r="1221" spans="1:14" x14ac:dyDescent="0.3">
      <c r="A1221" t="s">
        <v>248</v>
      </c>
      <c r="B1221" t="s">
        <v>57</v>
      </c>
      <c r="C1221">
        <v>2</v>
      </c>
      <c r="D1221">
        <v>0.5</v>
      </c>
      <c r="E1221" t="s">
        <v>31</v>
      </c>
      <c r="J1221">
        <f t="shared" si="111"/>
        <v>63.617251162500004</v>
      </c>
      <c r="K1221">
        <v>5.31</v>
      </c>
      <c r="M1221">
        <f t="shared" si="113"/>
        <v>0</v>
      </c>
      <c r="N1221">
        <f t="shared" si="112"/>
        <v>-5.31</v>
      </c>
    </row>
    <row r="1222" spans="1:14" x14ac:dyDescent="0.3">
      <c r="A1222" t="s">
        <v>248</v>
      </c>
      <c r="B1222" t="s">
        <v>57</v>
      </c>
      <c r="C1222">
        <v>2</v>
      </c>
      <c r="D1222">
        <v>2</v>
      </c>
      <c r="E1222" t="s">
        <v>64</v>
      </c>
      <c r="J1222">
        <f t="shared" si="111"/>
        <v>63.617251162500004</v>
      </c>
      <c r="K1222">
        <v>5.31</v>
      </c>
      <c r="M1222">
        <f t="shared" si="113"/>
        <v>0</v>
      </c>
      <c r="N1222">
        <f t="shared" si="112"/>
        <v>-5.31</v>
      </c>
    </row>
    <row r="1223" spans="1:14" x14ac:dyDescent="0.3">
      <c r="A1223" t="s">
        <v>248</v>
      </c>
      <c r="B1223" t="s">
        <v>57</v>
      </c>
      <c r="C1223">
        <v>2</v>
      </c>
      <c r="D1223">
        <v>2</v>
      </c>
      <c r="E1223" t="s">
        <v>30</v>
      </c>
      <c r="J1223">
        <f t="shared" si="111"/>
        <v>63.617251162500004</v>
      </c>
      <c r="K1223">
        <v>5.31</v>
      </c>
      <c r="M1223">
        <f t="shared" si="113"/>
        <v>0</v>
      </c>
      <c r="N1223">
        <f t="shared" si="112"/>
        <v>-5.31</v>
      </c>
    </row>
    <row r="1224" spans="1:14" x14ac:dyDescent="0.3">
      <c r="A1224" t="s">
        <v>248</v>
      </c>
      <c r="B1224" t="s">
        <v>57</v>
      </c>
      <c r="C1224">
        <v>2</v>
      </c>
      <c r="D1224">
        <v>2</v>
      </c>
      <c r="E1224" t="s">
        <v>31</v>
      </c>
      <c r="J1224">
        <f t="shared" si="111"/>
        <v>63.617251162500004</v>
      </c>
      <c r="K1224">
        <v>5.31</v>
      </c>
      <c r="M1224">
        <f t="shared" si="113"/>
        <v>0</v>
      </c>
      <c r="N1224">
        <f t="shared" si="112"/>
        <v>-5.31</v>
      </c>
    </row>
    <row r="1225" spans="1:14" x14ac:dyDescent="0.3">
      <c r="A1225" t="s">
        <v>248</v>
      </c>
      <c r="B1225" t="s">
        <v>57</v>
      </c>
      <c r="C1225">
        <v>2</v>
      </c>
      <c r="D1225">
        <v>6</v>
      </c>
      <c r="E1225" t="s">
        <v>64</v>
      </c>
      <c r="J1225">
        <f t="shared" si="111"/>
        <v>63.617251162500004</v>
      </c>
      <c r="K1225">
        <v>5.31</v>
      </c>
      <c r="M1225">
        <f t="shared" si="113"/>
        <v>0</v>
      </c>
      <c r="N1225">
        <f t="shared" si="112"/>
        <v>-5.31</v>
      </c>
    </row>
    <row r="1226" spans="1:14" x14ac:dyDescent="0.3">
      <c r="A1226" t="s">
        <v>248</v>
      </c>
      <c r="B1226" t="s">
        <v>57</v>
      </c>
      <c r="C1226">
        <v>2</v>
      </c>
      <c r="D1226">
        <v>6</v>
      </c>
      <c r="E1226" t="s">
        <v>30</v>
      </c>
      <c r="J1226">
        <f t="shared" si="111"/>
        <v>63.617251162500004</v>
      </c>
      <c r="K1226">
        <v>5.31</v>
      </c>
      <c r="M1226">
        <f t="shared" si="113"/>
        <v>0</v>
      </c>
      <c r="N1226">
        <f t="shared" si="112"/>
        <v>-5.31</v>
      </c>
    </row>
    <row r="1227" spans="1:14" x14ac:dyDescent="0.3">
      <c r="A1227" t="s">
        <v>248</v>
      </c>
      <c r="B1227" t="s">
        <v>57</v>
      </c>
      <c r="C1227">
        <v>2</v>
      </c>
      <c r="D1227">
        <v>6</v>
      </c>
      <c r="E1227" t="s">
        <v>31</v>
      </c>
      <c r="J1227">
        <f t="shared" si="111"/>
        <v>63.617251162500004</v>
      </c>
      <c r="K1227">
        <v>5.31</v>
      </c>
      <c r="M1227">
        <f t="shared" si="113"/>
        <v>0</v>
      </c>
      <c r="N1227">
        <f t="shared" si="112"/>
        <v>-5.31</v>
      </c>
    </row>
    <row r="1228" spans="1:14" x14ac:dyDescent="0.3">
      <c r="A1228" t="s">
        <v>248</v>
      </c>
      <c r="B1228" t="s">
        <v>57</v>
      </c>
      <c r="C1228">
        <v>2</v>
      </c>
      <c r="D1228">
        <v>12</v>
      </c>
      <c r="E1228" t="s">
        <v>64</v>
      </c>
      <c r="J1228">
        <f t="shared" si="111"/>
        <v>63.617251162500004</v>
      </c>
      <c r="K1228">
        <v>5.31</v>
      </c>
      <c r="M1228">
        <f t="shared" si="113"/>
        <v>0</v>
      </c>
      <c r="N1228">
        <f t="shared" si="112"/>
        <v>-5.31</v>
      </c>
    </row>
    <row r="1229" spans="1:14" x14ac:dyDescent="0.3">
      <c r="A1229" t="s">
        <v>248</v>
      </c>
      <c r="B1229" t="s">
        <v>57</v>
      </c>
      <c r="C1229">
        <v>2</v>
      </c>
      <c r="D1229">
        <v>12</v>
      </c>
      <c r="E1229" t="s">
        <v>30</v>
      </c>
      <c r="J1229">
        <f t="shared" si="111"/>
        <v>63.617251162500004</v>
      </c>
      <c r="K1229">
        <v>5.31</v>
      </c>
      <c r="M1229">
        <f t="shared" si="113"/>
        <v>0</v>
      </c>
      <c r="N1229">
        <f t="shared" si="112"/>
        <v>-5.31</v>
      </c>
    </row>
    <row r="1230" spans="1:14" x14ac:dyDescent="0.3">
      <c r="A1230" t="s">
        <v>248</v>
      </c>
      <c r="B1230" t="s">
        <v>57</v>
      </c>
      <c r="C1230">
        <v>2</v>
      </c>
      <c r="D1230">
        <v>12</v>
      </c>
      <c r="E1230" t="s">
        <v>31</v>
      </c>
      <c r="J1230">
        <f t="shared" si="111"/>
        <v>63.617251162500004</v>
      </c>
      <c r="K1230">
        <v>5.31</v>
      </c>
      <c r="M1230">
        <f t="shared" si="113"/>
        <v>0</v>
      </c>
      <c r="N1230">
        <f t="shared" si="112"/>
        <v>-5.31</v>
      </c>
    </row>
    <row r="1231" spans="1:14" x14ac:dyDescent="0.3">
      <c r="A1231" t="s">
        <v>248</v>
      </c>
      <c r="B1231" t="s">
        <v>57</v>
      </c>
      <c r="C1231">
        <v>2</v>
      </c>
      <c r="D1231">
        <v>18</v>
      </c>
      <c r="E1231" t="s">
        <v>64</v>
      </c>
      <c r="J1231">
        <f t="shared" si="111"/>
        <v>63.617251162500004</v>
      </c>
      <c r="K1231">
        <v>5.31</v>
      </c>
      <c r="M1231">
        <f t="shared" si="113"/>
        <v>0</v>
      </c>
      <c r="N1231">
        <f t="shared" si="112"/>
        <v>-5.31</v>
      </c>
    </row>
    <row r="1232" spans="1:14" x14ac:dyDescent="0.3">
      <c r="A1232" t="s">
        <v>248</v>
      </c>
      <c r="B1232" t="s">
        <v>57</v>
      </c>
      <c r="C1232">
        <v>2</v>
      </c>
      <c r="D1232">
        <v>18</v>
      </c>
      <c r="E1232" t="s">
        <v>30</v>
      </c>
      <c r="J1232">
        <f t="shared" si="111"/>
        <v>63.617251162500004</v>
      </c>
      <c r="K1232">
        <v>5.31</v>
      </c>
      <c r="M1232">
        <f t="shared" si="113"/>
        <v>0</v>
      </c>
      <c r="N1232">
        <f t="shared" si="112"/>
        <v>-5.31</v>
      </c>
    </row>
    <row r="1233" spans="1:14" x14ac:dyDescent="0.3">
      <c r="A1233" t="s">
        <v>248</v>
      </c>
      <c r="B1233" t="s">
        <v>57</v>
      </c>
      <c r="C1233">
        <v>2</v>
      </c>
      <c r="D1233">
        <v>18</v>
      </c>
      <c r="E1233" t="s">
        <v>31</v>
      </c>
      <c r="J1233">
        <f t="shared" si="111"/>
        <v>63.617251162500004</v>
      </c>
      <c r="K1233">
        <v>5.31</v>
      </c>
      <c r="M1233">
        <f t="shared" si="113"/>
        <v>0</v>
      </c>
      <c r="N1233">
        <f t="shared" si="112"/>
        <v>-5.31</v>
      </c>
    </row>
    <row r="1234" spans="1:14" x14ac:dyDescent="0.3">
      <c r="A1234" t="s">
        <v>248</v>
      </c>
      <c r="B1234" t="s">
        <v>57</v>
      </c>
      <c r="C1234">
        <v>2</v>
      </c>
      <c r="D1234">
        <v>24</v>
      </c>
      <c r="E1234" t="s">
        <v>28</v>
      </c>
      <c r="J1234">
        <f t="shared" si="111"/>
        <v>63.617251162500004</v>
      </c>
      <c r="K1234">
        <v>5.31</v>
      </c>
      <c r="M1234">
        <f t="shared" si="113"/>
        <v>0</v>
      </c>
      <c r="N1234">
        <f t="shared" si="112"/>
        <v>-5.31</v>
      </c>
    </row>
    <row r="1235" spans="1:14" x14ac:dyDescent="0.3">
      <c r="A1235" t="s">
        <v>248</v>
      </c>
      <c r="B1235" t="s">
        <v>57</v>
      </c>
      <c r="C1235">
        <v>2</v>
      </c>
      <c r="D1235">
        <v>24</v>
      </c>
      <c r="E1235" t="s">
        <v>30</v>
      </c>
      <c r="J1235">
        <f t="shared" si="111"/>
        <v>63.617251162500004</v>
      </c>
      <c r="K1235">
        <v>5.31</v>
      </c>
      <c r="M1235">
        <f t="shared" si="113"/>
        <v>0</v>
      </c>
      <c r="N1235">
        <f t="shared" si="112"/>
        <v>-5.31</v>
      </c>
    </row>
    <row r="1236" spans="1:14" x14ac:dyDescent="0.3">
      <c r="A1236" t="s">
        <v>248</v>
      </c>
      <c r="B1236" t="s">
        <v>57</v>
      </c>
      <c r="C1236">
        <v>2</v>
      </c>
      <c r="D1236">
        <v>24</v>
      </c>
      <c r="E1236" t="s">
        <v>31</v>
      </c>
      <c r="J1236">
        <f t="shared" si="111"/>
        <v>63.617251162500004</v>
      </c>
      <c r="K1236">
        <v>5.31</v>
      </c>
      <c r="M1236">
        <f t="shared" si="113"/>
        <v>0</v>
      </c>
      <c r="N1236">
        <f t="shared" si="112"/>
        <v>-5.31</v>
      </c>
    </row>
    <row r="1237" spans="1:14" x14ac:dyDescent="0.3">
      <c r="A1237" t="s">
        <v>248</v>
      </c>
      <c r="B1237" t="s">
        <v>57</v>
      </c>
      <c r="C1237">
        <v>2</v>
      </c>
      <c r="D1237">
        <v>48</v>
      </c>
      <c r="E1237" t="s">
        <v>64</v>
      </c>
      <c r="J1237">
        <f t="shared" si="111"/>
        <v>63.617251162500004</v>
      </c>
      <c r="K1237">
        <v>5.31</v>
      </c>
      <c r="M1237">
        <f t="shared" si="113"/>
        <v>0</v>
      </c>
      <c r="N1237">
        <f t="shared" si="112"/>
        <v>-5.31</v>
      </c>
    </row>
    <row r="1238" spans="1:14" x14ac:dyDescent="0.3">
      <c r="A1238" t="s">
        <v>248</v>
      </c>
      <c r="B1238" t="s">
        <v>57</v>
      </c>
      <c r="C1238">
        <v>2</v>
      </c>
      <c r="D1238">
        <v>48</v>
      </c>
      <c r="E1238" t="s">
        <v>30</v>
      </c>
      <c r="J1238">
        <f t="shared" si="111"/>
        <v>63.617251162500004</v>
      </c>
      <c r="K1238">
        <v>5.31</v>
      </c>
      <c r="M1238">
        <f t="shared" si="113"/>
        <v>0</v>
      </c>
      <c r="N1238">
        <f t="shared" si="112"/>
        <v>-5.31</v>
      </c>
    </row>
    <row r="1239" spans="1:14" x14ac:dyDescent="0.3">
      <c r="A1239" t="s">
        <v>248</v>
      </c>
      <c r="B1239" t="s">
        <v>57</v>
      </c>
      <c r="C1239">
        <v>2</v>
      </c>
      <c r="D1239">
        <v>48</v>
      </c>
      <c r="E1239" t="s">
        <v>31</v>
      </c>
      <c r="J1239">
        <f t="shared" si="111"/>
        <v>63.617251162500004</v>
      </c>
      <c r="K1239">
        <v>5.31</v>
      </c>
      <c r="M1239">
        <f t="shared" si="113"/>
        <v>0</v>
      </c>
      <c r="N1239">
        <f t="shared" si="112"/>
        <v>-5.31</v>
      </c>
    </row>
    <row r="1240" spans="1:14" x14ac:dyDescent="0.3">
      <c r="A1240" t="s">
        <v>248</v>
      </c>
      <c r="B1240" t="s">
        <v>57</v>
      </c>
      <c r="E1240" t="s">
        <v>67</v>
      </c>
      <c r="J1240">
        <f t="shared" si="111"/>
        <v>63.617251162500004</v>
      </c>
      <c r="K1240">
        <v>5.31</v>
      </c>
      <c r="M1240">
        <f t="shared" si="113"/>
        <v>0</v>
      </c>
      <c r="N1240">
        <f t="shared" si="112"/>
        <v>-5.31</v>
      </c>
    </row>
    <row r="1241" spans="1:14" x14ac:dyDescent="0.3">
      <c r="A1241" t="s">
        <v>248</v>
      </c>
      <c r="B1241" t="s">
        <v>57</v>
      </c>
      <c r="E1241" t="s">
        <v>68</v>
      </c>
      <c r="J1241">
        <f t="shared" si="111"/>
        <v>63.617251162500004</v>
      </c>
      <c r="K1241">
        <v>5.31</v>
      </c>
      <c r="M1241">
        <f t="shared" si="113"/>
        <v>0</v>
      </c>
      <c r="N1241">
        <f t="shared" si="112"/>
        <v>-5.31</v>
      </c>
    </row>
    <row r="1242" spans="1:14" x14ac:dyDescent="0.3">
      <c r="A1242" t="s">
        <v>248</v>
      </c>
      <c r="B1242" t="s">
        <v>57</v>
      </c>
      <c r="E1242" t="s">
        <v>69</v>
      </c>
      <c r="J1242">
        <f t="shared" si="111"/>
        <v>63.617251162500004</v>
      </c>
      <c r="K1242">
        <v>5.31</v>
      </c>
      <c r="M1242">
        <f t="shared" si="113"/>
        <v>0</v>
      </c>
      <c r="N1242">
        <f t="shared" si="112"/>
        <v>-5.31</v>
      </c>
    </row>
    <row r="1243" spans="1:14" x14ac:dyDescent="0.3">
      <c r="A1243" t="s">
        <v>248</v>
      </c>
      <c r="B1243" t="s">
        <v>57</v>
      </c>
      <c r="E1243" t="s">
        <v>70</v>
      </c>
      <c r="J1243">
        <f t="shared" si="111"/>
        <v>63.617251162500004</v>
      </c>
      <c r="K1243">
        <v>5.31</v>
      </c>
      <c r="M1243">
        <f t="shared" si="113"/>
        <v>0</v>
      </c>
      <c r="N1243">
        <f t="shared" si="112"/>
        <v>-5.31</v>
      </c>
    </row>
    <row r="1244" spans="1:14" x14ac:dyDescent="0.3">
      <c r="A1244" t="s">
        <v>249</v>
      </c>
      <c r="B1244" t="s">
        <v>61</v>
      </c>
      <c r="C1244">
        <v>1</v>
      </c>
      <c r="D1244">
        <v>0.5</v>
      </c>
      <c r="E1244" t="s">
        <v>28</v>
      </c>
      <c r="J1244">
        <f t="shared" si="111"/>
        <v>63.617251162500004</v>
      </c>
      <c r="K1244">
        <v>5.31</v>
      </c>
      <c r="M1244">
        <f t="shared" si="113"/>
        <v>0</v>
      </c>
      <c r="N1244">
        <f t="shared" si="112"/>
        <v>-5.31</v>
      </c>
    </row>
    <row r="1245" spans="1:14" x14ac:dyDescent="0.3">
      <c r="A1245" t="s">
        <v>249</v>
      </c>
      <c r="B1245" t="s">
        <v>61</v>
      </c>
      <c r="C1245">
        <v>1</v>
      </c>
      <c r="D1245">
        <v>0.5</v>
      </c>
      <c r="E1245" t="s">
        <v>30</v>
      </c>
      <c r="J1245">
        <f t="shared" si="111"/>
        <v>63.617251162500004</v>
      </c>
      <c r="K1245">
        <v>5.31</v>
      </c>
      <c r="M1245">
        <f t="shared" si="113"/>
        <v>0</v>
      </c>
      <c r="N1245">
        <f t="shared" si="112"/>
        <v>-5.31</v>
      </c>
    </row>
    <row r="1246" spans="1:14" x14ac:dyDescent="0.3">
      <c r="A1246" t="s">
        <v>249</v>
      </c>
      <c r="B1246" t="s">
        <v>61</v>
      </c>
      <c r="C1246">
        <v>1</v>
      </c>
      <c r="D1246">
        <v>0.5</v>
      </c>
      <c r="E1246" t="s">
        <v>31</v>
      </c>
      <c r="J1246">
        <f t="shared" si="111"/>
        <v>63.617251162500004</v>
      </c>
      <c r="K1246">
        <v>5.31</v>
      </c>
      <c r="M1246">
        <f t="shared" si="113"/>
        <v>0</v>
      </c>
      <c r="N1246">
        <f t="shared" si="112"/>
        <v>-5.31</v>
      </c>
    </row>
    <row r="1247" spans="1:14" x14ac:dyDescent="0.3">
      <c r="A1247" t="s">
        <v>249</v>
      </c>
      <c r="B1247" t="s">
        <v>61</v>
      </c>
      <c r="C1247">
        <v>1</v>
      </c>
      <c r="D1247">
        <v>2</v>
      </c>
      <c r="E1247" t="s">
        <v>28</v>
      </c>
      <c r="J1247">
        <f t="shared" si="111"/>
        <v>63.617251162500004</v>
      </c>
      <c r="K1247">
        <v>5.31</v>
      </c>
      <c r="M1247">
        <f t="shared" si="113"/>
        <v>0</v>
      </c>
      <c r="N1247">
        <f t="shared" si="112"/>
        <v>-5.31</v>
      </c>
    </row>
    <row r="1248" spans="1:14" x14ac:dyDescent="0.3">
      <c r="A1248" t="s">
        <v>249</v>
      </c>
      <c r="B1248" t="s">
        <v>61</v>
      </c>
      <c r="C1248">
        <v>1</v>
      </c>
      <c r="D1248">
        <v>2</v>
      </c>
      <c r="E1248" t="s">
        <v>30</v>
      </c>
      <c r="J1248">
        <f t="shared" si="111"/>
        <v>63.617251162500004</v>
      </c>
      <c r="K1248">
        <v>5.31</v>
      </c>
      <c r="M1248">
        <f t="shared" si="113"/>
        <v>0</v>
      </c>
      <c r="N1248">
        <f t="shared" si="112"/>
        <v>-5.31</v>
      </c>
    </row>
    <row r="1249" spans="1:14" x14ac:dyDescent="0.3">
      <c r="A1249" t="s">
        <v>249</v>
      </c>
      <c r="B1249" t="s">
        <v>61</v>
      </c>
      <c r="C1249">
        <v>1</v>
      </c>
      <c r="D1249">
        <v>2</v>
      </c>
      <c r="E1249" t="s">
        <v>31</v>
      </c>
      <c r="J1249">
        <f t="shared" si="111"/>
        <v>63.617251162500004</v>
      </c>
      <c r="K1249">
        <v>5.31</v>
      </c>
      <c r="M1249">
        <f t="shared" si="113"/>
        <v>0</v>
      </c>
      <c r="N1249">
        <f t="shared" si="112"/>
        <v>-5.31</v>
      </c>
    </row>
    <row r="1250" spans="1:14" x14ac:dyDescent="0.3">
      <c r="A1250" t="s">
        <v>249</v>
      </c>
      <c r="B1250" t="s">
        <v>61</v>
      </c>
      <c r="C1250">
        <v>1</v>
      </c>
      <c r="D1250">
        <v>6</v>
      </c>
      <c r="E1250" t="s">
        <v>28</v>
      </c>
      <c r="J1250">
        <f t="shared" si="111"/>
        <v>63.617251162500004</v>
      </c>
      <c r="K1250">
        <v>5.31</v>
      </c>
      <c r="M1250">
        <f t="shared" si="113"/>
        <v>0</v>
      </c>
      <c r="N1250">
        <f t="shared" si="112"/>
        <v>-5.31</v>
      </c>
    </row>
    <row r="1251" spans="1:14" x14ac:dyDescent="0.3">
      <c r="A1251" t="s">
        <v>249</v>
      </c>
      <c r="B1251" t="s">
        <v>61</v>
      </c>
      <c r="C1251">
        <v>1</v>
      </c>
      <c r="D1251">
        <v>6</v>
      </c>
      <c r="E1251" t="s">
        <v>30</v>
      </c>
      <c r="J1251">
        <f t="shared" si="111"/>
        <v>63.617251162500004</v>
      </c>
      <c r="K1251">
        <v>5.31</v>
      </c>
      <c r="M1251">
        <f t="shared" si="113"/>
        <v>0</v>
      </c>
      <c r="N1251">
        <f t="shared" si="112"/>
        <v>-5.31</v>
      </c>
    </row>
    <row r="1252" spans="1:14" x14ac:dyDescent="0.3">
      <c r="A1252" t="s">
        <v>249</v>
      </c>
      <c r="B1252" t="s">
        <v>61</v>
      </c>
      <c r="C1252">
        <v>1</v>
      </c>
      <c r="D1252">
        <v>6</v>
      </c>
      <c r="E1252" t="s">
        <v>31</v>
      </c>
      <c r="J1252">
        <f t="shared" si="111"/>
        <v>63.617251162500004</v>
      </c>
      <c r="K1252">
        <v>5.31</v>
      </c>
      <c r="M1252">
        <f t="shared" si="113"/>
        <v>0</v>
      </c>
      <c r="N1252">
        <f t="shared" si="112"/>
        <v>-5.31</v>
      </c>
    </row>
    <row r="1253" spans="1:14" x14ac:dyDescent="0.3">
      <c r="A1253" t="s">
        <v>249</v>
      </c>
      <c r="B1253" t="s">
        <v>61</v>
      </c>
      <c r="C1253">
        <v>1</v>
      </c>
      <c r="D1253">
        <v>12</v>
      </c>
      <c r="E1253" t="s">
        <v>28</v>
      </c>
      <c r="J1253">
        <f t="shared" si="111"/>
        <v>63.617251162500004</v>
      </c>
      <c r="K1253">
        <v>5.31</v>
      </c>
      <c r="M1253">
        <f t="shared" si="113"/>
        <v>0</v>
      </c>
      <c r="N1253">
        <f t="shared" si="112"/>
        <v>-5.31</v>
      </c>
    </row>
    <row r="1254" spans="1:14" x14ac:dyDescent="0.3">
      <c r="A1254" t="s">
        <v>249</v>
      </c>
      <c r="B1254" t="s">
        <v>61</v>
      </c>
      <c r="C1254">
        <v>1</v>
      </c>
      <c r="D1254">
        <v>12</v>
      </c>
      <c r="E1254" t="s">
        <v>30</v>
      </c>
      <c r="J1254">
        <f t="shared" si="111"/>
        <v>63.617251162500004</v>
      </c>
      <c r="K1254">
        <v>5.31</v>
      </c>
      <c r="M1254">
        <f t="shared" si="113"/>
        <v>0</v>
      </c>
      <c r="N1254">
        <f t="shared" si="112"/>
        <v>-5.31</v>
      </c>
    </row>
    <row r="1255" spans="1:14" x14ac:dyDescent="0.3">
      <c r="A1255" t="s">
        <v>249</v>
      </c>
      <c r="B1255" t="s">
        <v>61</v>
      </c>
      <c r="C1255">
        <v>1</v>
      </c>
      <c r="D1255">
        <v>12</v>
      </c>
      <c r="E1255" t="s">
        <v>31</v>
      </c>
      <c r="J1255">
        <f t="shared" si="111"/>
        <v>63.617251162500004</v>
      </c>
      <c r="K1255">
        <v>5.31</v>
      </c>
      <c r="M1255">
        <f t="shared" si="113"/>
        <v>0</v>
      </c>
      <c r="N1255">
        <f t="shared" si="112"/>
        <v>-5.31</v>
      </c>
    </row>
    <row r="1256" spans="1:14" x14ac:dyDescent="0.3">
      <c r="A1256" t="s">
        <v>249</v>
      </c>
      <c r="B1256" t="s">
        <v>61</v>
      </c>
      <c r="C1256">
        <v>1</v>
      </c>
      <c r="D1256">
        <v>18</v>
      </c>
      <c r="E1256" t="s">
        <v>28</v>
      </c>
      <c r="J1256">
        <f t="shared" si="111"/>
        <v>63.617251162500004</v>
      </c>
      <c r="K1256">
        <v>5.31</v>
      </c>
      <c r="M1256">
        <f t="shared" si="113"/>
        <v>0</v>
      </c>
      <c r="N1256">
        <f t="shared" si="112"/>
        <v>-5.31</v>
      </c>
    </row>
    <row r="1257" spans="1:14" x14ac:dyDescent="0.3">
      <c r="A1257" t="s">
        <v>249</v>
      </c>
      <c r="B1257" t="s">
        <v>61</v>
      </c>
      <c r="C1257">
        <v>1</v>
      </c>
      <c r="D1257">
        <v>18</v>
      </c>
      <c r="E1257" t="s">
        <v>30</v>
      </c>
      <c r="J1257">
        <f t="shared" si="111"/>
        <v>63.617251162500004</v>
      </c>
      <c r="K1257">
        <v>5.31</v>
      </c>
      <c r="M1257">
        <f t="shared" si="113"/>
        <v>0</v>
      </c>
      <c r="N1257">
        <f t="shared" si="112"/>
        <v>-5.31</v>
      </c>
    </row>
    <row r="1258" spans="1:14" x14ac:dyDescent="0.3">
      <c r="A1258" t="s">
        <v>249</v>
      </c>
      <c r="B1258" t="s">
        <v>61</v>
      </c>
      <c r="C1258">
        <v>1</v>
      </c>
      <c r="D1258">
        <v>18</v>
      </c>
      <c r="E1258" t="s">
        <v>62</v>
      </c>
      <c r="J1258">
        <f t="shared" si="111"/>
        <v>63.617251162500004</v>
      </c>
      <c r="K1258">
        <v>5.31</v>
      </c>
      <c r="M1258">
        <f t="shared" si="113"/>
        <v>0</v>
      </c>
      <c r="N1258">
        <f t="shared" si="112"/>
        <v>-5.31</v>
      </c>
    </row>
    <row r="1259" spans="1:14" x14ac:dyDescent="0.3">
      <c r="A1259" t="s">
        <v>249</v>
      </c>
      <c r="B1259" t="s">
        <v>61</v>
      </c>
      <c r="C1259">
        <v>1</v>
      </c>
      <c r="D1259">
        <v>24</v>
      </c>
      <c r="E1259" t="s">
        <v>28</v>
      </c>
      <c r="J1259">
        <f t="shared" si="111"/>
        <v>63.617251162500004</v>
      </c>
      <c r="K1259">
        <v>5.31</v>
      </c>
      <c r="M1259">
        <f t="shared" si="113"/>
        <v>0</v>
      </c>
      <c r="N1259">
        <f t="shared" si="112"/>
        <v>-5.31</v>
      </c>
    </row>
    <row r="1260" spans="1:14" x14ac:dyDescent="0.3">
      <c r="A1260" t="s">
        <v>249</v>
      </c>
      <c r="B1260" t="s">
        <v>61</v>
      </c>
      <c r="C1260">
        <v>1</v>
      </c>
      <c r="D1260">
        <v>24</v>
      </c>
      <c r="E1260" t="s">
        <v>30</v>
      </c>
      <c r="J1260">
        <f t="shared" ref="J1260:J1323" si="114">4.5*4.5*3.14159265</f>
        <v>63.617251162500004</v>
      </c>
      <c r="K1260">
        <v>5.31</v>
      </c>
      <c r="M1260">
        <f t="shared" si="113"/>
        <v>0</v>
      </c>
      <c r="N1260">
        <f t="shared" si="112"/>
        <v>-5.31</v>
      </c>
    </row>
    <row r="1261" spans="1:14" x14ac:dyDescent="0.3">
      <c r="A1261" t="s">
        <v>249</v>
      </c>
      <c r="B1261" t="s">
        <v>61</v>
      </c>
      <c r="C1261">
        <v>1</v>
      </c>
      <c r="D1261">
        <v>24</v>
      </c>
      <c r="E1261" t="s">
        <v>31</v>
      </c>
      <c r="J1261">
        <f t="shared" si="114"/>
        <v>63.617251162500004</v>
      </c>
      <c r="K1261">
        <v>5.31</v>
      </c>
      <c r="M1261">
        <f t="shared" si="113"/>
        <v>0</v>
      </c>
      <c r="N1261">
        <f t="shared" ref="N1261:N1324" si="115">L1261*J1261-K1261</f>
        <v>-5.31</v>
      </c>
    </row>
    <row r="1262" spans="1:14" x14ac:dyDescent="0.3">
      <c r="A1262" t="s">
        <v>249</v>
      </c>
      <c r="B1262" t="s">
        <v>61</v>
      </c>
      <c r="C1262">
        <v>1</v>
      </c>
      <c r="D1262">
        <v>48</v>
      </c>
      <c r="E1262" t="s">
        <v>28</v>
      </c>
      <c r="J1262">
        <f t="shared" si="114"/>
        <v>63.617251162500004</v>
      </c>
      <c r="K1262">
        <v>5.31</v>
      </c>
      <c r="M1262">
        <f t="shared" si="113"/>
        <v>0</v>
      </c>
      <c r="N1262">
        <f t="shared" si="115"/>
        <v>-5.31</v>
      </c>
    </row>
    <row r="1263" spans="1:14" x14ac:dyDescent="0.3">
      <c r="A1263" t="s">
        <v>249</v>
      </c>
      <c r="B1263" t="s">
        <v>61</v>
      </c>
      <c r="C1263">
        <v>1</v>
      </c>
      <c r="D1263">
        <v>48</v>
      </c>
      <c r="E1263" t="s">
        <v>30</v>
      </c>
      <c r="J1263">
        <f t="shared" si="114"/>
        <v>63.617251162500004</v>
      </c>
      <c r="K1263">
        <v>5.31</v>
      </c>
      <c r="M1263">
        <f t="shared" si="113"/>
        <v>0</v>
      </c>
      <c r="N1263">
        <f t="shared" si="115"/>
        <v>-5.31</v>
      </c>
    </row>
    <row r="1264" spans="1:14" x14ac:dyDescent="0.3">
      <c r="A1264" t="s">
        <v>249</v>
      </c>
      <c r="B1264" t="s">
        <v>61</v>
      </c>
      <c r="C1264">
        <v>1</v>
      </c>
      <c r="D1264">
        <v>48</v>
      </c>
      <c r="E1264" t="s">
        <v>31</v>
      </c>
      <c r="J1264">
        <f t="shared" si="114"/>
        <v>63.617251162500004</v>
      </c>
      <c r="K1264">
        <v>5.31</v>
      </c>
      <c r="M1264">
        <f t="shared" si="113"/>
        <v>0</v>
      </c>
      <c r="N1264">
        <f t="shared" si="115"/>
        <v>-5.31</v>
      </c>
    </row>
    <row r="1265" spans="1:14" x14ac:dyDescent="0.3">
      <c r="A1265" t="s">
        <v>249</v>
      </c>
      <c r="B1265" t="s">
        <v>61</v>
      </c>
      <c r="C1265">
        <v>2</v>
      </c>
      <c r="D1265">
        <v>0.5</v>
      </c>
      <c r="E1265" t="s">
        <v>28</v>
      </c>
      <c r="J1265">
        <f t="shared" si="114"/>
        <v>63.617251162500004</v>
      </c>
      <c r="K1265">
        <v>5.31</v>
      </c>
      <c r="M1265">
        <f t="shared" si="113"/>
        <v>0</v>
      </c>
      <c r="N1265">
        <f t="shared" si="115"/>
        <v>-5.31</v>
      </c>
    </row>
    <row r="1266" spans="1:14" x14ac:dyDescent="0.3">
      <c r="A1266" t="s">
        <v>249</v>
      </c>
      <c r="B1266" t="s">
        <v>61</v>
      </c>
      <c r="C1266">
        <v>2</v>
      </c>
      <c r="D1266">
        <v>0.5</v>
      </c>
      <c r="E1266" t="s">
        <v>30</v>
      </c>
      <c r="J1266">
        <f t="shared" si="114"/>
        <v>63.617251162500004</v>
      </c>
      <c r="K1266">
        <v>5.31</v>
      </c>
      <c r="M1266">
        <f t="shared" si="113"/>
        <v>0</v>
      </c>
      <c r="N1266">
        <f t="shared" si="115"/>
        <v>-5.31</v>
      </c>
    </row>
    <row r="1267" spans="1:14" x14ac:dyDescent="0.3">
      <c r="A1267" t="s">
        <v>249</v>
      </c>
      <c r="B1267" t="s">
        <v>61</v>
      </c>
      <c r="C1267">
        <v>2</v>
      </c>
      <c r="D1267">
        <v>0.5</v>
      </c>
      <c r="E1267" t="s">
        <v>31</v>
      </c>
      <c r="J1267">
        <f t="shared" si="114"/>
        <v>63.617251162500004</v>
      </c>
      <c r="K1267">
        <v>5.31</v>
      </c>
      <c r="M1267">
        <f t="shared" si="113"/>
        <v>0</v>
      </c>
      <c r="N1267">
        <f t="shared" si="115"/>
        <v>-5.31</v>
      </c>
    </row>
    <row r="1268" spans="1:14" x14ac:dyDescent="0.3">
      <c r="A1268" t="s">
        <v>249</v>
      </c>
      <c r="B1268" t="s">
        <v>61</v>
      </c>
      <c r="C1268">
        <v>2</v>
      </c>
      <c r="D1268">
        <v>2</v>
      </c>
      <c r="E1268" t="s">
        <v>28</v>
      </c>
      <c r="J1268">
        <f t="shared" si="114"/>
        <v>63.617251162500004</v>
      </c>
      <c r="K1268">
        <v>5.31</v>
      </c>
      <c r="M1268">
        <f t="shared" si="113"/>
        <v>0</v>
      </c>
      <c r="N1268">
        <f t="shared" si="115"/>
        <v>-5.31</v>
      </c>
    </row>
    <row r="1269" spans="1:14" x14ac:dyDescent="0.3">
      <c r="A1269" t="s">
        <v>249</v>
      </c>
      <c r="B1269" t="s">
        <v>61</v>
      </c>
      <c r="C1269">
        <v>2</v>
      </c>
      <c r="D1269">
        <v>2</v>
      </c>
      <c r="E1269" t="s">
        <v>30</v>
      </c>
      <c r="J1269">
        <f t="shared" si="114"/>
        <v>63.617251162500004</v>
      </c>
      <c r="K1269">
        <v>5.31</v>
      </c>
      <c r="M1269">
        <f t="shared" si="113"/>
        <v>0</v>
      </c>
      <c r="N1269">
        <f t="shared" si="115"/>
        <v>-5.31</v>
      </c>
    </row>
    <row r="1270" spans="1:14" x14ac:dyDescent="0.3">
      <c r="A1270" t="s">
        <v>249</v>
      </c>
      <c r="B1270" t="s">
        <v>61</v>
      </c>
      <c r="C1270">
        <v>2</v>
      </c>
      <c r="D1270">
        <v>2</v>
      </c>
      <c r="E1270" t="s">
        <v>31</v>
      </c>
      <c r="J1270">
        <f t="shared" si="114"/>
        <v>63.617251162500004</v>
      </c>
      <c r="K1270">
        <v>5.31</v>
      </c>
      <c r="M1270">
        <f t="shared" si="113"/>
        <v>0</v>
      </c>
      <c r="N1270">
        <f t="shared" si="115"/>
        <v>-5.31</v>
      </c>
    </row>
    <row r="1271" spans="1:14" x14ac:dyDescent="0.3">
      <c r="A1271" t="s">
        <v>249</v>
      </c>
      <c r="B1271" t="s">
        <v>61</v>
      </c>
      <c r="C1271">
        <v>2</v>
      </c>
      <c r="D1271">
        <v>6</v>
      </c>
      <c r="E1271" t="s">
        <v>28</v>
      </c>
      <c r="J1271">
        <f t="shared" si="114"/>
        <v>63.617251162500004</v>
      </c>
      <c r="K1271">
        <v>5.31</v>
      </c>
      <c r="M1271">
        <f t="shared" si="113"/>
        <v>0</v>
      </c>
      <c r="N1271">
        <f t="shared" si="115"/>
        <v>-5.31</v>
      </c>
    </row>
    <row r="1272" spans="1:14" x14ac:dyDescent="0.3">
      <c r="A1272" t="s">
        <v>249</v>
      </c>
      <c r="B1272" t="s">
        <v>61</v>
      </c>
      <c r="C1272">
        <v>2</v>
      </c>
      <c r="D1272">
        <v>6</v>
      </c>
      <c r="E1272" t="s">
        <v>30</v>
      </c>
      <c r="J1272">
        <f t="shared" si="114"/>
        <v>63.617251162500004</v>
      </c>
      <c r="K1272">
        <v>5.31</v>
      </c>
      <c r="M1272">
        <f t="shared" si="113"/>
        <v>0</v>
      </c>
      <c r="N1272">
        <f t="shared" si="115"/>
        <v>-5.31</v>
      </c>
    </row>
    <row r="1273" spans="1:14" x14ac:dyDescent="0.3">
      <c r="A1273" t="s">
        <v>249</v>
      </c>
      <c r="B1273" t="s">
        <v>61</v>
      </c>
      <c r="C1273">
        <v>2</v>
      </c>
      <c r="D1273">
        <v>6</v>
      </c>
      <c r="E1273" t="s">
        <v>31</v>
      </c>
      <c r="J1273">
        <f t="shared" si="114"/>
        <v>63.617251162500004</v>
      </c>
      <c r="K1273">
        <v>5.31</v>
      </c>
      <c r="M1273">
        <f t="shared" si="113"/>
        <v>0</v>
      </c>
      <c r="N1273">
        <f t="shared" si="115"/>
        <v>-5.31</v>
      </c>
    </row>
    <row r="1274" spans="1:14" x14ac:dyDescent="0.3">
      <c r="A1274" t="s">
        <v>249</v>
      </c>
      <c r="B1274" t="s">
        <v>61</v>
      </c>
      <c r="C1274">
        <v>2</v>
      </c>
      <c r="D1274">
        <v>12</v>
      </c>
      <c r="E1274" t="s">
        <v>28</v>
      </c>
      <c r="J1274">
        <f t="shared" si="114"/>
        <v>63.617251162500004</v>
      </c>
      <c r="K1274">
        <v>5.31</v>
      </c>
      <c r="M1274">
        <f t="shared" si="113"/>
        <v>0</v>
      </c>
      <c r="N1274">
        <f t="shared" si="115"/>
        <v>-5.31</v>
      </c>
    </row>
    <row r="1275" spans="1:14" x14ac:dyDescent="0.3">
      <c r="A1275" t="s">
        <v>249</v>
      </c>
      <c r="B1275" t="s">
        <v>61</v>
      </c>
      <c r="C1275">
        <v>2</v>
      </c>
      <c r="D1275">
        <v>12</v>
      </c>
      <c r="E1275" t="s">
        <v>30</v>
      </c>
      <c r="J1275">
        <f t="shared" si="114"/>
        <v>63.617251162500004</v>
      </c>
      <c r="K1275">
        <v>5.31</v>
      </c>
      <c r="M1275">
        <f t="shared" si="113"/>
        <v>0</v>
      </c>
      <c r="N1275">
        <f t="shared" si="115"/>
        <v>-5.31</v>
      </c>
    </row>
    <row r="1276" spans="1:14" x14ac:dyDescent="0.3">
      <c r="A1276" t="s">
        <v>249</v>
      </c>
      <c r="B1276" t="s">
        <v>61</v>
      </c>
      <c r="C1276">
        <v>2</v>
      </c>
      <c r="D1276">
        <v>12</v>
      </c>
      <c r="E1276" t="s">
        <v>31</v>
      </c>
      <c r="J1276">
        <f t="shared" si="114"/>
        <v>63.617251162500004</v>
      </c>
      <c r="K1276">
        <v>5.31</v>
      </c>
      <c r="M1276">
        <f t="shared" si="113"/>
        <v>0</v>
      </c>
      <c r="N1276">
        <f t="shared" si="115"/>
        <v>-5.31</v>
      </c>
    </row>
    <row r="1277" spans="1:14" x14ac:dyDescent="0.3">
      <c r="A1277" t="s">
        <v>249</v>
      </c>
      <c r="B1277" t="s">
        <v>61</v>
      </c>
      <c r="C1277">
        <v>2</v>
      </c>
      <c r="D1277">
        <v>18</v>
      </c>
      <c r="E1277" t="s">
        <v>64</v>
      </c>
      <c r="J1277">
        <f t="shared" si="114"/>
        <v>63.617251162500004</v>
      </c>
      <c r="K1277">
        <v>5.31</v>
      </c>
      <c r="M1277">
        <f t="shared" si="113"/>
        <v>0</v>
      </c>
      <c r="N1277">
        <f t="shared" si="115"/>
        <v>-5.31</v>
      </c>
    </row>
    <row r="1278" spans="1:14" x14ac:dyDescent="0.3">
      <c r="A1278" t="s">
        <v>249</v>
      </c>
      <c r="B1278" t="s">
        <v>61</v>
      </c>
      <c r="C1278">
        <v>2</v>
      </c>
      <c r="D1278">
        <v>18</v>
      </c>
      <c r="E1278" t="s">
        <v>30</v>
      </c>
      <c r="J1278">
        <f t="shared" si="114"/>
        <v>63.617251162500004</v>
      </c>
      <c r="K1278">
        <v>5.31</v>
      </c>
      <c r="M1278">
        <f t="shared" si="113"/>
        <v>0</v>
      </c>
      <c r="N1278">
        <f t="shared" si="115"/>
        <v>-5.31</v>
      </c>
    </row>
    <row r="1279" spans="1:14" x14ac:dyDescent="0.3">
      <c r="A1279" t="s">
        <v>249</v>
      </c>
      <c r="B1279" t="s">
        <v>61</v>
      </c>
      <c r="C1279">
        <v>2</v>
      </c>
      <c r="D1279">
        <v>18</v>
      </c>
      <c r="E1279" t="s">
        <v>31</v>
      </c>
      <c r="J1279">
        <f t="shared" si="114"/>
        <v>63.617251162500004</v>
      </c>
      <c r="K1279">
        <v>5.31</v>
      </c>
      <c r="M1279">
        <f t="shared" si="113"/>
        <v>0</v>
      </c>
      <c r="N1279">
        <f t="shared" si="115"/>
        <v>-5.31</v>
      </c>
    </row>
    <row r="1280" spans="1:14" x14ac:dyDescent="0.3">
      <c r="A1280" t="s">
        <v>249</v>
      </c>
      <c r="B1280" t="s">
        <v>61</v>
      </c>
      <c r="C1280">
        <v>2</v>
      </c>
      <c r="D1280">
        <v>24</v>
      </c>
      <c r="E1280" t="s">
        <v>28</v>
      </c>
      <c r="J1280">
        <f t="shared" si="114"/>
        <v>63.617251162500004</v>
      </c>
      <c r="K1280">
        <v>5.31</v>
      </c>
      <c r="M1280">
        <f t="shared" si="113"/>
        <v>0</v>
      </c>
      <c r="N1280">
        <f t="shared" si="115"/>
        <v>-5.31</v>
      </c>
    </row>
    <row r="1281" spans="1:14" x14ac:dyDescent="0.3">
      <c r="A1281" t="s">
        <v>249</v>
      </c>
      <c r="B1281" t="s">
        <v>61</v>
      </c>
      <c r="C1281">
        <v>2</v>
      </c>
      <c r="D1281">
        <v>24</v>
      </c>
      <c r="E1281" t="s">
        <v>30</v>
      </c>
      <c r="J1281">
        <f t="shared" si="114"/>
        <v>63.617251162500004</v>
      </c>
      <c r="K1281">
        <v>5.31</v>
      </c>
      <c r="M1281">
        <f t="shared" si="113"/>
        <v>0</v>
      </c>
      <c r="N1281">
        <f t="shared" si="115"/>
        <v>-5.31</v>
      </c>
    </row>
    <row r="1282" spans="1:14" x14ac:dyDescent="0.3">
      <c r="A1282" t="s">
        <v>249</v>
      </c>
      <c r="B1282" t="s">
        <v>61</v>
      </c>
      <c r="C1282">
        <v>2</v>
      </c>
      <c r="D1282">
        <v>24</v>
      </c>
      <c r="E1282" t="s">
        <v>31</v>
      </c>
      <c r="J1282">
        <f t="shared" si="114"/>
        <v>63.617251162500004</v>
      </c>
      <c r="K1282">
        <v>5.31</v>
      </c>
      <c r="M1282">
        <f t="shared" si="113"/>
        <v>0</v>
      </c>
      <c r="N1282">
        <f t="shared" si="115"/>
        <v>-5.31</v>
      </c>
    </row>
    <row r="1283" spans="1:14" x14ac:dyDescent="0.3">
      <c r="A1283" t="s">
        <v>249</v>
      </c>
      <c r="B1283" t="s">
        <v>61</v>
      </c>
      <c r="C1283">
        <v>2</v>
      </c>
      <c r="D1283">
        <v>48</v>
      </c>
      <c r="E1283" t="s">
        <v>28</v>
      </c>
      <c r="J1283">
        <f t="shared" si="114"/>
        <v>63.617251162500004</v>
      </c>
      <c r="K1283">
        <v>5.31</v>
      </c>
      <c r="M1283">
        <f t="shared" si="113"/>
        <v>0</v>
      </c>
      <c r="N1283">
        <f t="shared" si="115"/>
        <v>-5.31</v>
      </c>
    </row>
    <row r="1284" spans="1:14" x14ac:dyDescent="0.3">
      <c r="A1284" t="s">
        <v>249</v>
      </c>
      <c r="B1284" t="s">
        <v>61</v>
      </c>
      <c r="C1284">
        <v>2</v>
      </c>
      <c r="D1284">
        <v>48</v>
      </c>
      <c r="E1284" t="s">
        <v>30</v>
      </c>
      <c r="J1284">
        <f t="shared" si="114"/>
        <v>63.617251162500004</v>
      </c>
      <c r="K1284">
        <v>5.31</v>
      </c>
      <c r="M1284">
        <f t="shared" ref="M1284:M1347" si="116">L1284*F1284</f>
        <v>0</v>
      </c>
      <c r="N1284">
        <f t="shared" si="115"/>
        <v>-5.31</v>
      </c>
    </row>
    <row r="1285" spans="1:14" x14ac:dyDescent="0.3">
      <c r="A1285" t="s">
        <v>249</v>
      </c>
      <c r="B1285" t="s">
        <v>61</v>
      </c>
      <c r="C1285">
        <v>2</v>
      </c>
      <c r="D1285">
        <v>48</v>
      </c>
      <c r="E1285" t="s">
        <v>31</v>
      </c>
      <c r="J1285">
        <f t="shared" si="114"/>
        <v>63.617251162500004</v>
      </c>
      <c r="K1285">
        <v>5.31</v>
      </c>
      <c r="M1285">
        <f t="shared" si="116"/>
        <v>0</v>
      </c>
      <c r="N1285">
        <f t="shared" si="115"/>
        <v>-5.31</v>
      </c>
    </row>
    <row r="1286" spans="1:14" x14ac:dyDescent="0.3">
      <c r="A1286" t="s">
        <v>249</v>
      </c>
      <c r="B1286" t="s">
        <v>61</v>
      </c>
      <c r="E1286" t="s">
        <v>36</v>
      </c>
      <c r="J1286">
        <f t="shared" si="114"/>
        <v>63.617251162500004</v>
      </c>
      <c r="K1286">
        <v>5.31</v>
      </c>
      <c r="M1286">
        <f t="shared" si="116"/>
        <v>0</v>
      </c>
      <c r="N1286">
        <f t="shared" si="115"/>
        <v>-5.31</v>
      </c>
    </row>
    <row r="1287" spans="1:14" x14ac:dyDescent="0.3">
      <c r="A1287" t="s">
        <v>249</v>
      </c>
      <c r="B1287" t="s">
        <v>61</v>
      </c>
      <c r="E1287" t="s">
        <v>39</v>
      </c>
      <c r="J1287">
        <f t="shared" si="114"/>
        <v>63.617251162500004</v>
      </c>
      <c r="K1287">
        <v>5.31</v>
      </c>
      <c r="M1287">
        <f t="shared" si="116"/>
        <v>0</v>
      </c>
      <c r="N1287">
        <f t="shared" si="115"/>
        <v>-5.31</v>
      </c>
    </row>
    <row r="1288" spans="1:14" x14ac:dyDescent="0.3">
      <c r="A1288" t="s">
        <v>249</v>
      </c>
      <c r="B1288" t="s">
        <v>61</v>
      </c>
      <c r="E1288" t="s">
        <v>41</v>
      </c>
      <c r="J1288">
        <f t="shared" si="114"/>
        <v>63.617251162500004</v>
      </c>
      <c r="K1288">
        <v>5.31</v>
      </c>
      <c r="M1288">
        <f t="shared" si="116"/>
        <v>0</v>
      </c>
      <c r="N1288">
        <f t="shared" si="115"/>
        <v>-5.31</v>
      </c>
    </row>
    <row r="1289" spans="1:14" x14ac:dyDescent="0.3">
      <c r="A1289" t="s">
        <v>249</v>
      </c>
      <c r="B1289" t="s">
        <v>61</v>
      </c>
      <c r="E1289" t="s">
        <v>43</v>
      </c>
      <c r="J1289">
        <f t="shared" si="114"/>
        <v>63.617251162500004</v>
      </c>
      <c r="K1289">
        <v>5.31</v>
      </c>
      <c r="M1289">
        <f t="shared" si="116"/>
        <v>0</v>
      </c>
      <c r="N1289">
        <f t="shared" si="115"/>
        <v>-5.31</v>
      </c>
    </row>
    <row r="1290" spans="1:14" x14ac:dyDescent="0.3">
      <c r="A1290" t="s">
        <v>249</v>
      </c>
      <c r="B1290" t="s">
        <v>51</v>
      </c>
      <c r="C1290">
        <v>1</v>
      </c>
      <c r="D1290">
        <v>0.5</v>
      </c>
      <c r="E1290" t="s">
        <v>64</v>
      </c>
      <c r="J1290">
        <f t="shared" si="114"/>
        <v>63.617251162500004</v>
      </c>
      <c r="K1290">
        <v>5.31</v>
      </c>
      <c r="M1290">
        <f t="shared" si="116"/>
        <v>0</v>
      </c>
      <c r="N1290">
        <f t="shared" si="115"/>
        <v>-5.31</v>
      </c>
    </row>
    <row r="1291" spans="1:14" x14ac:dyDescent="0.3">
      <c r="A1291" t="s">
        <v>249</v>
      </c>
      <c r="B1291" t="s">
        <v>51</v>
      </c>
      <c r="C1291">
        <v>1</v>
      </c>
      <c r="D1291">
        <v>0.5</v>
      </c>
      <c r="E1291" t="s">
        <v>30</v>
      </c>
      <c r="J1291">
        <f t="shared" si="114"/>
        <v>63.617251162500004</v>
      </c>
      <c r="K1291">
        <v>5.31</v>
      </c>
      <c r="M1291">
        <f t="shared" si="116"/>
        <v>0</v>
      </c>
      <c r="N1291">
        <f t="shared" si="115"/>
        <v>-5.31</v>
      </c>
    </row>
    <row r="1292" spans="1:14" x14ac:dyDescent="0.3">
      <c r="A1292" t="s">
        <v>249</v>
      </c>
      <c r="B1292" t="s">
        <v>51</v>
      </c>
      <c r="C1292">
        <v>1</v>
      </c>
      <c r="D1292">
        <v>0.5</v>
      </c>
      <c r="E1292" t="s">
        <v>31</v>
      </c>
      <c r="J1292">
        <f t="shared" si="114"/>
        <v>63.617251162500004</v>
      </c>
      <c r="K1292">
        <v>5.31</v>
      </c>
      <c r="M1292">
        <f t="shared" si="116"/>
        <v>0</v>
      </c>
      <c r="N1292">
        <f t="shared" si="115"/>
        <v>-5.31</v>
      </c>
    </row>
    <row r="1293" spans="1:14" x14ac:dyDescent="0.3">
      <c r="A1293" t="s">
        <v>249</v>
      </c>
      <c r="B1293" s="7" t="s">
        <v>51</v>
      </c>
      <c r="C1293" s="7">
        <v>1</v>
      </c>
      <c r="D1293" s="7">
        <v>2</v>
      </c>
      <c r="E1293" s="7" t="s">
        <v>64</v>
      </c>
      <c r="J1293">
        <f t="shared" si="114"/>
        <v>63.617251162500004</v>
      </c>
      <c r="K1293">
        <v>5.31</v>
      </c>
      <c r="M1293">
        <f t="shared" si="116"/>
        <v>0</v>
      </c>
      <c r="N1293">
        <f t="shared" si="115"/>
        <v>-5.31</v>
      </c>
    </row>
    <row r="1294" spans="1:14" x14ac:dyDescent="0.3">
      <c r="A1294" t="s">
        <v>249</v>
      </c>
      <c r="B1294" s="7" t="s">
        <v>51</v>
      </c>
      <c r="C1294" s="7">
        <v>1</v>
      </c>
      <c r="D1294" s="7">
        <v>2</v>
      </c>
      <c r="E1294" s="7" t="s">
        <v>30</v>
      </c>
      <c r="J1294">
        <f t="shared" si="114"/>
        <v>63.617251162500004</v>
      </c>
      <c r="K1294">
        <v>5.31</v>
      </c>
      <c r="M1294">
        <f t="shared" si="116"/>
        <v>0</v>
      </c>
      <c r="N1294">
        <f t="shared" si="115"/>
        <v>-5.31</v>
      </c>
    </row>
    <row r="1295" spans="1:14" x14ac:dyDescent="0.3">
      <c r="A1295" t="s">
        <v>249</v>
      </c>
      <c r="B1295" s="7" t="s">
        <v>51</v>
      </c>
      <c r="C1295" s="7">
        <v>1</v>
      </c>
      <c r="D1295" s="7">
        <v>2</v>
      </c>
      <c r="E1295" s="7" t="s">
        <v>31</v>
      </c>
      <c r="J1295">
        <f t="shared" si="114"/>
        <v>63.617251162500004</v>
      </c>
      <c r="K1295">
        <v>5.31</v>
      </c>
      <c r="M1295">
        <f t="shared" si="116"/>
        <v>0</v>
      </c>
      <c r="N1295">
        <f t="shared" si="115"/>
        <v>-5.31</v>
      </c>
    </row>
    <row r="1296" spans="1:14" x14ac:dyDescent="0.3">
      <c r="A1296" t="s">
        <v>249</v>
      </c>
      <c r="B1296" s="7" t="s">
        <v>51</v>
      </c>
      <c r="C1296" s="7">
        <v>1</v>
      </c>
      <c r="D1296" s="7">
        <v>6</v>
      </c>
      <c r="E1296" s="7" t="s">
        <v>64</v>
      </c>
      <c r="J1296">
        <f t="shared" si="114"/>
        <v>63.617251162500004</v>
      </c>
      <c r="K1296">
        <v>5.31</v>
      </c>
      <c r="M1296">
        <f t="shared" si="116"/>
        <v>0</v>
      </c>
      <c r="N1296">
        <f t="shared" si="115"/>
        <v>-5.31</v>
      </c>
    </row>
    <row r="1297" spans="1:14" x14ac:dyDescent="0.3">
      <c r="A1297" t="s">
        <v>249</v>
      </c>
      <c r="B1297" s="7" t="s">
        <v>51</v>
      </c>
      <c r="C1297" s="7">
        <v>1</v>
      </c>
      <c r="D1297" s="7">
        <v>6</v>
      </c>
      <c r="E1297" s="7" t="s">
        <v>30</v>
      </c>
      <c r="J1297">
        <f t="shared" si="114"/>
        <v>63.617251162500004</v>
      </c>
      <c r="K1297">
        <v>5.31</v>
      </c>
      <c r="M1297">
        <f t="shared" si="116"/>
        <v>0</v>
      </c>
      <c r="N1297">
        <f t="shared" si="115"/>
        <v>-5.31</v>
      </c>
    </row>
    <row r="1298" spans="1:14" x14ac:dyDescent="0.3">
      <c r="A1298" t="s">
        <v>249</v>
      </c>
      <c r="B1298" s="7" t="s">
        <v>51</v>
      </c>
      <c r="C1298" s="7">
        <v>1</v>
      </c>
      <c r="D1298" s="7">
        <v>6</v>
      </c>
      <c r="E1298" s="7" t="s">
        <v>31</v>
      </c>
      <c r="J1298">
        <f t="shared" si="114"/>
        <v>63.617251162500004</v>
      </c>
      <c r="K1298">
        <v>5.31</v>
      </c>
      <c r="M1298">
        <f t="shared" si="116"/>
        <v>0</v>
      </c>
      <c r="N1298">
        <f t="shared" si="115"/>
        <v>-5.31</v>
      </c>
    </row>
    <row r="1299" spans="1:14" x14ac:dyDescent="0.3">
      <c r="A1299" t="s">
        <v>249</v>
      </c>
      <c r="B1299" t="s">
        <v>51</v>
      </c>
      <c r="C1299">
        <v>1</v>
      </c>
      <c r="D1299">
        <v>12</v>
      </c>
      <c r="E1299" t="s">
        <v>64</v>
      </c>
      <c r="J1299">
        <f t="shared" si="114"/>
        <v>63.617251162500004</v>
      </c>
      <c r="K1299">
        <v>5.31</v>
      </c>
      <c r="M1299">
        <f t="shared" si="116"/>
        <v>0</v>
      </c>
      <c r="N1299">
        <f t="shared" si="115"/>
        <v>-5.31</v>
      </c>
    </row>
    <row r="1300" spans="1:14" x14ac:dyDescent="0.3">
      <c r="A1300" t="s">
        <v>249</v>
      </c>
      <c r="B1300" t="s">
        <v>51</v>
      </c>
      <c r="C1300">
        <v>1</v>
      </c>
      <c r="D1300">
        <v>12</v>
      </c>
      <c r="E1300" t="s">
        <v>30</v>
      </c>
      <c r="J1300">
        <f t="shared" si="114"/>
        <v>63.617251162500004</v>
      </c>
      <c r="K1300">
        <v>5.31</v>
      </c>
      <c r="M1300">
        <f t="shared" si="116"/>
        <v>0</v>
      </c>
      <c r="N1300">
        <f t="shared" si="115"/>
        <v>-5.31</v>
      </c>
    </row>
    <row r="1301" spans="1:14" x14ac:dyDescent="0.3">
      <c r="A1301" t="s">
        <v>249</v>
      </c>
      <c r="B1301" t="s">
        <v>51</v>
      </c>
      <c r="C1301">
        <v>1</v>
      </c>
      <c r="D1301">
        <v>12</v>
      </c>
      <c r="E1301" t="s">
        <v>31</v>
      </c>
      <c r="J1301">
        <f t="shared" si="114"/>
        <v>63.617251162500004</v>
      </c>
      <c r="K1301">
        <v>5.31</v>
      </c>
      <c r="M1301">
        <f t="shared" si="116"/>
        <v>0</v>
      </c>
      <c r="N1301">
        <f t="shared" si="115"/>
        <v>-5.31</v>
      </c>
    </row>
    <row r="1302" spans="1:14" x14ac:dyDescent="0.3">
      <c r="A1302" t="s">
        <v>249</v>
      </c>
      <c r="B1302" t="s">
        <v>51</v>
      </c>
      <c r="C1302">
        <v>1</v>
      </c>
      <c r="D1302">
        <v>18</v>
      </c>
      <c r="E1302" t="s">
        <v>64</v>
      </c>
      <c r="J1302">
        <f t="shared" si="114"/>
        <v>63.617251162500004</v>
      </c>
      <c r="K1302">
        <v>5.31</v>
      </c>
      <c r="M1302">
        <f t="shared" si="116"/>
        <v>0</v>
      </c>
      <c r="N1302">
        <f t="shared" si="115"/>
        <v>-5.31</v>
      </c>
    </row>
    <row r="1303" spans="1:14" x14ac:dyDescent="0.3">
      <c r="A1303" t="s">
        <v>249</v>
      </c>
      <c r="B1303" t="s">
        <v>51</v>
      </c>
      <c r="C1303">
        <v>1</v>
      </c>
      <c r="D1303">
        <v>18</v>
      </c>
      <c r="E1303" t="s">
        <v>30</v>
      </c>
      <c r="J1303">
        <f t="shared" si="114"/>
        <v>63.617251162500004</v>
      </c>
      <c r="K1303">
        <v>5.31</v>
      </c>
      <c r="M1303">
        <f t="shared" si="116"/>
        <v>0</v>
      </c>
      <c r="N1303">
        <f t="shared" si="115"/>
        <v>-5.31</v>
      </c>
    </row>
    <row r="1304" spans="1:14" x14ac:dyDescent="0.3">
      <c r="A1304" t="s">
        <v>249</v>
      </c>
      <c r="B1304" t="s">
        <v>51</v>
      </c>
      <c r="C1304">
        <v>1</v>
      </c>
      <c r="D1304">
        <v>18</v>
      </c>
      <c r="E1304" t="s">
        <v>31</v>
      </c>
      <c r="J1304">
        <f t="shared" si="114"/>
        <v>63.617251162500004</v>
      </c>
      <c r="K1304">
        <v>5.31</v>
      </c>
      <c r="M1304">
        <f t="shared" si="116"/>
        <v>0</v>
      </c>
      <c r="N1304">
        <f t="shared" si="115"/>
        <v>-5.31</v>
      </c>
    </row>
    <row r="1305" spans="1:14" x14ac:dyDescent="0.3">
      <c r="A1305" t="s">
        <v>249</v>
      </c>
      <c r="B1305" t="s">
        <v>51</v>
      </c>
      <c r="C1305">
        <v>1</v>
      </c>
      <c r="D1305">
        <v>24</v>
      </c>
      <c r="E1305" t="s">
        <v>28</v>
      </c>
      <c r="J1305">
        <f t="shared" si="114"/>
        <v>63.617251162500004</v>
      </c>
      <c r="K1305">
        <v>5.31</v>
      </c>
      <c r="M1305">
        <f t="shared" si="116"/>
        <v>0</v>
      </c>
      <c r="N1305">
        <f t="shared" si="115"/>
        <v>-5.31</v>
      </c>
    </row>
    <row r="1306" spans="1:14" x14ac:dyDescent="0.3">
      <c r="A1306" t="s">
        <v>249</v>
      </c>
      <c r="B1306" t="s">
        <v>51</v>
      </c>
      <c r="C1306">
        <v>1</v>
      </c>
      <c r="D1306">
        <v>24</v>
      </c>
      <c r="E1306" t="s">
        <v>30</v>
      </c>
      <c r="J1306">
        <f t="shared" si="114"/>
        <v>63.617251162500004</v>
      </c>
      <c r="K1306">
        <v>5.31</v>
      </c>
      <c r="M1306">
        <f t="shared" si="116"/>
        <v>0</v>
      </c>
      <c r="N1306">
        <f t="shared" si="115"/>
        <v>-5.31</v>
      </c>
    </row>
    <row r="1307" spans="1:14" x14ac:dyDescent="0.3">
      <c r="A1307" t="s">
        <v>249</v>
      </c>
      <c r="B1307" s="7" t="s">
        <v>51</v>
      </c>
      <c r="C1307" s="7">
        <v>1</v>
      </c>
      <c r="D1307" s="7">
        <v>24</v>
      </c>
      <c r="E1307" s="7" t="s">
        <v>31</v>
      </c>
      <c r="J1307">
        <f t="shared" si="114"/>
        <v>63.617251162500004</v>
      </c>
      <c r="K1307">
        <v>5.31</v>
      </c>
      <c r="M1307">
        <f t="shared" si="116"/>
        <v>0</v>
      </c>
      <c r="N1307">
        <f t="shared" si="115"/>
        <v>-5.31</v>
      </c>
    </row>
    <row r="1308" spans="1:14" x14ac:dyDescent="0.3">
      <c r="A1308" t="s">
        <v>249</v>
      </c>
      <c r="B1308" t="s">
        <v>51</v>
      </c>
      <c r="C1308">
        <v>1</v>
      </c>
      <c r="D1308">
        <v>48</v>
      </c>
      <c r="E1308" t="s">
        <v>64</v>
      </c>
      <c r="J1308">
        <f t="shared" si="114"/>
        <v>63.617251162500004</v>
      </c>
      <c r="K1308">
        <v>5.31</v>
      </c>
      <c r="M1308">
        <f t="shared" si="116"/>
        <v>0</v>
      </c>
      <c r="N1308">
        <f t="shared" si="115"/>
        <v>-5.31</v>
      </c>
    </row>
    <row r="1309" spans="1:14" x14ac:dyDescent="0.3">
      <c r="A1309" t="s">
        <v>249</v>
      </c>
      <c r="B1309" t="s">
        <v>51</v>
      </c>
      <c r="C1309">
        <v>1</v>
      </c>
      <c r="D1309">
        <v>48</v>
      </c>
      <c r="E1309" t="s">
        <v>30</v>
      </c>
      <c r="J1309">
        <f t="shared" si="114"/>
        <v>63.617251162500004</v>
      </c>
      <c r="K1309">
        <v>5.31</v>
      </c>
      <c r="M1309">
        <f t="shared" si="116"/>
        <v>0</v>
      </c>
      <c r="N1309">
        <f t="shared" si="115"/>
        <v>-5.31</v>
      </c>
    </row>
    <row r="1310" spans="1:14" x14ac:dyDescent="0.3">
      <c r="A1310" t="s">
        <v>249</v>
      </c>
      <c r="B1310" t="s">
        <v>51</v>
      </c>
      <c r="C1310">
        <v>1</v>
      </c>
      <c r="D1310">
        <v>48</v>
      </c>
      <c r="E1310" t="s">
        <v>31</v>
      </c>
      <c r="J1310">
        <f t="shared" si="114"/>
        <v>63.617251162500004</v>
      </c>
      <c r="K1310">
        <v>5.31</v>
      </c>
      <c r="M1310">
        <f t="shared" si="116"/>
        <v>0</v>
      </c>
      <c r="N1310">
        <f t="shared" si="115"/>
        <v>-5.31</v>
      </c>
    </row>
    <row r="1311" spans="1:14" x14ac:dyDescent="0.3">
      <c r="A1311" t="s">
        <v>249</v>
      </c>
      <c r="B1311" t="s">
        <v>51</v>
      </c>
      <c r="C1311">
        <v>2</v>
      </c>
      <c r="D1311">
        <v>0.5</v>
      </c>
      <c r="E1311" t="s">
        <v>64</v>
      </c>
      <c r="J1311">
        <f t="shared" si="114"/>
        <v>63.617251162500004</v>
      </c>
      <c r="K1311">
        <v>5.31</v>
      </c>
      <c r="M1311">
        <f t="shared" si="116"/>
        <v>0</v>
      </c>
      <c r="N1311">
        <f t="shared" si="115"/>
        <v>-5.31</v>
      </c>
    </row>
    <row r="1312" spans="1:14" x14ac:dyDescent="0.3">
      <c r="A1312" t="s">
        <v>249</v>
      </c>
      <c r="B1312" t="s">
        <v>51</v>
      </c>
      <c r="C1312">
        <v>2</v>
      </c>
      <c r="D1312">
        <v>0.5</v>
      </c>
      <c r="E1312" t="s">
        <v>30</v>
      </c>
      <c r="J1312">
        <f t="shared" si="114"/>
        <v>63.617251162500004</v>
      </c>
      <c r="K1312">
        <v>5.31</v>
      </c>
      <c r="M1312">
        <f t="shared" si="116"/>
        <v>0</v>
      </c>
      <c r="N1312">
        <f t="shared" si="115"/>
        <v>-5.31</v>
      </c>
    </row>
    <row r="1313" spans="1:14" x14ac:dyDescent="0.3">
      <c r="A1313" t="s">
        <v>249</v>
      </c>
      <c r="B1313" t="s">
        <v>51</v>
      </c>
      <c r="C1313">
        <v>2</v>
      </c>
      <c r="D1313">
        <v>0.5</v>
      </c>
      <c r="E1313" t="s">
        <v>31</v>
      </c>
      <c r="J1313">
        <f t="shared" si="114"/>
        <v>63.617251162500004</v>
      </c>
      <c r="K1313">
        <v>5.31</v>
      </c>
      <c r="M1313">
        <f t="shared" si="116"/>
        <v>0</v>
      </c>
      <c r="N1313">
        <f t="shared" si="115"/>
        <v>-5.31</v>
      </c>
    </row>
    <row r="1314" spans="1:14" x14ac:dyDescent="0.3">
      <c r="A1314" t="s">
        <v>249</v>
      </c>
      <c r="B1314" s="7" t="s">
        <v>51</v>
      </c>
      <c r="C1314" s="7">
        <v>2</v>
      </c>
      <c r="D1314" s="7">
        <v>2</v>
      </c>
      <c r="E1314" s="7" t="s">
        <v>64</v>
      </c>
      <c r="J1314">
        <f t="shared" si="114"/>
        <v>63.617251162500004</v>
      </c>
      <c r="K1314">
        <v>5.31</v>
      </c>
      <c r="M1314">
        <f t="shared" si="116"/>
        <v>0</v>
      </c>
      <c r="N1314">
        <f t="shared" si="115"/>
        <v>-5.31</v>
      </c>
    </row>
    <row r="1315" spans="1:14" x14ac:dyDescent="0.3">
      <c r="A1315" t="s">
        <v>249</v>
      </c>
      <c r="B1315" s="7" t="s">
        <v>51</v>
      </c>
      <c r="C1315" s="7">
        <v>2</v>
      </c>
      <c r="D1315" s="7">
        <v>2</v>
      </c>
      <c r="E1315" s="7" t="s">
        <v>30</v>
      </c>
      <c r="J1315">
        <f t="shared" si="114"/>
        <v>63.617251162500004</v>
      </c>
      <c r="K1315">
        <v>5.31</v>
      </c>
      <c r="M1315">
        <f t="shared" si="116"/>
        <v>0</v>
      </c>
      <c r="N1315">
        <f t="shared" si="115"/>
        <v>-5.31</v>
      </c>
    </row>
    <row r="1316" spans="1:14" x14ac:dyDescent="0.3">
      <c r="A1316" t="s">
        <v>249</v>
      </c>
      <c r="B1316" s="7" t="s">
        <v>51</v>
      </c>
      <c r="C1316" s="7">
        <v>2</v>
      </c>
      <c r="D1316" s="7">
        <v>2</v>
      </c>
      <c r="E1316" s="7" t="s">
        <v>31</v>
      </c>
      <c r="J1316">
        <f t="shared" si="114"/>
        <v>63.617251162500004</v>
      </c>
      <c r="K1316">
        <v>5.31</v>
      </c>
      <c r="M1316">
        <f t="shared" si="116"/>
        <v>0</v>
      </c>
      <c r="N1316">
        <f t="shared" si="115"/>
        <v>-5.31</v>
      </c>
    </row>
    <row r="1317" spans="1:14" x14ac:dyDescent="0.3">
      <c r="A1317" t="s">
        <v>249</v>
      </c>
      <c r="B1317" s="7" t="s">
        <v>51</v>
      </c>
      <c r="C1317" s="7">
        <v>2</v>
      </c>
      <c r="D1317" s="7">
        <v>6</v>
      </c>
      <c r="E1317" s="7" t="s">
        <v>64</v>
      </c>
      <c r="J1317">
        <f t="shared" si="114"/>
        <v>63.617251162500004</v>
      </c>
      <c r="K1317">
        <v>5.31</v>
      </c>
      <c r="M1317">
        <f t="shared" si="116"/>
        <v>0</v>
      </c>
      <c r="N1317">
        <f t="shared" si="115"/>
        <v>-5.31</v>
      </c>
    </row>
    <row r="1318" spans="1:14" x14ac:dyDescent="0.3">
      <c r="A1318" t="s">
        <v>249</v>
      </c>
      <c r="B1318" s="7" t="s">
        <v>51</v>
      </c>
      <c r="C1318" s="7">
        <v>2</v>
      </c>
      <c r="D1318" s="7">
        <v>6</v>
      </c>
      <c r="E1318" s="7" t="s">
        <v>30</v>
      </c>
      <c r="J1318">
        <f t="shared" si="114"/>
        <v>63.617251162500004</v>
      </c>
      <c r="K1318">
        <v>5.31</v>
      </c>
      <c r="M1318">
        <f t="shared" si="116"/>
        <v>0</v>
      </c>
      <c r="N1318">
        <f t="shared" si="115"/>
        <v>-5.31</v>
      </c>
    </row>
    <row r="1319" spans="1:14" x14ac:dyDescent="0.3">
      <c r="A1319" t="s">
        <v>249</v>
      </c>
      <c r="B1319" s="7" t="s">
        <v>51</v>
      </c>
      <c r="C1319" s="7">
        <v>2</v>
      </c>
      <c r="D1319" s="7">
        <v>6</v>
      </c>
      <c r="E1319" s="7" t="s">
        <v>31</v>
      </c>
      <c r="J1319">
        <f t="shared" si="114"/>
        <v>63.617251162500004</v>
      </c>
      <c r="K1319">
        <v>5.31</v>
      </c>
      <c r="M1319">
        <f t="shared" si="116"/>
        <v>0</v>
      </c>
      <c r="N1319">
        <f t="shared" si="115"/>
        <v>-5.31</v>
      </c>
    </row>
    <row r="1320" spans="1:14" x14ac:dyDescent="0.3">
      <c r="A1320" t="s">
        <v>249</v>
      </c>
      <c r="B1320" t="s">
        <v>51</v>
      </c>
      <c r="C1320">
        <v>2</v>
      </c>
      <c r="D1320">
        <v>12</v>
      </c>
      <c r="E1320" t="s">
        <v>64</v>
      </c>
      <c r="J1320">
        <f t="shared" si="114"/>
        <v>63.617251162500004</v>
      </c>
      <c r="K1320">
        <v>5.31</v>
      </c>
      <c r="M1320">
        <f t="shared" si="116"/>
        <v>0</v>
      </c>
      <c r="N1320">
        <f t="shared" si="115"/>
        <v>-5.31</v>
      </c>
    </row>
    <row r="1321" spans="1:14" x14ac:dyDescent="0.3">
      <c r="A1321" t="s">
        <v>249</v>
      </c>
      <c r="B1321" t="s">
        <v>51</v>
      </c>
      <c r="C1321">
        <v>2</v>
      </c>
      <c r="D1321">
        <v>12</v>
      </c>
      <c r="E1321" t="s">
        <v>30</v>
      </c>
      <c r="J1321">
        <f t="shared" si="114"/>
        <v>63.617251162500004</v>
      </c>
      <c r="K1321">
        <v>5.31</v>
      </c>
      <c r="M1321">
        <f t="shared" si="116"/>
        <v>0</v>
      </c>
      <c r="N1321">
        <f t="shared" si="115"/>
        <v>-5.31</v>
      </c>
    </row>
    <row r="1322" spans="1:14" x14ac:dyDescent="0.3">
      <c r="A1322" t="s">
        <v>249</v>
      </c>
      <c r="B1322" t="s">
        <v>51</v>
      </c>
      <c r="C1322">
        <v>2</v>
      </c>
      <c r="D1322">
        <v>12</v>
      </c>
      <c r="E1322" t="s">
        <v>31</v>
      </c>
      <c r="J1322">
        <f t="shared" si="114"/>
        <v>63.617251162500004</v>
      </c>
      <c r="K1322">
        <v>5.31</v>
      </c>
      <c r="M1322">
        <f t="shared" si="116"/>
        <v>0</v>
      </c>
      <c r="N1322">
        <f t="shared" si="115"/>
        <v>-5.31</v>
      </c>
    </row>
    <row r="1323" spans="1:14" x14ac:dyDescent="0.3">
      <c r="A1323" t="s">
        <v>249</v>
      </c>
      <c r="B1323" t="s">
        <v>51</v>
      </c>
      <c r="C1323">
        <v>2</v>
      </c>
      <c r="D1323">
        <v>18</v>
      </c>
      <c r="E1323" t="s">
        <v>64</v>
      </c>
      <c r="J1323">
        <f t="shared" si="114"/>
        <v>63.617251162500004</v>
      </c>
      <c r="K1323">
        <v>5.31</v>
      </c>
      <c r="M1323">
        <f t="shared" si="116"/>
        <v>0</v>
      </c>
      <c r="N1323">
        <f t="shared" si="115"/>
        <v>-5.31</v>
      </c>
    </row>
    <row r="1324" spans="1:14" x14ac:dyDescent="0.3">
      <c r="A1324" t="s">
        <v>249</v>
      </c>
      <c r="B1324" t="s">
        <v>51</v>
      </c>
      <c r="C1324">
        <v>2</v>
      </c>
      <c r="D1324">
        <v>18</v>
      </c>
      <c r="E1324" t="s">
        <v>30</v>
      </c>
      <c r="J1324">
        <f t="shared" ref="J1324:J1387" si="117">4.5*4.5*3.14159265</f>
        <v>63.617251162500004</v>
      </c>
      <c r="K1324">
        <v>5.31</v>
      </c>
      <c r="M1324">
        <f t="shared" si="116"/>
        <v>0</v>
      </c>
      <c r="N1324">
        <f t="shared" si="115"/>
        <v>-5.31</v>
      </c>
    </row>
    <row r="1325" spans="1:14" x14ac:dyDescent="0.3">
      <c r="A1325" t="s">
        <v>249</v>
      </c>
      <c r="B1325" t="s">
        <v>51</v>
      </c>
      <c r="C1325">
        <v>2</v>
      </c>
      <c r="D1325">
        <v>18</v>
      </c>
      <c r="E1325" t="s">
        <v>31</v>
      </c>
      <c r="J1325">
        <f t="shared" si="117"/>
        <v>63.617251162500004</v>
      </c>
      <c r="K1325">
        <v>5.31</v>
      </c>
      <c r="M1325">
        <f t="shared" si="116"/>
        <v>0</v>
      </c>
      <c r="N1325">
        <f t="shared" ref="N1325:N1388" si="118">L1325*J1325-K1325</f>
        <v>-5.31</v>
      </c>
    </row>
    <row r="1326" spans="1:14" x14ac:dyDescent="0.3">
      <c r="A1326" t="s">
        <v>249</v>
      </c>
      <c r="B1326" t="s">
        <v>51</v>
      </c>
      <c r="C1326">
        <v>2</v>
      </c>
      <c r="D1326">
        <v>24</v>
      </c>
      <c r="E1326" t="s">
        <v>28</v>
      </c>
      <c r="J1326">
        <f t="shared" si="117"/>
        <v>63.617251162500004</v>
      </c>
      <c r="K1326">
        <v>5.31</v>
      </c>
      <c r="M1326">
        <f t="shared" si="116"/>
        <v>0</v>
      </c>
      <c r="N1326">
        <f t="shared" si="118"/>
        <v>-5.31</v>
      </c>
    </row>
    <row r="1327" spans="1:14" x14ac:dyDescent="0.3">
      <c r="A1327" t="s">
        <v>249</v>
      </c>
      <c r="B1327" t="s">
        <v>51</v>
      </c>
      <c r="C1327">
        <v>2</v>
      </c>
      <c r="D1327">
        <v>24</v>
      </c>
      <c r="E1327" t="s">
        <v>30</v>
      </c>
      <c r="J1327">
        <f t="shared" si="117"/>
        <v>63.617251162500004</v>
      </c>
      <c r="K1327">
        <v>5.31</v>
      </c>
      <c r="M1327">
        <f t="shared" si="116"/>
        <v>0</v>
      </c>
      <c r="N1327">
        <f t="shared" si="118"/>
        <v>-5.31</v>
      </c>
    </row>
    <row r="1328" spans="1:14" x14ac:dyDescent="0.3">
      <c r="A1328" t="s">
        <v>249</v>
      </c>
      <c r="B1328" t="s">
        <v>51</v>
      </c>
      <c r="C1328">
        <v>2</v>
      </c>
      <c r="D1328">
        <v>24</v>
      </c>
      <c r="E1328" t="s">
        <v>31</v>
      </c>
      <c r="J1328">
        <f t="shared" si="117"/>
        <v>63.617251162500004</v>
      </c>
      <c r="K1328">
        <v>5.31</v>
      </c>
      <c r="M1328">
        <f t="shared" si="116"/>
        <v>0</v>
      </c>
      <c r="N1328">
        <f t="shared" si="118"/>
        <v>-5.31</v>
      </c>
    </row>
    <row r="1329" spans="1:14" x14ac:dyDescent="0.3">
      <c r="A1329" t="s">
        <v>249</v>
      </c>
      <c r="B1329" t="s">
        <v>51</v>
      </c>
      <c r="C1329">
        <v>2</v>
      </c>
      <c r="D1329">
        <v>48</v>
      </c>
      <c r="E1329" t="s">
        <v>64</v>
      </c>
      <c r="J1329">
        <f t="shared" si="117"/>
        <v>63.617251162500004</v>
      </c>
      <c r="K1329">
        <v>5.31</v>
      </c>
      <c r="M1329">
        <f t="shared" si="116"/>
        <v>0</v>
      </c>
      <c r="N1329">
        <f t="shared" si="118"/>
        <v>-5.31</v>
      </c>
    </row>
    <row r="1330" spans="1:14" x14ac:dyDescent="0.3">
      <c r="A1330" t="s">
        <v>249</v>
      </c>
      <c r="B1330" t="s">
        <v>51</v>
      </c>
      <c r="C1330">
        <v>2</v>
      </c>
      <c r="D1330">
        <v>48</v>
      </c>
      <c r="E1330" t="s">
        <v>30</v>
      </c>
      <c r="J1330">
        <f t="shared" si="117"/>
        <v>63.617251162500004</v>
      </c>
      <c r="K1330">
        <v>5.31</v>
      </c>
      <c r="M1330">
        <f t="shared" si="116"/>
        <v>0</v>
      </c>
      <c r="N1330">
        <f t="shared" si="118"/>
        <v>-5.31</v>
      </c>
    </row>
    <row r="1331" spans="1:14" x14ac:dyDescent="0.3">
      <c r="A1331" t="s">
        <v>249</v>
      </c>
      <c r="B1331" t="s">
        <v>51</v>
      </c>
      <c r="C1331">
        <v>2</v>
      </c>
      <c r="D1331">
        <v>48</v>
      </c>
      <c r="E1331" t="s">
        <v>31</v>
      </c>
      <c r="J1331">
        <f t="shared" si="117"/>
        <v>63.617251162500004</v>
      </c>
      <c r="K1331">
        <v>5.31</v>
      </c>
      <c r="M1331">
        <f t="shared" si="116"/>
        <v>0</v>
      </c>
      <c r="N1331">
        <f t="shared" si="118"/>
        <v>-5.31</v>
      </c>
    </row>
    <row r="1332" spans="1:14" x14ac:dyDescent="0.3">
      <c r="A1332" t="s">
        <v>249</v>
      </c>
      <c r="B1332" s="7" t="s">
        <v>51</v>
      </c>
      <c r="C1332" s="7"/>
      <c r="D1332" s="7"/>
      <c r="E1332" s="7" t="s">
        <v>67</v>
      </c>
      <c r="J1332">
        <f t="shared" si="117"/>
        <v>63.617251162500004</v>
      </c>
      <c r="K1332">
        <v>5.31</v>
      </c>
      <c r="M1332">
        <f t="shared" si="116"/>
        <v>0</v>
      </c>
      <c r="N1332">
        <f t="shared" si="118"/>
        <v>-5.31</v>
      </c>
    </row>
    <row r="1333" spans="1:14" x14ac:dyDescent="0.3">
      <c r="A1333" t="s">
        <v>249</v>
      </c>
      <c r="B1333" s="7" t="s">
        <v>51</v>
      </c>
      <c r="C1333" s="7"/>
      <c r="D1333" s="7"/>
      <c r="E1333" s="7" t="s">
        <v>68</v>
      </c>
      <c r="J1333">
        <f t="shared" si="117"/>
        <v>63.617251162500004</v>
      </c>
      <c r="K1333">
        <v>5.31</v>
      </c>
      <c r="M1333">
        <f t="shared" si="116"/>
        <v>0</v>
      </c>
      <c r="N1333">
        <f t="shared" si="118"/>
        <v>-5.31</v>
      </c>
    </row>
    <row r="1334" spans="1:14" x14ac:dyDescent="0.3">
      <c r="A1334" t="s">
        <v>249</v>
      </c>
      <c r="B1334" s="7" t="s">
        <v>51</v>
      </c>
      <c r="C1334" s="7"/>
      <c r="D1334" s="7"/>
      <c r="E1334" s="7" t="s">
        <v>69</v>
      </c>
      <c r="J1334">
        <f t="shared" si="117"/>
        <v>63.617251162500004</v>
      </c>
      <c r="K1334">
        <v>5.31</v>
      </c>
      <c r="M1334">
        <f t="shared" si="116"/>
        <v>0</v>
      </c>
      <c r="N1334">
        <f t="shared" si="118"/>
        <v>-5.31</v>
      </c>
    </row>
    <row r="1335" spans="1:14" x14ac:dyDescent="0.3">
      <c r="A1335" t="s">
        <v>249</v>
      </c>
      <c r="B1335" s="7" t="s">
        <v>51</v>
      </c>
      <c r="C1335" s="7"/>
      <c r="D1335" s="7"/>
      <c r="E1335" s="7" t="s">
        <v>70</v>
      </c>
      <c r="J1335">
        <f t="shared" si="117"/>
        <v>63.617251162500004</v>
      </c>
      <c r="K1335">
        <v>5.31</v>
      </c>
      <c r="M1335">
        <f t="shared" si="116"/>
        <v>0</v>
      </c>
      <c r="N1335">
        <f t="shared" si="118"/>
        <v>-5.31</v>
      </c>
    </row>
    <row r="1336" spans="1:14" x14ac:dyDescent="0.3">
      <c r="A1336" t="s">
        <v>249</v>
      </c>
      <c r="B1336" s="7" t="s">
        <v>54</v>
      </c>
      <c r="C1336" s="7">
        <v>1</v>
      </c>
      <c r="D1336" s="7">
        <v>0.5</v>
      </c>
      <c r="E1336" s="7" t="s">
        <v>64</v>
      </c>
      <c r="J1336">
        <f t="shared" si="117"/>
        <v>63.617251162500004</v>
      </c>
      <c r="K1336">
        <v>5.31</v>
      </c>
      <c r="M1336">
        <f t="shared" si="116"/>
        <v>0</v>
      </c>
      <c r="N1336">
        <f t="shared" si="118"/>
        <v>-5.31</v>
      </c>
    </row>
    <row r="1337" spans="1:14" x14ac:dyDescent="0.3">
      <c r="A1337" t="s">
        <v>249</v>
      </c>
      <c r="B1337" s="7" t="s">
        <v>54</v>
      </c>
      <c r="C1337" s="7">
        <v>1</v>
      </c>
      <c r="D1337" s="7">
        <v>0.5</v>
      </c>
      <c r="E1337" s="7" t="s">
        <v>30</v>
      </c>
      <c r="J1337">
        <f t="shared" si="117"/>
        <v>63.617251162500004</v>
      </c>
      <c r="K1337">
        <v>5.31</v>
      </c>
      <c r="M1337">
        <f t="shared" si="116"/>
        <v>0</v>
      </c>
      <c r="N1337">
        <f t="shared" si="118"/>
        <v>-5.31</v>
      </c>
    </row>
    <row r="1338" spans="1:14" x14ac:dyDescent="0.3">
      <c r="A1338" t="s">
        <v>249</v>
      </c>
      <c r="B1338" s="7" t="s">
        <v>54</v>
      </c>
      <c r="C1338" s="7">
        <v>1</v>
      </c>
      <c r="D1338" s="7">
        <v>0.5</v>
      </c>
      <c r="E1338" s="7" t="s">
        <v>31</v>
      </c>
      <c r="J1338">
        <f t="shared" si="117"/>
        <v>63.617251162500004</v>
      </c>
      <c r="K1338">
        <v>5.31</v>
      </c>
      <c r="M1338">
        <f t="shared" si="116"/>
        <v>0</v>
      </c>
      <c r="N1338">
        <f t="shared" si="118"/>
        <v>-5.31</v>
      </c>
    </row>
    <row r="1339" spans="1:14" x14ac:dyDescent="0.3">
      <c r="A1339" t="s">
        <v>249</v>
      </c>
      <c r="B1339" s="7" t="s">
        <v>54</v>
      </c>
      <c r="C1339" s="7">
        <v>1</v>
      </c>
      <c r="D1339" s="7">
        <v>2</v>
      </c>
      <c r="E1339" s="7" t="s">
        <v>64</v>
      </c>
      <c r="J1339">
        <f t="shared" si="117"/>
        <v>63.617251162500004</v>
      </c>
      <c r="K1339">
        <v>5.31</v>
      </c>
      <c r="M1339">
        <f t="shared" si="116"/>
        <v>0</v>
      </c>
      <c r="N1339">
        <f t="shared" si="118"/>
        <v>-5.31</v>
      </c>
    </row>
    <row r="1340" spans="1:14" x14ac:dyDescent="0.3">
      <c r="A1340" t="s">
        <v>249</v>
      </c>
      <c r="B1340" s="7" t="s">
        <v>54</v>
      </c>
      <c r="C1340" s="7">
        <v>1</v>
      </c>
      <c r="D1340" s="7">
        <v>2</v>
      </c>
      <c r="E1340" s="7" t="s">
        <v>30</v>
      </c>
      <c r="J1340">
        <f t="shared" si="117"/>
        <v>63.617251162500004</v>
      </c>
      <c r="K1340">
        <v>5.31</v>
      </c>
      <c r="M1340">
        <f t="shared" si="116"/>
        <v>0</v>
      </c>
      <c r="N1340">
        <f t="shared" si="118"/>
        <v>-5.31</v>
      </c>
    </row>
    <row r="1341" spans="1:14" x14ac:dyDescent="0.3">
      <c r="A1341" t="s">
        <v>249</v>
      </c>
      <c r="B1341" s="7" t="s">
        <v>54</v>
      </c>
      <c r="C1341" s="7">
        <v>1</v>
      </c>
      <c r="D1341" s="7">
        <v>2</v>
      </c>
      <c r="E1341" s="7" t="s">
        <v>31</v>
      </c>
      <c r="J1341">
        <f t="shared" si="117"/>
        <v>63.617251162500004</v>
      </c>
      <c r="K1341">
        <v>5.31</v>
      </c>
      <c r="M1341">
        <f t="shared" si="116"/>
        <v>0</v>
      </c>
      <c r="N1341">
        <f t="shared" si="118"/>
        <v>-5.31</v>
      </c>
    </row>
    <row r="1342" spans="1:14" x14ac:dyDescent="0.3">
      <c r="A1342" t="s">
        <v>249</v>
      </c>
      <c r="B1342" s="7" t="s">
        <v>54</v>
      </c>
      <c r="C1342" s="7">
        <v>1</v>
      </c>
      <c r="D1342" s="7">
        <v>6</v>
      </c>
      <c r="E1342" s="7" t="s">
        <v>64</v>
      </c>
      <c r="J1342">
        <f t="shared" si="117"/>
        <v>63.617251162500004</v>
      </c>
      <c r="K1342">
        <v>5.31</v>
      </c>
      <c r="M1342">
        <f t="shared" si="116"/>
        <v>0</v>
      </c>
      <c r="N1342">
        <f t="shared" si="118"/>
        <v>-5.31</v>
      </c>
    </row>
    <row r="1343" spans="1:14" x14ac:dyDescent="0.3">
      <c r="A1343" t="s">
        <v>249</v>
      </c>
      <c r="B1343" s="7" t="s">
        <v>54</v>
      </c>
      <c r="C1343" s="7">
        <v>1</v>
      </c>
      <c r="D1343" s="7">
        <v>6</v>
      </c>
      <c r="E1343" s="7" t="s">
        <v>30</v>
      </c>
      <c r="J1343">
        <f t="shared" si="117"/>
        <v>63.617251162500004</v>
      </c>
      <c r="K1343">
        <v>5.31</v>
      </c>
      <c r="M1343">
        <f t="shared" si="116"/>
        <v>0</v>
      </c>
      <c r="N1343">
        <f t="shared" si="118"/>
        <v>-5.31</v>
      </c>
    </row>
    <row r="1344" spans="1:14" x14ac:dyDescent="0.3">
      <c r="A1344" t="s">
        <v>249</v>
      </c>
      <c r="B1344" s="7" t="s">
        <v>54</v>
      </c>
      <c r="C1344" s="7">
        <v>1</v>
      </c>
      <c r="D1344" s="7">
        <v>6</v>
      </c>
      <c r="E1344" s="7" t="s">
        <v>31</v>
      </c>
      <c r="J1344">
        <f t="shared" si="117"/>
        <v>63.617251162500004</v>
      </c>
      <c r="K1344">
        <v>5.31</v>
      </c>
      <c r="M1344">
        <f t="shared" si="116"/>
        <v>0</v>
      </c>
      <c r="N1344">
        <f t="shared" si="118"/>
        <v>-5.31</v>
      </c>
    </row>
    <row r="1345" spans="1:14" x14ac:dyDescent="0.3">
      <c r="A1345" t="s">
        <v>249</v>
      </c>
      <c r="B1345" s="7" t="s">
        <v>54</v>
      </c>
      <c r="C1345" s="7">
        <v>1</v>
      </c>
      <c r="D1345" s="7">
        <v>12</v>
      </c>
      <c r="E1345" s="7" t="s">
        <v>64</v>
      </c>
      <c r="J1345">
        <f t="shared" si="117"/>
        <v>63.617251162500004</v>
      </c>
      <c r="K1345">
        <v>5.31</v>
      </c>
      <c r="M1345">
        <f t="shared" si="116"/>
        <v>0</v>
      </c>
      <c r="N1345">
        <f t="shared" si="118"/>
        <v>-5.31</v>
      </c>
    </row>
    <row r="1346" spans="1:14" x14ac:dyDescent="0.3">
      <c r="A1346" t="s">
        <v>249</v>
      </c>
      <c r="B1346" s="7" t="s">
        <v>54</v>
      </c>
      <c r="C1346" s="7">
        <v>1</v>
      </c>
      <c r="D1346" s="7">
        <v>12</v>
      </c>
      <c r="E1346" s="7" t="s">
        <v>30</v>
      </c>
      <c r="J1346">
        <f t="shared" si="117"/>
        <v>63.617251162500004</v>
      </c>
      <c r="K1346">
        <v>5.31</v>
      </c>
      <c r="M1346">
        <f t="shared" si="116"/>
        <v>0</v>
      </c>
      <c r="N1346">
        <f t="shared" si="118"/>
        <v>-5.31</v>
      </c>
    </row>
    <row r="1347" spans="1:14" x14ac:dyDescent="0.3">
      <c r="A1347" t="s">
        <v>249</v>
      </c>
      <c r="B1347" s="7" t="s">
        <v>54</v>
      </c>
      <c r="C1347" s="7">
        <v>1</v>
      </c>
      <c r="D1347" s="7">
        <v>12</v>
      </c>
      <c r="E1347" s="7" t="s">
        <v>31</v>
      </c>
      <c r="J1347">
        <f t="shared" si="117"/>
        <v>63.617251162500004</v>
      </c>
      <c r="K1347">
        <v>5.31</v>
      </c>
      <c r="M1347">
        <f t="shared" si="116"/>
        <v>0</v>
      </c>
      <c r="N1347">
        <f t="shared" si="118"/>
        <v>-5.31</v>
      </c>
    </row>
    <row r="1348" spans="1:14" x14ac:dyDescent="0.3">
      <c r="A1348" t="s">
        <v>249</v>
      </c>
      <c r="B1348" s="7" t="s">
        <v>54</v>
      </c>
      <c r="C1348" s="7">
        <v>1</v>
      </c>
      <c r="D1348" s="7">
        <v>18</v>
      </c>
      <c r="E1348" s="7" t="s">
        <v>64</v>
      </c>
      <c r="J1348">
        <f t="shared" si="117"/>
        <v>63.617251162500004</v>
      </c>
      <c r="K1348">
        <v>5.31</v>
      </c>
      <c r="M1348">
        <f t="shared" ref="M1348:M1411" si="119">L1348*F1348</f>
        <v>0</v>
      </c>
      <c r="N1348">
        <f t="shared" si="118"/>
        <v>-5.31</v>
      </c>
    </row>
    <row r="1349" spans="1:14" x14ac:dyDescent="0.3">
      <c r="A1349" t="s">
        <v>249</v>
      </c>
      <c r="B1349" s="7" t="s">
        <v>54</v>
      </c>
      <c r="C1349" s="7">
        <v>1</v>
      </c>
      <c r="D1349" s="7">
        <v>18</v>
      </c>
      <c r="E1349" s="7" t="s">
        <v>30</v>
      </c>
      <c r="J1349">
        <f t="shared" si="117"/>
        <v>63.617251162500004</v>
      </c>
      <c r="K1349">
        <v>5.31</v>
      </c>
      <c r="M1349">
        <f t="shared" si="119"/>
        <v>0</v>
      </c>
      <c r="N1349">
        <f t="shared" si="118"/>
        <v>-5.31</v>
      </c>
    </row>
    <row r="1350" spans="1:14" x14ac:dyDescent="0.3">
      <c r="A1350" t="s">
        <v>249</v>
      </c>
      <c r="B1350" s="7" t="s">
        <v>54</v>
      </c>
      <c r="C1350" s="7">
        <v>1</v>
      </c>
      <c r="D1350" s="7">
        <v>18</v>
      </c>
      <c r="E1350" s="7" t="s">
        <v>31</v>
      </c>
      <c r="J1350">
        <f t="shared" si="117"/>
        <v>63.617251162500004</v>
      </c>
      <c r="K1350">
        <v>5.31</v>
      </c>
      <c r="M1350">
        <f t="shared" si="119"/>
        <v>0</v>
      </c>
      <c r="N1350">
        <f t="shared" si="118"/>
        <v>-5.31</v>
      </c>
    </row>
    <row r="1351" spans="1:14" x14ac:dyDescent="0.3">
      <c r="A1351" t="s">
        <v>249</v>
      </c>
      <c r="B1351" s="7" t="s">
        <v>54</v>
      </c>
      <c r="C1351" s="7">
        <v>1</v>
      </c>
      <c r="D1351" s="7">
        <v>24</v>
      </c>
      <c r="E1351" s="7" t="s">
        <v>28</v>
      </c>
      <c r="J1351">
        <f t="shared" si="117"/>
        <v>63.617251162500004</v>
      </c>
      <c r="K1351">
        <v>5.31</v>
      </c>
      <c r="M1351">
        <f t="shared" si="119"/>
        <v>0</v>
      </c>
      <c r="N1351">
        <f t="shared" si="118"/>
        <v>-5.31</v>
      </c>
    </row>
    <row r="1352" spans="1:14" x14ac:dyDescent="0.3">
      <c r="A1352" t="s">
        <v>249</v>
      </c>
      <c r="B1352" s="7" t="s">
        <v>54</v>
      </c>
      <c r="C1352" s="7">
        <v>1</v>
      </c>
      <c r="D1352" s="7">
        <v>24</v>
      </c>
      <c r="E1352" s="7" t="s">
        <v>30</v>
      </c>
      <c r="J1352">
        <f t="shared" si="117"/>
        <v>63.617251162500004</v>
      </c>
      <c r="K1352">
        <v>5.31</v>
      </c>
      <c r="M1352">
        <f t="shared" si="119"/>
        <v>0</v>
      </c>
      <c r="N1352">
        <f t="shared" si="118"/>
        <v>-5.31</v>
      </c>
    </row>
    <row r="1353" spans="1:14" x14ac:dyDescent="0.3">
      <c r="A1353" t="s">
        <v>249</v>
      </c>
      <c r="B1353" s="7" t="s">
        <v>54</v>
      </c>
      <c r="C1353" s="7">
        <v>1</v>
      </c>
      <c r="D1353" s="7">
        <v>24</v>
      </c>
      <c r="E1353" s="7" t="s">
        <v>31</v>
      </c>
      <c r="J1353">
        <f t="shared" si="117"/>
        <v>63.617251162500004</v>
      </c>
      <c r="K1353">
        <v>5.31</v>
      </c>
      <c r="M1353">
        <f t="shared" si="119"/>
        <v>0</v>
      </c>
      <c r="N1353" s="7">
        <f t="shared" si="118"/>
        <v>-5.31</v>
      </c>
    </row>
    <row r="1354" spans="1:14" x14ac:dyDescent="0.3">
      <c r="A1354" t="s">
        <v>249</v>
      </c>
      <c r="B1354" s="7" t="s">
        <v>54</v>
      </c>
      <c r="C1354" s="7">
        <v>1</v>
      </c>
      <c r="D1354" s="7">
        <v>48</v>
      </c>
      <c r="E1354" s="7" t="s">
        <v>64</v>
      </c>
      <c r="J1354">
        <f t="shared" si="117"/>
        <v>63.617251162500004</v>
      </c>
      <c r="K1354">
        <v>5.31</v>
      </c>
      <c r="M1354">
        <f t="shared" si="119"/>
        <v>0</v>
      </c>
      <c r="N1354">
        <f t="shared" si="118"/>
        <v>-5.31</v>
      </c>
    </row>
    <row r="1355" spans="1:14" x14ac:dyDescent="0.3">
      <c r="A1355" t="s">
        <v>249</v>
      </c>
      <c r="B1355" s="7" t="s">
        <v>54</v>
      </c>
      <c r="C1355" s="7">
        <v>1</v>
      </c>
      <c r="D1355" s="7">
        <v>48</v>
      </c>
      <c r="E1355" s="7" t="s">
        <v>30</v>
      </c>
      <c r="J1355">
        <f t="shared" si="117"/>
        <v>63.617251162500004</v>
      </c>
      <c r="K1355">
        <v>5.31</v>
      </c>
      <c r="M1355">
        <f t="shared" si="119"/>
        <v>0</v>
      </c>
      <c r="N1355">
        <f t="shared" si="118"/>
        <v>-5.31</v>
      </c>
    </row>
    <row r="1356" spans="1:14" x14ac:dyDescent="0.3">
      <c r="A1356" t="s">
        <v>249</v>
      </c>
      <c r="B1356" s="7" t="s">
        <v>54</v>
      </c>
      <c r="C1356" s="7">
        <v>1</v>
      </c>
      <c r="D1356" s="7">
        <v>48</v>
      </c>
      <c r="E1356" s="7" t="s">
        <v>31</v>
      </c>
      <c r="J1356">
        <f t="shared" si="117"/>
        <v>63.617251162500004</v>
      </c>
      <c r="K1356">
        <v>5.31</v>
      </c>
      <c r="M1356" s="7">
        <f t="shared" si="119"/>
        <v>0</v>
      </c>
      <c r="N1356">
        <f t="shared" si="118"/>
        <v>-5.31</v>
      </c>
    </row>
    <row r="1357" spans="1:14" x14ac:dyDescent="0.3">
      <c r="A1357" t="s">
        <v>249</v>
      </c>
      <c r="B1357" t="s">
        <v>54</v>
      </c>
      <c r="C1357">
        <v>2</v>
      </c>
      <c r="D1357">
        <v>0.5</v>
      </c>
      <c r="E1357" t="s">
        <v>64</v>
      </c>
      <c r="J1357">
        <f t="shared" si="117"/>
        <v>63.617251162500004</v>
      </c>
      <c r="K1357">
        <v>5.31</v>
      </c>
      <c r="M1357">
        <f t="shared" si="119"/>
        <v>0</v>
      </c>
      <c r="N1357" s="7">
        <f t="shared" si="118"/>
        <v>-5.31</v>
      </c>
    </row>
    <row r="1358" spans="1:14" x14ac:dyDescent="0.3">
      <c r="A1358" t="s">
        <v>249</v>
      </c>
      <c r="B1358" t="s">
        <v>54</v>
      </c>
      <c r="C1358">
        <v>2</v>
      </c>
      <c r="D1358">
        <v>0.5</v>
      </c>
      <c r="E1358" t="s">
        <v>30</v>
      </c>
      <c r="J1358">
        <f t="shared" si="117"/>
        <v>63.617251162500004</v>
      </c>
      <c r="K1358">
        <v>5.31</v>
      </c>
      <c r="M1358">
        <f t="shared" si="119"/>
        <v>0</v>
      </c>
      <c r="N1358" s="7">
        <f t="shared" si="118"/>
        <v>-5.31</v>
      </c>
    </row>
    <row r="1359" spans="1:14" x14ac:dyDescent="0.3">
      <c r="A1359" t="s">
        <v>249</v>
      </c>
      <c r="B1359" t="s">
        <v>54</v>
      </c>
      <c r="C1359">
        <v>2</v>
      </c>
      <c r="D1359">
        <v>0.5</v>
      </c>
      <c r="E1359" t="s">
        <v>31</v>
      </c>
      <c r="J1359">
        <f t="shared" si="117"/>
        <v>63.617251162500004</v>
      </c>
      <c r="K1359">
        <v>5.31</v>
      </c>
      <c r="M1359">
        <f t="shared" si="119"/>
        <v>0</v>
      </c>
      <c r="N1359">
        <f t="shared" si="118"/>
        <v>-5.31</v>
      </c>
    </row>
    <row r="1360" spans="1:14" x14ac:dyDescent="0.3">
      <c r="A1360" t="s">
        <v>249</v>
      </c>
      <c r="B1360" t="s">
        <v>54</v>
      </c>
      <c r="C1360">
        <v>2</v>
      </c>
      <c r="D1360">
        <v>2</v>
      </c>
      <c r="E1360" t="s">
        <v>64</v>
      </c>
      <c r="J1360">
        <f t="shared" si="117"/>
        <v>63.617251162500004</v>
      </c>
      <c r="K1360">
        <v>5.31</v>
      </c>
      <c r="M1360" s="7">
        <f t="shared" si="119"/>
        <v>0</v>
      </c>
      <c r="N1360">
        <f t="shared" si="118"/>
        <v>-5.31</v>
      </c>
    </row>
    <row r="1361" spans="1:14" x14ac:dyDescent="0.3">
      <c r="A1361" t="s">
        <v>249</v>
      </c>
      <c r="B1361" t="s">
        <v>54</v>
      </c>
      <c r="C1361">
        <v>2</v>
      </c>
      <c r="D1361">
        <v>2</v>
      </c>
      <c r="E1361" t="s">
        <v>30</v>
      </c>
      <c r="J1361">
        <f t="shared" si="117"/>
        <v>63.617251162500004</v>
      </c>
      <c r="K1361">
        <v>5.31</v>
      </c>
      <c r="M1361" s="7">
        <f t="shared" si="119"/>
        <v>0</v>
      </c>
      <c r="N1361">
        <f t="shared" si="118"/>
        <v>-5.31</v>
      </c>
    </row>
    <row r="1362" spans="1:14" x14ac:dyDescent="0.3">
      <c r="A1362" t="s">
        <v>249</v>
      </c>
      <c r="B1362" t="s">
        <v>54</v>
      </c>
      <c r="C1362">
        <v>2</v>
      </c>
      <c r="D1362">
        <v>2</v>
      </c>
      <c r="E1362" t="s">
        <v>31</v>
      </c>
      <c r="J1362">
        <f t="shared" si="117"/>
        <v>63.617251162500004</v>
      </c>
      <c r="K1362">
        <v>5.31</v>
      </c>
      <c r="M1362">
        <f t="shared" si="119"/>
        <v>0</v>
      </c>
      <c r="N1362">
        <f t="shared" si="118"/>
        <v>-5.31</v>
      </c>
    </row>
    <row r="1363" spans="1:14" x14ac:dyDescent="0.3">
      <c r="A1363" t="s">
        <v>249</v>
      </c>
      <c r="B1363" t="s">
        <v>54</v>
      </c>
      <c r="C1363">
        <v>2</v>
      </c>
      <c r="D1363">
        <v>6</v>
      </c>
      <c r="E1363" t="s">
        <v>64</v>
      </c>
      <c r="J1363">
        <f t="shared" si="117"/>
        <v>63.617251162500004</v>
      </c>
      <c r="K1363">
        <v>5.31</v>
      </c>
      <c r="M1363">
        <f t="shared" si="119"/>
        <v>0</v>
      </c>
      <c r="N1363">
        <f t="shared" si="118"/>
        <v>-5.31</v>
      </c>
    </row>
    <row r="1364" spans="1:14" x14ac:dyDescent="0.3">
      <c r="A1364" t="s">
        <v>249</v>
      </c>
      <c r="B1364" t="s">
        <v>54</v>
      </c>
      <c r="C1364">
        <v>2</v>
      </c>
      <c r="D1364">
        <v>6</v>
      </c>
      <c r="E1364" t="s">
        <v>30</v>
      </c>
      <c r="J1364">
        <f t="shared" si="117"/>
        <v>63.617251162500004</v>
      </c>
      <c r="K1364">
        <v>5.31</v>
      </c>
      <c r="M1364">
        <f t="shared" si="119"/>
        <v>0</v>
      </c>
      <c r="N1364">
        <f t="shared" si="118"/>
        <v>-5.31</v>
      </c>
    </row>
    <row r="1365" spans="1:14" x14ac:dyDescent="0.3">
      <c r="A1365" t="s">
        <v>249</v>
      </c>
      <c r="B1365" t="s">
        <v>54</v>
      </c>
      <c r="C1365">
        <v>2</v>
      </c>
      <c r="D1365">
        <v>6</v>
      </c>
      <c r="E1365" t="s">
        <v>31</v>
      </c>
      <c r="J1365">
        <f t="shared" si="117"/>
        <v>63.617251162500004</v>
      </c>
      <c r="K1365">
        <v>5.31</v>
      </c>
      <c r="M1365">
        <f t="shared" si="119"/>
        <v>0</v>
      </c>
      <c r="N1365">
        <f t="shared" si="118"/>
        <v>-5.31</v>
      </c>
    </row>
    <row r="1366" spans="1:14" x14ac:dyDescent="0.3">
      <c r="A1366" t="s">
        <v>249</v>
      </c>
      <c r="B1366" t="s">
        <v>54</v>
      </c>
      <c r="C1366">
        <v>2</v>
      </c>
      <c r="D1366">
        <v>12</v>
      </c>
      <c r="E1366" t="s">
        <v>64</v>
      </c>
      <c r="J1366">
        <f t="shared" si="117"/>
        <v>63.617251162500004</v>
      </c>
      <c r="K1366">
        <v>5.31</v>
      </c>
      <c r="M1366">
        <f t="shared" si="119"/>
        <v>0</v>
      </c>
      <c r="N1366">
        <f t="shared" si="118"/>
        <v>-5.31</v>
      </c>
    </row>
    <row r="1367" spans="1:14" x14ac:dyDescent="0.3">
      <c r="A1367" t="s">
        <v>249</v>
      </c>
      <c r="B1367" t="s">
        <v>54</v>
      </c>
      <c r="C1367">
        <v>2</v>
      </c>
      <c r="D1367">
        <v>12</v>
      </c>
      <c r="E1367" t="s">
        <v>30</v>
      </c>
      <c r="J1367">
        <f t="shared" si="117"/>
        <v>63.617251162500004</v>
      </c>
      <c r="K1367">
        <v>5.31</v>
      </c>
      <c r="M1367">
        <f t="shared" si="119"/>
        <v>0</v>
      </c>
      <c r="N1367">
        <f t="shared" si="118"/>
        <v>-5.31</v>
      </c>
    </row>
    <row r="1368" spans="1:14" x14ac:dyDescent="0.3">
      <c r="A1368" t="s">
        <v>249</v>
      </c>
      <c r="B1368" t="s">
        <v>54</v>
      </c>
      <c r="C1368">
        <v>2</v>
      </c>
      <c r="D1368">
        <v>12</v>
      </c>
      <c r="E1368" t="s">
        <v>31</v>
      </c>
      <c r="J1368">
        <f t="shared" si="117"/>
        <v>63.617251162500004</v>
      </c>
      <c r="K1368">
        <v>5.31</v>
      </c>
      <c r="M1368">
        <f t="shared" si="119"/>
        <v>0</v>
      </c>
      <c r="N1368">
        <f t="shared" si="118"/>
        <v>-5.31</v>
      </c>
    </row>
    <row r="1369" spans="1:14" x14ac:dyDescent="0.3">
      <c r="A1369" t="s">
        <v>249</v>
      </c>
      <c r="B1369" t="s">
        <v>54</v>
      </c>
      <c r="C1369">
        <v>2</v>
      </c>
      <c r="D1369">
        <v>18</v>
      </c>
      <c r="E1369" t="s">
        <v>64</v>
      </c>
      <c r="J1369">
        <f t="shared" si="117"/>
        <v>63.617251162500004</v>
      </c>
      <c r="K1369">
        <v>5.31</v>
      </c>
      <c r="M1369">
        <f t="shared" si="119"/>
        <v>0</v>
      </c>
      <c r="N1369">
        <f t="shared" si="118"/>
        <v>-5.31</v>
      </c>
    </row>
    <row r="1370" spans="1:14" x14ac:dyDescent="0.3">
      <c r="A1370" t="s">
        <v>249</v>
      </c>
      <c r="B1370" t="s">
        <v>54</v>
      </c>
      <c r="C1370">
        <v>2</v>
      </c>
      <c r="D1370">
        <v>18</v>
      </c>
      <c r="E1370" t="s">
        <v>30</v>
      </c>
      <c r="J1370">
        <f t="shared" si="117"/>
        <v>63.617251162500004</v>
      </c>
      <c r="K1370">
        <v>5.31</v>
      </c>
      <c r="M1370">
        <f t="shared" si="119"/>
        <v>0</v>
      </c>
      <c r="N1370">
        <f t="shared" si="118"/>
        <v>-5.31</v>
      </c>
    </row>
    <row r="1371" spans="1:14" x14ac:dyDescent="0.3">
      <c r="A1371" t="s">
        <v>249</v>
      </c>
      <c r="B1371" t="s">
        <v>54</v>
      </c>
      <c r="C1371">
        <v>2</v>
      </c>
      <c r="D1371">
        <v>18</v>
      </c>
      <c r="E1371" t="s">
        <v>31</v>
      </c>
      <c r="J1371">
        <f t="shared" si="117"/>
        <v>63.617251162500004</v>
      </c>
      <c r="K1371">
        <v>5.31</v>
      </c>
      <c r="M1371">
        <f t="shared" si="119"/>
        <v>0</v>
      </c>
      <c r="N1371">
        <f t="shared" si="118"/>
        <v>-5.31</v>
      </c>
    </row>
    <row r="1372" spans="1:14" x14ac:dyDescent="0.3">
      <c r="A1372" t="s">
        <v>249</v>
      </c>
      <c r="B1372" t="s">
        <v>54</v>
      </c>
      <c r="C1372">
        <v>2</v>
      </c>
      <c r="D1372">
        <v>24</v>
      </c>
      <c r="E1372" t="s">
        <v>28</v>
      </c>
      <c r="J1372">
        <f t="shared" si="117"/>
        <v>63.617251162500004</v>
      </c>
      <c r="K1372">
        <v>5.31</v>
      </c>
      <c r="M1372">
        <f t="shared" si="119"/>
        <v>0</v>
      </c>
      <c r="N1372">
        <f t="shared" si="118"/>
        <v>-5.31</v>
      </c>
    </row>
    <row r="1373" spans="1:14" x14ac:dyDescent="0.3">
      <c r="A1373" t="s">
        <v>249</v>
      </c>
      <c r="B1373" t="s">
        <v>54</v>
      </c>
      <c r="C1373">
        <v>2</v>
      </c>
      <c r="D1373">
        <v>24</v>
      </c>
      <c r="E1373" t="s">
        <v>30</v>
      </c>
      <c r="J1373">
        <f t="shared" si="117"/>
        <v>63.617251162500004</v>
      </c>
      <c r="K1373">
        <v>5.31</v>
      </c>
      <c r="M1373">
        <f t="shared" si="119"/>
        <v>0</v>
      </c>
      <c r="N1373">
        <f t="shared" si="118"/>
        <v>-5.31</v>
      </c>
    </row>
    <row r="1374" spans="1:14" x14ac:dyDescent="0.3">
      <c r="A1374" t="s">
        <v>249</v>
      </c>
      <c r="B1374" t="s">
        <v>54</v>
      </c>
      <c r="C1374">
        <v>2</v>
      </c>
      <c r="D1374">
        <v>24</v>
      </c>
      <c r="E1374" t="s">
        <v>31</v>
      </c>
      <c r="J1374">
        <f t="shared" si="117"/>
        <v>63.617251162500004</v>
      </c>
      <c r="K1374">
        <v>5.31</v>
      </c>
      <c r="M1374">
        <f t="shared" si="119"/>
        <v>0</v>
      </c>
      <c r="N1374">
        <f t="shared" si="118"/>
        <v>-5.31</v>
      </c>
    </row>
    <row r="1375" spans="1:14" x14ac:dyDescent="0.3">
      <c r="A1375" t="s">
        <v>249</v>
      </c>
      <c r="B1375" t="s">
        <v>54</v>
      </c>
      <c r="C1375">
        <v>2</v>
      </c>
      <c r="D1375">
        <v>48</v>
      </c>
      <c r="E1375" t="s">
        <v>64</v>
      </c>
      <c r="J1375">
        <f t="shared" si="117"/>
        <v>63.617251162500004</v>
      </c>
      <c r="K1375">
        <v>5.31</v>
      </c>
      <c r="M1375">
        <f t="shared" si="119"/>
        <v>0</v>
      </c>
      <c r="N1375">
        <f t="shared" si="118"/>
        <v>-5.31</v>
      </c>
    </row>
    <row r="1376" spans="1:14" x14ac:dyDescent="0.3">
      <c r="A1376" t="s">
        <v>249</v>
      </c>
      <c r="B1376" t="s">
        <v>54</v>
      </c>
      <c r="C1376">
        <v>2</v>
      </c>
      <c r="D1376">
        <v>48</v>
      </c>
      <c r="E1376" t="s">
        <v>30</v>
      </c>
      <c r="J1376">
        <f t="shared" si="117"/>
        <v>63.617251162500004</v>
      </c>
      <c r="K1376">
        <v>5.31</v>
      </c>
      <c r="M1376">
        <f t="shared" si="119"/>
        <v>0</v>
      </c>
      <c r="N1376">
        <f t="shared" si="118"/>
        <v>-5.31</v>
      </c>
    </row>
    <row r="1377" spans="1:14" x14ac:dyDescent="0.3">
      <c r="A1377" t="s">
        <v>249</v>
      </c>
      <c r="B1377" t="s">
        <v>54</v>
      </c>
      <c r="C1377">
        <v>2</v>
      </c>
      <c r="D1377">
        <v>48</v>
      </c>
      <c r="E1377" t="s">
        <v>31</v>
      </c>
      <c r="J1377">
        <f t="shared" si="117"/>
        <v>63.617251162500004</v>
      </c>
      <c r="K1377">
        <v>5.31</v>
      </c>
      <c r="M1377">
        <f t="shared" si="119"/>
        <v>0</v>
      </c>
      <c r="N1377">
        <f t="shared" si="118"/>
        <v>-5.31</v>
      </c>
    </row>
    <row r="1378" spans="1:14" x14ac:dyDescent="0.3">
      <c r="A1378" t="s">
        <v>249</v>
      </c>
      <c r="B1378" t="s">
        <v>54</v>
      </c>
      <c r="E1378" t="s">
        <v>67</v>
      </c>
      <c r="J1378">
        <f t="shared" si="117"/>
        <v>63.617251162500004</v>
      </c>
      <c r="K1378">
        <v>5.31</v>
      </c>
      <c r="M1378">
        <f t="shared" si="119"/>
        <v>0</v>
      </c>
      <c r="N1378">
        <f t="shared" si="118"/>
        <v>-5.31</v>
      </c>
    </row>
    <row r="1379" spans="1:14" x14ac:dyDescent="0.3">
      <c r="A1379" t="s">
        <v>249</v>
      </c>
      <c r="B1379" t="s">
        <v>54</v>
      </c>
      <c r="E1379" t="s">
        <v>68</v>
      </c>
      <c r="J1379">
        <f t="shared" si="117"/>
        <v>63.617251162500004</v>
      </c>
      <c r="K1379">
        <v>5.31</v>
      </c>
      <c r="M1379">
        <f t="shared" si="119"/>
        <v>0</v>
      </c>
      <c r="N1379">
        <f t="shared" si="118"/>
        <v>-5.31</v>
      </c>
    </row>
    <row r="1380" spans="1:14" x14ac:dyDescent="0.3">
      <c r="A1380" t="s">
        <v>249</v>
      </c>
      <c r="B1380" t="s">
        <v>54</v>
      </c>
      <c r="E1380" t="s">
        <v>69</v>
      </c>
      <c r="J1380">
        <f t="shared" si="117"/>
        <v>63.617251162500004</v>
      </c>
      <c r="K1380">
        <v>5.31</v>
      </c>
      <c r="M1380">
        <f t="shared" si="119"/>
        <v>0</v>
      </c>
      <c r="N1380">
        <f t="shared" si="118"/>
        <v>-5.31</v>
      </c>
    </row>
    <row r="1381" spans="1:14" x14ac:dyDescent="0.3">
      <c r="A1381" t="s">
        <v>249</v>
      </c>
      <c r="B1381" t="s">
        <v>54</v>
      </c>
      <c r="E1381" t="s">
        <v>70</v>
      </c>
      <c r="J1381">
        <f t="shared" si="117"/>
        <v>63.617251162500004</v>
      </c>
      <c r="K1381">
        <v>5.31</v>
      </c>
      <c r="M1381">
        <f t="shared" si="119"/>
        <v>0</v>
      </c>
      <c r="N1381">
        <f t="shared" si="118"/>
        <v>-5.31</v>
      </c>
    </row>
    <row r="1382" spans="1:14" x14ac:dyDescent="0.3">
      <c r="A1382" t="s">
        <v>249</v>
      </c>
      <c r="B1382" t="s">
        <v>57</v>
      </c>
      <c r="C1382">
        <v>1</v>
      </c>
      <c r="D1382">
        <v>0.5</v>
      </c>
      <c r="E1382" t="s">
        <v>64</v>
      </c>
      <c r="J1382">
        <f t="shared" si="117"/>
        <v>63.617251162500004</v>
      </c>
      <c r="K1382">
        <v>5.31</v>
      </c>
      <c r="M1382">
        <f t="shared" si="119"/>
        <v>0</v>
      </c>
      <c r="N1382">
        <f t="shared" si="118"/>
        <v>-5.31</v>
      </c>
    </row>
    <row r="1383" spans="1:14" x14ac:dyDescent="0.3">
      <c r="A1383" t="s">
        <v>249</v>
      </c>
      <c r="B1383" t="s">
        <v>57</v>
      </c>
      <c r="C1383">
        <v>1</v>
      </c>
      <c r="D1383">
        <v>0.5</v>
      </c>
      <c r="E1383" t="s">
        <v>30</v>
      </c>
      <c r="J1383">
        <f t="shared" si="117"/>
        <v>63.617251162500004</v>
      </c>
      <c r="K1383">
        <v>5.31</v>
      </c>
      <c r="M1383">
        <f t="shared" si="119"/>
        <v>0</v>
      </c>
      <c r="N1383">
        <f t="shared" si="118"/>
        <v>-5.31</v>
      </c>
    </row>
    <row r="1384" spans="1:14" x14ac:dyDescent="0.3">
      <c r="A1384" t="s">
        <v>249</v>
      </c>
      <c r="B1384" t="s">
        <v>57</v>
      </c>
      <c r="C1384">
        <v>1</v>
      </c>
      <c r="D1384">
        <v>0.5</v>
      </c>
      <c r="E1384" t="s">
        <v>31</v>
      </c>
      <c r="J1384">
        <f t="shared" si="117"/>
        <v>63.617251162500004</v>
      </c>
      <c r="K1384">
        <v>5.31</v>
      </c>
      <c r="M1384">
        <f t="shared" si="119"/>
        <v>0</v>
      </c>
      <c r="N1384">
        <f t="shared" si="118"/>
        <v>-5.31</v>
      </c>
    </row>
    <row r="1385" spans="1:14" x14ac:dyDescent="0.3">
      <c r="A1385" t="s">
        <v>249</v>
      </c>
      <c r="B1385" t="s">
        <v>57</v>
      </c>
      <c r="C1385">
        <v>1</v>
      </c>
      <c r="D1385">
        <v>2</v>
      </c>
      <c r="E1385" t="s">
        <v>64</v>
      </c>
      <c r="J1385">
        <f t="shared" si="117"/>
        <v>63.617251162500004</v>
      </c>
      <c r="K1385">
        <v>5.31</v>
      </c>
      <c r="M1385">
        <f t="shared" si="119"/>
        <v>0</v>
      </c>
      <c r="N1385">
        <f t="shared" si="118"/>
        <v>-5.31</v>
      </c>
    </row>
    <row r="1386" spans="1:14" x14ac:dyDescent="0.3">
      <c r="A1386" t="s">
        <v>249</v>
      </c>
      <c r="B1386" t="s">
        <v>57</v>
      </c>
      <c r="C1386">
        <v>1</v>
      </c>
      <c r="D1386">
        <v>2</v>
      </c>
      <c r="E1386" t="s">
        <v>30</v>
      </c>
      <c r="J1386">
        <f t="shared" si="117"/>
        <v>63.617251162500004</v>
      </c>
      <c r="K1386">
        <v>5.31</v>
      </c>
      <c r="M1386">
        <f t="shared" si="119"/>
        <v>0</v>
      </c>
      <c r="N1386">
        <f t="shared" si="118"/>
        <v>-5.31</v>
      </c>
    </row>
    <row r="1387" spans="1:14" x14ac:dyDescent="0.3">
      <c r="A1387" t="s">
        <v>249</v>
      </c>
      <c r="B1387" t="s">
        <v>57</v>
      </c>
      <c r="C1387">
        <v>1</v>
      </c>
      <c r="D1387">
        <v>2</v>
      </c>
      <c r="E1387" t="s">
        <v>31</v>
      </c>
      <c r="J1387">
        <f t="shared" si="117"/>
        <v>63.617251162500004</v>
      </c>
      <c r="K1387">
        <v>5.31</v>
      </c>
      <c r="M1387">
        <f t="shared" si="119"/>
        <v>0</v>
      </c>
      <c r="N1387">
        <f t="shared" si="118"/>
        <v>-5.31</v>
      </c>
    </row>
    <row r="1388" spans="1:14" x14ac:dyDescent="0.3">
      <c r="A1388" t="s">
        <v>249</v>
      </c>
      <c r="B1388" t="s">
        <v>57</v>
      </c>
      <c r="C1388">
        <v>1</v>
      </c>
      <c r="D1388">
        <v>6</v>
      </c>
      <c r="E1388" t="s">
        <v>64</v>
      </c>
      <c r="J1388">
        <f t="shared" ref="J1388:J1451" si="120">4.5*4.5*3.14159265</f>
        <v>63.617251162500004</v>
      </c>
      <c r="K1388">
        <v>5.31</v>
      </c>
      <c r="M1388">
        <f t="shared" si="119"/>
        <v>0</v>
      </c>
      <c r="N1388">
        <f t="shared" si="118"/>
        <v>-5.31</v>
      </c>
    </row>
    <row r="1389" spans="1:14" x14ac:dyDescent="0.3">
      <c r="A1389" t="s">
        <v>249</v>
      </c>
      <c r="B1389" t="s">
        <v>57</v>
      </c>
      <c r="C1389">
        <v>1</v>
      </c>
      <c r="D1389">
        <v>6</v>
      </c>
      <c r="E1389" t="s">
        <v>30</v>
      </c>
      <c r="J1389">
        <f t="shared" si="120"/>
        <v>63.617251162500004</v>
      </c>
      <c r="K1389">
        <v>5.31</v>
      </c>
      <c r="M1389">
        <f t="shared" si="119"/>
        <v>0</v>
      </c>
      <c r="N1389">
        <f t="shared" ref="N1389:N1452" si="121">L1389*J1389-K1389</f>
        <v>-5.31</v>
      </c>
    </row>
    <row r="1390" spans="1:14" x14ac:dyDescent="0.3">
      <c r="A1390" t="s">
        <v>249</v>
      </c>
      <c r="B1390" t="s">
        <v>57</v>
      </c>
      <c r="C1390">
        <v>1</v>
      </c>
      <c r="D1390">
        <v>6</v>
      </c>
      <c r="E1390" t="s">
        <v>31</v>
      </c>
      <c r="J1390">
        <f t="shared" si="120"/>
        <v>63.617251162500004</v>
      </c>
      <c r="K1390">
        <v>5.31</v>
      </c>
      <c r="M1390">
        <f t="shared" si="119"/>
        <v>0</v>
      </c>
      <c r="N1390">
        <f t="shared" si="121"/>
        <v>-5.31</v>
      </c>
    </row>
    <row r="1391" spans="1:14" x14ac:dyDescent="0.3">
      <c r="A1391" t="s">
        <v>249</v>
      </c>
      <c r="B1391" t="s">
        <v>57</v>
      </c>
      <c r="C1391">
        <v>1</v>
      </c>
      <c r="D1391">
        <v>12</v>
      </c>
      <c r="E1391" t="s">
        <v>64</v>
      </c>
      <c r="J1391">
        <f t="shared" si="120"/>
        <v>63.617251162500004</v>
      </c>
      <c r="K1391">
        <v>5.31</v>
      </c>
      <c r="M1391">
        <f t="shared" si="119"/>
        <v>0</v>
      </c>
      <c r="N1391">
        <f t="shared" si="121"/>
        <v>-5.31</v>
      </c>
    </row>
    <row r="1392" spans="1:14" x14ac:dyDescent="0.3">
      <c r="A1392" t="s">
        <v>249</v>
      </c>
      <c r="B1392" t="s">
        <v>57</v>
      </c>
      <c r="C1392">
        <v>1</v>
      </c>
      <c r="D1392">
        <v>12</v>
      </c>
      <c r="E1392" t="s">
        <v>30</v>
      </c>
      <c r="J1392">
        <f t="shared" si="120"/>
        <v>63.617251162500004</v>
      </c>
      <c r="K1392">
        <v>5.31</v>
      </c>
      <c r="M1392">
        <f t="shared" si="119"/>
        <v>0</v>
      </c>
      <c r="N1392">
        <f t="shared" si="121"/>
        <v>-5.31</v>
      </c>
    </row>
    <row r="1393" spans="1:14" x14ac:dyDescent="0.3">
      <c r="A1393" t="s">
        <v>249</v>
      </c>
      <c r="B1393" t="s">
        <v>57</v>
      </c>
      <c r="C1393">
        <v>1</v>
      </c>
      <c r="D1393">
        <v>12</v>
      </c>
      <c r="E1393" t="s">
        <v>31</v>
      </c>
      <c r="J1393">
        <f t="shared" si="120"/>
        <v>63.617251162500004</v>
      </c>
      <c r="K1393">
        <v>5.31</v>
      </c>
      <c r="M1393">
        <f t="shared" si="119"/>
        <v>0</v>
      </c>
      <c r="N1393">
        <f t="shared" si="121"/>
        <v>-5.31</v>
      </c>
    </row>
    <row r="1394" spans="1:14" x14ac:dyDescent="0.3">
      <c r="A1394" t="s">
        <v>249</v>
      </c>
      <c r="B1394" t="s">
        <v>57</v>
      </c>
      <c r="C1394">
        <v>1</v>
      </c>
      <c r="D1394">
        <v>18</v>
      </c>
      <c r="E1394" t="s">
        <v>64</v>
      </c>
      <c r="J1394">
        <f t="shared" si="120"/>
        <v>63.617251162500004</v>
      </c>
      <c r="K1394">
        <v>5.31</v>
      </c>
      <c r="M1394">
        <f t="shared" si="119"/>
        <v>0</v>
      </c>
      <c r="N1394">
        <f t="shared" si="121"/>
        <v>-5.31</v>
      </c>
    </row>
    <row r="1395" spans="1:14" x14ac:dyDescent="0.3">
      <c r="A1395" t="s">
        <v>249</v>
      </c>
      <c r="B1395" t="s">
        <v>57</v>
      </c>
      <c r="C1395">
        <v>1</v>
      </c>
      <c r="D1395">
        <v>18</v>
      </c>
      <c r="E1395" t="s">
        <v>30</v>
      </c>
      <c r="J1395">
        <f t="shared" si="120"/>
        <v>63.617251162500004</v>
      </c>
      <c r="K1395">
        <v>5.31</v>
      </c>
      <c r="M1395">
        <f t="shared" si="119"/>
        <v>0</v>
      </c>
      <c r="N1395">
        <f t="shared" si="121"/>
        <v>-5.31</v>
      </c>
    </row>
    <row r="1396" spans="1:14" x14ac:dyDescent="0.3">
      <c r="A1396" t="s">
        <v>249</v>
      </c>
      <c r="B1396" t="s">
        <v>57</v>
      </c>
      <c r="C1396">
        <v>1</v>
      </c>
      <c r="D1396">
        <v>18</v>
      </c>
      <c r="E1396" t="s">
        <v>31</v>
      </c>
      <c r="J1396">
        <f t="shared" si="120"/>
        <v>63.617251162500004</v>
      </c>
      <c r="K1396">
        <v>5.31</v>
      </c>
      <c r="M1396">
        <f t="shared" si="119"/>
        <v>0</v>
      </c>
      <c r="N1396">
        <f t="shared" si="121"/>
        <v>-5.31</v>
      </c>
    </row>
    <row r="1397" spans="1:14" x14ac:dyDescent="0.3">
      <c r="A1397" t="s">
        <v>249</v>
      </c>
      <c r="B1397" t="s">
        <v>57</v>
      </c>
      <c r="C1397">
        <v>1</v>
      </c>
      <c r="D1397">
        <v>24</v>
      </c>
      <c r="E1397" t="s">
        <v>28</v>
      </c>
      <c r="J1397">
        <f t="shared" si="120"/>
        <v>63.617251162500004</v>
      </c>
      <c r="K1397">
        <v>5.31</v>
      </c>
      <c r="M1397">
        <f t="shared" si="119"/>
        <v>0</v>
      </c>
      <c r="N1397">
        <f t="shared" si="121"/>
        <v>-5.31</v>
      </c>
    </row>
    <row r="1398" spans="1:14" x14ac:dyDescent="0.3">
      <c r="A1398" t="s">
        <v>249</v>
      </c>
      <c r="B1398" t="s">
        <v>57</v>
      </c>
      <c r="C1398">
        <v>1</v>
      </c>
      <c r="D1398">
        <v>24</v>
      </c>
      <c r="E1398" t="s">
        <v>30</v>
      </c>
      <c r="J1398">
        <f t="shared" si="120"/>
        <v>63.617251162500004</v>
      </c>
      <c r="K1398">
        <v>5.31</v>
      </c>
      <c r="M1398">
        <f t="shared" si="119"/>
        <v>0</v>
      </c>
      <c r="N1398">
        <f t="shared" si="121"/>
        <v>-5.31</v>
      </c>
    </row>
    <row r="1399" spans="1:14" x14ac:dyDescent="0.3">
      <c r="A1399" t="s">
        <v>249</v>
      </c>
      <c r="B1399" t="s">
        <v>57</v>
      </c>
      <c r="C1399">
        <v>1</v>
      </c>
      <c r="D1399">
        <v>24</v>
      </c>
      <c r="E1399" t="s">
        <v>31</v>
      </c>
      <c r="J1399">
        <f t="shared" si="120"/>
        <v>63.617251162500004</v>
      </c>
      <c r="K1399">
        <v>5.31</v>
      </c>
      <c r="M1399">
        <f t="shared" si="119"/>
        <v>0</v>
      </c>
      <c r="N1399">
        <f t="shared" si="121"/>
        <v>-5.31</v>
      </c>
    </row>
    <row r="1400" spans="1:14" x14ac:dyDescent="0.3">
      <c r="A1400" t="s">
        <v>249</v>
      </c>
      <c r="B1400" t="s">
        <v>57</v>
      </c>
      <c r="C1400">
        <v>1</v>
      </c>
      <c r="D1400">
        <v>48</v>
      </c>
      <c r="E1400" t="s">
        <v>64</v>
      </c>
      <c r="J1400">
        <f t="shared" si="120"/>
        <v>63.617251162500004</v>
      </c>
      <c r="K1400">
        <v>5.31</v>
      </c>
      <c r="M1400">
        <f t="shared" si="119"/>
        <v>0</v>
      </c>
      <c r="N1400">
        <f t="shared" si="121"/>
        <v>-5.31</v>
      </c>
    </row>
    <row r="1401" spans="1:14" x14ac:dyDescent="0.3">
      <c r="A1401" t="s">
        <v>249</v>
      </c>
      <c r="B1401" t="s">
        <v>57</v>
      </c>
      <c r="C1401">
        <v>1</v>
      </c>
      <c r="D1401">
        <v>48</v>
      </c>
      <c r="E1401" t="s">
        <v>30</v>
      </c>
      <c r="J1401">
        <f t="shared" si="120"/>
        <v>63.617251162500004</v>
      </c>
      <c r="K1401">
        <v>5.31</v>
      </c>
      <c r="M1401">
        <f t="shared" si="119"/>
        <v>0</v>
      </c>
      <c r="N1401">
        <f t="shared" si="121"/>
        <v>-5.31</v>
      </c>
    </row>
    <row r="1402" spans="1:14" x14ac:dyDescent="0.3">
      <c r="A1402" t="s">
        <v>249</v>
      </c>
      <c r="B1402" t="s">
        <v>57</v>
      </c>
      <c r="C1402">
        <v>1</v>
      </c>
      <c r="D1402">
        <v>48</v>
      </c>
      <c r="E1402" t="s">
        <v>31</v>
      </c>
      <c r="J1402">
        <f t="shared" si="120"/>
        <v>63.617251162500004</v>
      </c>
      <c r="K1402">
        <v>5.31</v>
      </c>
      <c r="M1402">
        <f t="shared" si="119"/>
        <v>0</v>
      </c>
      <c r="N1402">
        <f t="shared" si="121"/>
        <v>-5.31</v>
      </c>
    </row>
    <row r="1403" spans="1:14" x14ac:dyDescent="0.3">
      <c r="A1403" t="s">
        <v>249</v>
      </c>
      <c r="B1403" t="s">
        <v>57</v>
      </c>
      <c r="C1403">
        <v>2</v>
      </c>
      <c r="D1403">
        <v>0.5</v>
      </c>
      <c r="E1403" t="s">
        <v>64</v>
      </c>
      <c r="J1403">
        <f t="shared" si="120"/>
        <v>63.617251162500004</v>
      </c>
      <c r="K1403">
        <v>5.31</v>
      </c>
      <c r="M1403">
        <f t="shared" si="119"/>
        <v>0</v>
      </c>
      <c r="N1403">
        <f t="shared" si="121"/>
        <v>-5.31</v>
      </c>
    </row>
    <row r="1404" spans="1:14" x14ac:dyDescent="0.3">
      <c r="A1404" t="s">
        <v>249</v>
      </c>
      <c r="B1404" t="s">
        <v>57</v>
      </c>
      <c r="C1404">
        <v>2</v>
      </c>
      <c r="D1404">
        <v>0.5</v>
      </c>
      <c r="E1404" t="s">
        <v>30</v>
      </c>
      <c r="J1404">
        <f t="shared" si="120"/>
        <v>63.617251162500004</v>
      </c>
      <c r="K1404">
        <v>5.31</v>
      </c>
      <c r="M1404">
        <f t="shared" si="119"/>
        <v>0</v>
      </c>
      <c r="N1404">
        <f t="shared" si="121"/>
        <v>-5.31</v>
      </c>
    </row>
    <row r="1405" spans="1:14" x14ac:dyDescent="0.3">
      <c r="A1405" t="s">
        <v>249</v>
      </c>
      <c r="B1405" t="s">
        <v>57</v>
      </c>
      <c r="C1405">
        <v>2</v>
      </c>
      <c r="D1405">
        <v>0.5</v>
      </c>
      <c r="E1405" t="s">
        <v>31</v>
      </c>
      <c r="J1405">
        <f t="shared" si="120"/>
        <v>63.617251162500004</v>
      </c>
      <c r="K1405">
        <v>5.31</v>
      </c>
      <c r="M1405">
        <f t="shared" si="119"/>
        <v>0</v>
      </c>
      <c r="N1405">
        <f t="shared" si="121"/>
        <v>-5.31</v>
      </c>
    </row>
    <row r="1406" spans="1:14" x14ac:dyDescent="0.3">
      <c r="A1406" t="s">
        <v>249</v>
      </c>
      <c r="B1406" t="s">
        <v>57</v>
      </c>
      <c r="C1406">
        <v>2</v>
      </c>
      <c r="D1406">
        <v>2</v>
      </c>
      <c r="E1406" t="s">
        <v>64</v>
      </c>
      <c r="J1406">
        <f t="shared" si="120"/>
        <v>63.617251162500004</v>
      </c>
      <c r="K1406">
        <v>5.31</v>
      </c>
      <c r="M1406">
        <f t="shared" si="119"/>
        <v>0</v>
      </c>
      <c r="N1406">
        <f t="shared" si="121"/>
        <v>-5.31</v>
      </c>
    </row>
    <row r="1407" spans="1:14" x14ac:dyDescent="0.3">
      <c r="A1407" t="s">
        <v>249</v>
      </c>
      <c r="B1407" t="s">
        <v>57</v>
      </c>
      <c r="C1407">
        <v>2</v>
      </c>
      <c r="D1407">
        <v>2</v>
      </c>
      <c r="E1407" t="s">
        <v>30</v>
      </c>
      <c r="J1407">
        <f t="shared" si="120"/>
        <v>63.617251162500004</v>
      </c>
      <c r="K1407">
        <v>5.31</v>
      </c>
      <c r="M1407">
        <f t="shared" si="119"/>
        <v>0</v>
      </c>
      <c r="N1407">
        <f t="shared" si="121"/>
        <v>-5.31</v>
      </c>
    </row>
    <row r="1408" spans="1:14" x14ac:dyDescent="0.3">
      <c r="A1408" t="s">
        <v>249</v>
      </c>
      <c r="B1408" t="s">
        <v>57</v>
      </c>
      <c r="C1408">
        <v>2</v>
      </c>
      <c r="D1408">
        <v>2</v>
      </c>
      <c r="E1408" t="s">
        <v>31</v>
      </c>
      <c r="J1408">
        <f t="shared" si="120"/>
        <v>63.617251162500004</v>
      </c>
      <c r="K1408">
        <v>5.31</v>
      </c>
      <c r="M1408">
        <f t="shared" si="119"/>
        <v>0</v>
      </c>
      <c r="N1408">
        <f t="shared" si="121"/>
        <v>-5.31</v>
      </c>
    </row>
    <row r="1409" spans="1:14" x14ac:dyDescent="0.3">
      <c r="A1409" t="s">
        <v>249</v>
      </c>
      <c r="B1409" t="s">
        <v>57</v>
      </c>
      <c r="C1409">
        <v>2</v>
      </c>
      <c r="D1409">
        <v>6</v>
      </c>
      <c r="E1409" t="s">
        <v>64</v>
      </c>
      <c r="J1409">
        <f t="shared" si="120"/>
        <v>63.617251162500004</v>
      </c>
      <c r="K1409">
        <v>5.31</v>
      </c>
      <c r="M1409">
        <f t="shared" si="119"/>
        <v>0</v>
      </c>
      <c r="N1409">
        <f t="shared" si="121"/>
        <v>-5.31</v>
      </c>
    </row>
    <row r="1410" spans="1:14" x14ac:dyDescent="0.3">
      <c r="A1410" t="s">
        <v>249</v>
      </c>
      <c r="B1410" t="s">
        <v>57</v>
      </c>
      <c r="C1410">
        <v>2</v>
      </c>
      <c r="D1410">
        <v>6</v>
      </c>
      <c r="E1410" t="s">
        <v>30</v>
      </c>
      <c r="J1410">
        <f t="shared" si="120"/>
        <v>63.617251162500004</v>
      </c>
      <c r="K1410">
        <v>5.31</v>
      </c>
      <c r="M1410">
        <f t="shared" si="119"/>
        <v>0</v>
      </c>
      <c r="N1410">
        <f t="shared" si="121"/>
        <v>-5.31</v>
      </c>
    </row>
    <row r="1411" spans="1:14" x14ac:dyDescent="0.3">
      <c r="A1411" t="s">
        <v>249</v>
      </c>
      <c r="B1411" t="s">
        <v>57</v>
      </c>
      <c r="C1411">
        <v>2</v>
      </c>
      <c r="D1411">
        <v>6</v>
      </c>
      <c r="E1411" t="s">
        <v>31</v>
      </c>
      <c r="J1411">
        <f t="shared" si="120"/>
        <v>63.617251162500004</v>
      </c>
      <c r="K1411">
        <v>5.31</v>
      </c>
      <c r="M1411">
        <f t="shared" si="119"/>
        <v>0</v>
      </c>
      <c r="N1411">
        <f t="shared" si="121"/>
        <v>-5.31</v>
      </c>
    </row>
    <row r="1412" spans="1:14" x14ac:dyDescent="0.3">
      <c r="A1412" t="s">
        <v>249</v>
      </c>
      <c r="B1412" t="s">
        <v>57</v>
      </c>
      <c r="C1412">
        <v>2</v>
      </c>
      <c r="D1412">
        <v>12</v>
      </c>
      <c r="E1412" t="s">
        <v>64</v>
      </c>
      <c r="J1412">
        <f t="shared" si="120"/>
        <v>63.617251162500004</v>
      </c>
      <c r="K1412">
        <v>5.31</v>
      </c>
      <c r="M1412">
        <f t="shared" ref="M1412:M1475" si="122">L1412*F1412</f>
        <v>0</v>
      </c>
      <c r="N1412">
        <f t="shared" si="121"/>
        <v>-5.31</v>
      </c>
    </row>
    <row r="1413" spans="1:14" x14ac:dyDescent="0.3">
      <c r="A1413" t="s">
        <v>249</v>
      </c>
      <c r="B1413" t="s">
        <v>57</v>
      </c>
      <c r="C1413">
        <v>2</v>
      </c>
      <c r="D1413">
        <v>12</v>
      </c>
      <c r="E1413" t="s">
        <v>30</v>
      </c>
      <c r="J1413">
        <f t="shared" si="120"/>
        <v>63.617251162500004</v>
      </c>
      <c r="K1413">
        <v>5.31</v>
      </c>
      <c r="M1413">
        <f t="shared" si="122"/>
        <v>0</v>
      </c>
      <c r="N1413">
        <f t="shared" si="121"/>
        <v>-5.31</v>
      </c>
    </row>
    <row r="1414" spans="1:14" x14ac:dyDescent="0.3">
      <c r="A1414" t="s">
        <v>249</v>
      </c>
      <c r="B1414" t="s">
        <v>57</v>
      </c>
      <c r="C1414">
        <v>2</v>
      </c>
      <c r="D1414">
        <v>12</v>
      </c>
      <c r="E1414" t="s">
        <v>31</v>
      </c>
      <c r="J1414">
        <f t="shared" si="120"/>
        <v>63.617251162500004</v>
      </c>
      <c r="K1414">
        <v>5.31</v>
      </c>
      <c r="M1414">
        <f t="shared" si="122"/>
        <v>0</v>
      </c>
      <c r="N1414">
        <f t="shared" si="121"/>
        <v>-5.31</v>
      </c>
    </row>
    <row r="1415" spans="1:14" x14ac:dyDescent="0.3">
      <c r="A1415" t="s">
        <v>249</v>
      </c>
      <c r="B1415" t="s">
        <v>57</v>
      </c>
      <c r="C1415">
        <v>2</v>
      </c>
      <c r="D1415">
        <v>18</v>
      </c>
      <c r="E1415" t="s">
        <v>64</v>
      </c>
      <c r="J1415">
        <f t="shared" si="120"/>
        <v>63.617251162500004</v>
      </c>
      <c r="K1415">
        <v>5.31</v>
      </c>
      <c r="M1415">
        <f t="shared" si="122"/>
        <v>0</v>
      </c>
      <c r="N1415">
        <f t="shared" si="121"/>
        <v>-5.31</v>
      </c>
    </row>
    <row r="1416" spans="1:14" x14ac:dyDescent="0.3">
      <c r="A1416" t="s">
        <v>249</v>
      </c>
      <c r="B1416" t="s">
        <v>57</v>
      </c>
      <c r="C1416">
        <v>2</v>
      </c>
      <c r="D1416">
        <v>18</v>
      </c>
      <c r="E1416" t="s">
        <v>30</v>
      </c>
      <c r="J1416">
        <f t="shared" si="120"/>
        <v>63.617251162500004</v>
      </c>
      <c r="K1416">
        <v>5.31</v>
      </c>
      <c r="M1416">
        <f t="shared" si="122"/>
        <v>0</v>
      </c>
      <c r="N1416">
        <f t="shared" si="121"/>
        <v>-5.31</v>
      </c>
    </row>
    <row r="1417" spans="1:14" x14ac:dyDescent="0.3">
      <c r="A1417" t="s">
        <v>249</v>
      </c>
      <c r="B1417" t="s">
        <v>57</v>
      </c>
      <c r="C1417">
        <v>2</v>
      </c>
      <c r="D1417">
        <v>18</v>
      </c>
      <c r="E1417" t="s">
        <v>31</v>
      </c>
      <c r="J1417">
        <f t="shared" si="120"/>
        <v>63.617251162500004</v>
      </c>
      <c r="K1417">
        <v>5.31</v>
      </c>
      <c r="M1417">
        <f t="shared" si="122"/>
        <v>0</v>
      </c>
      <c r="N1417">
        <f t="shared" si="121"/>
        <v>-5.31</v>
      </c>
    </row>
    <row r="1418" spans="1:14" x14ac:dyDescent="0.3">
      <c r="A1418" t="s">
        <v>249</v>
      </c>
      <c r="B1418" t="s">
        <v>57</v>
      </c>
      <c r="C1418">
        <v>2</v>
      </c>
      <c r="D1418">
        <v>24</v>
      </c>
      <c r="E1418" t="s">
        <v>28</v>
      </c>
      <c r="J1418">
        <f t="shared" si="120"/>
        <v>63.617251162500004</v>
      </c>
      <c r="K1418">
        <v>5.31</v>
      </c>
      <c r="M1418">
        <f t="shared" si="122"/>
        <v>0</v>
      </c>
      <c r="N1418">
        <f t="shared" si="121"/>
        <v>-5.31</v>
      </c>
    </row>
    <row r="1419" spans="1:14" x14ac:dyDescent="0.3">
      <c r="A1419" t="s">
        <v>249</v>
      </c>
      <c r="B1419" t="s">
        <v>57</v>
      </c>
      <c r="C1419">
        <v>2</v>
      </c>
      <c r="D1419">
        <v>24</v>
      </c>
      <c r="E1419" t="s">
        <v>30</v>
      </c>
      <c r="J1419">
        <f t="shared" si="120"/>
        <v>63.617251162500004</v>
      </c>
      <c r="K1419">
        <v>5.31</v>
      </c>
      <c r="M1419">
        <f t="shared" si="122"/>
        <v>0</v>
      </c>
      <c r="N1419">
        <f t="shared" si="121"/>
        <v>-5.31</v>
      </c>
    </row>
    <row r="1420" spans="1:14" x14ac:dyDescent="0.3">
      <c r="A1420" t="s">
        <v>249</v>
      </c>
      <c r="B1420" t="s">
        <v>57</v>
      </c>
      <c r="C1420">
        <v>2</v>
      </c>
      <c r="D1420">
        <v>24</v>
      </c>
      <c r="E1420" t="s">
        <v>31</v>
      </c>
      <c r="J1420">
        <f t="shared" si="120"/>
        <v>63.617251162500004</v>
      </c>
      <c r="K1420">
        <v>5.31</v>
      </c>
      <c r="M1420">
        <f t="shared" si="122"/>
        <v>0</v>
      </c>
      <c r="N1420">
        <f t="shared" si="121"/>
        <v>-5.31</v>
      </c>
    </row>
    <row r="1421" spans="1:14" x14ac:dyDescent="0.3">
      <c r="A1421" t="s">
        <v>249</v>
      </c>
      <c r="B1421" t="s">
        <v>57</v>
      </c>
      <c r="C1421">
        <v>2</v>
      </c>
      <c r="D1421">
        <v>48</v>
      </c>
      <c r="E1421" t="s">
        <v>64</v>
      </c>
      <c r="J1421">
        <f t="shared" si="120"/>
        <v>63.617251162500004</v>
      </c>
      <c r="K1421">
        <v>5.31</v>
      </c>
      <c r="M1421">
        <f t="shared" si="122"/>
        <v>0</v>
      </c>
      <c r="N1421">
        <f t="shared" si="121"/>
        <v>-5.31</v>
      </c>
    </row>
    <row r="1422" spans="1:14" x14ac:dyDescent="0.3">
      <c r="A1422" t="s">
        <v>249</v>
      </c>
      <c r="B1422" t="s">
        <v>57</v>
      </c>
      <c r="C1422">
        <v>2</v>
      </c>
      <c r="D1422">
        <v>48</v>
      </c>
      <c r="E1422" t="s">
        <v>30</v>
      </c>
      <c r="J1422">
        <f t="shared" si="120"/>
        <v>63.617251162500004</v>
      </c>
      <c r="K1422">
        <v>5.31</v>
      </c>
      <c r="M1422">
        <f t="shared" si="122"/>
        <v>0</v>
      </c>
      <c r="N1422">
        <f t="shared" si="121"/>
        <v>-5.31</v>
      </c>
    </row>
    <row r="1423" spans="1:14" x14ac:dyDescent="0.3">
      <c r="A1423" t="s">
        <v>249</v>
      </c>
      <c r="B1423" t="s">
        <v>57</v>
      </c>
      <c r="C1423">
        <v>2</v>
      </c>
      <c r="D1423">
        <v>48</v>
      </c>
      <c r="E1423" t="s">
        <v>31</v>
      </c>
      <c r="J1423">
        <f t="shared" si="120"/>
        <v>63.617251162500004</v>
      </c>
      <c r="K1423">
        <v>5.31</v>
      </c>
      <c r="M1423">
        <f t="shared" si="122"/>
        <v>0</v>
      </c>
      <c r="N1423">
        <f t="shared" si="121"/>
        <v>-5.31</v>
      </c>
    </row>
    <row r="1424" spans="1:14" x14ac:dyDescent="0.3">
      <c r="A1424" t="s">
        <v>249</v>
      </c>
      <c r="B1424" t="s">
        <v>57</v>
      </c>
      <c r="E1424" t="s">
        <v>67</v>
      </c>
      <c r="J1424">
        <f t="shared" si="120"/>
        <v>63.617251162500004</v>
      </c>
      <c r="K1424">
        <v>5.31</v>
      </c>
      <c r="M1424">
        <f t="shared" si="122"/>
        <v>0</v>
      </c>
      <c r="N1424">
        <f t="shared" si="121"/>
        <v>-5.31</v>
      </c>
    </row>
    <row r="1425" spans="1:14" x14ac:dyDescent="0.3">
      <c r="A1425" t="s">
        <v>249</v>
      </c>
      <c r="B1425" t="s">
        <v>57</v>
      </c>
      <c r="E1425" t="s">
        <v>68</v>
      </c>
      <c r="J1425">
        <f t="shared" si="120"/>
        <v>63.617251162500004</v>
      </c>
      <c r="K1425">
        <v>5.31</v>
      </c>
      <c r="M1425">
        <f t="shared" si="122"/>
        <v>0</v>
      </c>
      <c r="N1425">
        <f t="shared" si="121"/>
        <v>-5.31</v>
      </c>
    </row>
    <row r="1426" spans="1:14" x14ac:dyDescent="0.3">
      <c r="A1426" t="s">
        <v>249</v>
      </c>
      <c r="B1426" t="s">
        <v>57</v>
      </c>
      <c r="E1426" t="s">
        <v>69</v>
      </c>
      <c r="J1426">
        <f t="shared" si="120"/>
        <v>63.617251162500004</v>
      </c>
      <c r="K1426">
        <v>5.31</v>
      </c>
      <c r="M1426">
        <f t="shared" si="122"/>
        <v>0</v>
      </c>
      <c r="N1426">
        <f t="shared" si="121"/>
        <v>-5.31</v>
      </c>
    </row>
    <row r="1427" spans="1:14" x14ac:dyDescent="0.3">
      <c r="A1427" t="s">
        <v>249</v>
      </c>
      <c r="B1427" t="s">
        <v>57</v>
      </c>
      <c r="E1427" t="s">
        <v>70</v>
      </c>
      <c r="J1427">
        <f t="shared" si="120"/>
        <v>63.617251162500004</v>
      </c>
      <c r="K1427">
        <v>5.31</v>
      </c>
      <c r="M1427">
        <f t="shared" si="122"/>
        <v>0</v>
      </c>
      <c r="N1427">
        <f t="shared" si="121"/>
        <v>-5.31</v>
      </c>
    </row>
    <row r="1428" spans="1:14" x14ac:dyDescent="0.3">
      <c r="A1428" t="s">
        <v>250</v>
      </c>
      <c r="B1428" t="s">
        <v>61</v>
      </c>
      <c r="C1428">
        <v>1</v>
      </c>
      <c r="D1428">
        <v>0.5</v>
      </c>
      <c r="E1428" t="s">
        <v>28</v>
      </c>
      <c r="J1428">
        <f t="shared" si="120"/>
        <v>63.617251162500004</v>
      </c>
      <c r="K1428">
        <v>5.31</v>
      </c>
      <c r="M1428">
        <f t="shared" si="122"/>
        <v>0</v>
      </c>
      <c r="N1428">
        <f t="shared" si="121"/>
        <v>-5.31</v>
      </c>
    </row>
    <row r="1429" spans="1:14" x14ac:dyDescent="0.3">
      <c r="A1429" t="s">
        <v>250</v>
      </c>
      <c r="B1429" t="s">
        <v>61</v>
      </c>
      <c r="C1429">
        <v>1</v>
      </c>
      <c r="D1429">
        <v>0.5</v>
      </c>
      <c r="E1429" t="s">
        <v>30</v>
      </c>
      <c r="J1429">
        <f t="shared" si="120"/>
        <v>63.617251162500004</v>
      </c>
      <c r="K1429">
        <v>5.31</v>
      </c>
      <c r="M1429">
        <f t="shared" si="122"/>
        <v>0</v>
      </c>
      <c r="N1429">
        <f t="shared" si="121"/>
        <v>-5.31</v>
      </c>
    </row>
    <row r="1430" spans="1:14" x14ac:dyDescent="0.3">
      <c r="A1430" t="s">
        <v>250</v>
      </c>
      <c r="B1430" t="s">
        <v>61</v>
      </c>
      <c r="C1430">
        <v>1</v>
      </c>
      <c r="D1430">
        <v>0.5</v>
      </c>
      <c r="E1430" t="s">
        <v>31</v>
      </c>
      <c r="J1430">
        <f t="shared" si="120"/>
        <v>63.617251162500004</v>
      </c>
      <c r="K1430">
        <v>5.31</v>
      </c>
      <c r="M1430">
        <f t="shared" si="122"/>
        <v>0</v>
      </c>
      <c r="N1430">
        <f t="shared" si="121"/>
        <v>-5.31</v>
      </c>
    </row>
    <row r="1431" spans="1:14" x14ac:dyDescent="0.3">
      <c r="A1431" t="s">
        <v>250</v>
      </c>
      <c r="B1431" t="s">
        <v>61</v>
      </c>
      <c r="C1431">
        <v>1</v>
      </c>
      <c r="D1431">
        <v>2</v>
      </c>
      <c r="E1431" t="s">
        <v>28</v>
      </c>
      <c r="J1431">
        <f t="shared" si="120"/>
        <v>63.617251162500004</v>
      </c>
      <c r="K1431">
        <v>5.31</v>
      </c>
      <c r="M1431">
        <f t="shared" si="122"/>
        <v>0</v>
      </c>
      <c r="N1431">
        <f t="shared" si="121"/>
        <v>-5.31</v>
      </c>
    </row>
    <row r="1432" spans="1:14" x14ac:dyDescent="0.3">
      <c r="A1432" t="s">
        <v>250</v>
      </c>
      <c r="B1432" t="s">
        <v>61</v>
      </c>
      <c r="C1432">
        <v>1</v>
      </c>
      <c r="D1432">
        <v>2</v>
      </c>
      <c r="E1432" t="s">
        <v>30</v>
      </c>
      <c r="J1432">
        <f t="shared" si="120"/>
        <v>63.617251162500004</v>
      </c>
      <c r="K1432">
        <v>5.31</v>
      </c>
      <c r="M1432">
        <f t="shared" si="122"/>
        <v>0</v>
      </c>
      <c r="N1432">
        <f t="shared" si="121"/>
        <v>-5.31</v>
      </c>
    </row>
    <row r="1433" spans="1:14" x14ac:dyDescent="0.3">
      <c r="A1433" t="s">
        <v>250</v>
      </c>
      <c r="B1433" t="s">
        <v>61</v>
      </c>
      <c r="C1433">
        <v>1</v>
      </c>
      <c r="D1433">
        <v>2</v>
      </c>
      <c r="E1433" t="s">
        <v>31</v>
      </c>
      <c r="J1433">
        <f t="shared" si="120"/>
        <v>63.617251162500004</v>
      </c>
      <c r="K1433">
        <v>5.31</v>
      </c>
      <c r="M1433">
        <f t="shared" si="122"/>
        <v>0</v>
      </c>
      <c r="N1433">
        <f t="shared" si="121"/>
        <v>-5.31</v>
      </c>
    </row>
    <row r="1434" spans="1:14" x14ac:dyDescent="0.3">
      <c r="A1434" t="s">
        <v>250</v>
      </c>
      <c r="B1434" t="s">
        <v>61</v>
      </c>
      <c r="C1434">
        <v>1</v>
      </c>
      <c r="D1434">
        <v>6</v>
      </c>
      <c r="E1434" t="s">
        <v>28</v>
      </c>
      <c r="J1434">
        <f t="shared" si="120"/>
        <v>63.617251162500004</v>
      </c>
      <c r="K1434">
        <v>5.31</v>
      </c>
      <c r="M1434">
        <f t="shared" si="122"/>
        <v>0</v>
      </c>
      <c r="N1434">
        <f t="shared" si="121"/>
        <v>-5.31</v>
      </c>
    </row>
    <row r="1435" spans="1:14" x14ac:dyDescent="0.3">
      <c r="A1435" t="s">
        <v>250</v>
      </c>
      <c r="B1435" t="s">
        <v>61</v>
      </c>
      <c r="C1435">
        <v>1</v>
      </c>
      <c r="D1435">
        <v>6</v>
      </c>
      <c r="E1435" t="s">
        <v>30</v>
      </c>
      <c r="J1435">
        <f t="shared" si="120"/>
        <v>63.617251162500004</v>
      </c>
      <c r="K1435">
        <v>5.31</v>
      </c>
      <c r="M1435">
        <f t="shared" si="122"/>
        <v>0</v>
      </c>
      <c r="N1435">
        <f t="shared" si="121"/>
        <v>-5.31</v>
      </c>
    </row>
    <row r="1436" spans="1:14" x14ac:dyDescent="0.3">
      <c r="A1436" t="s">
        <v>250</v>
      </c>
      <c r="B1436" t="s">
        <v>61</v>
      </c>
      <c r="C1436">
        <v>1</v>
      </c>
      <c r="D1436">
        <v>6</v>
      </c>
      <c r="E1436" t="s">
        <v>31</v>
      </c>
      <c r="J1436">
        <f t="shared" si="120"/>
        <v>63.617251162500004</v>
      </c>
      <c r="K1436">
        <v>5.31</v>
      </c>
      <c r="M1436">
        <f t="shared" si="122"/>
        <v>0</v>
      </c>
      <c r="N1436">
        <f t="shared" si="121"/>
        <v>-5.31</v>
      </c>
    </row>
    <row r="1437" spans="1:14" x14ac:dyDescent="0.3">
      <c r="A1437" t="s">
        <v>250</v>
      </c>
      <c r="B1437" t="s">
        <v>61</v>
      </c>
      <c r="C1437">
        <v>1</v>
      </c>
      <c r="D1437">
        <v>12</v>
      </c>
      <c r="E1437" t="s">
        <v>28</v>
      </c>
      <c r="J1437">
        <f t="shared" si="120"/>
        <v>63.617251162500004</v>
      </c>
      <c r="K1437">
        <v>5.31</v>
      </c>
      <c r="M1437">
        <f t="shared" si="122"/>
        <v>0</v>
      </c>
      <c r="N1437">
        <f t="shared" si="121"/>
        <v>-5.31</v>
      </c>
    </row>
    <row r="1438" spans="1:14" x14ac:dyDescent="0.3">
      <c r="A1438" t="s">
        <v>250</v>
      </c>
      <c r="B1438" t="s">
        <v>61</v>
      </c>
      <c r="C1438">
        <v>1</v>
      </c>
      <c r="D1438">
        <v>12</v>
      </c>
      <c r="E1438" t="s">
        <v>30</v>
      </c>
      <c r="J1438">
        <f t="shared" si="120"/>
        <v>63.617251162500004</v>
      </c>
      <c r="K1438">
        <v>5.31</v>
      </c>
      <c r="M1438">
        <f t="shared" si="122"/>
        <v>0</v>
      </c>
      <c r="N1438">
        <f t="shared" si="121"/>
        <v>-5.31</v>
      </c>
    </row>
    <row r="1439" spans="1:14" x14ac:dyDescent="0.3">
      <c r="A1439" t="s">
        <v>250</v>
      </c>
      <c r="B1439" t="s">
        <v>61</v>
      </c>
      <c r="C1439">
        <v>1</v>
      </c>
      <c r="D1439">
        <v>12</v>
      </c>
      <c r="E1439" t="s">
        <v>31</v>
      </c>
      <c r="J1439">
        <f t="shared" si="120"/>
        <v>63.617251162500004</v>
      </c>
      <c r="K1439">
        <v>5.31</v>
      </c>
      <c r="M1439">
        <f t="shared" si="122"/>
        <v>0</v>
      </c>
      <c r="N1439">
        <f t="shared" si="121"/>
        <v>-5.31</v>
      </c>
    </row>
    <row r="1440" spans="1:14" x14ac:dyDescent="0.3">
      <c r="A1440" t="s">
        <v>250</v>
      </c>
      <c r="B1440" t="s">
        <v>61</v>
      </c>
      <c r="C1440">
        <v>1</v>
      </c>
      <c r="D1440">
        <v>18</v>
      </c>
      <c r="E1440" t="s">
        <v>28</v>
      </c>
      <c r="J1440">
        <f t="shared" si="120"/>
        <v>63.617251162500004</v>
      </c>
      <c r="K1440">
        <v>5.31</v>
      </c>
      <c r="M1440">
        <f t="shared" si="122"/>
        <v>0</v>
      </c>
      <c r="N1440">
        <f t="shared" si="121"/>
        <v>-5.31</v>
      </c>
    </row>
    <row r="1441" spans="1:14" x14ac:dyDescent="0.3">
      <c r="A1441" t="s">
        <v>250</v>
      </c>
      <c r="B1441" t="s">
        <v>61</v>
      </c>
      <c r="C1441">
        <v>1</v>
      </c>
      <c r="D1441">
        <v>18</v>
      </c>
      <c r="E1441" t="s">
        <v>30</v>
      </c>
      <c r="J1441">
        <f t="shared" si="120"/>
        <v>63.617251162500004</v>
      </c>
      <c r="K1441">
        <v>5.31</v>
      </c>
      <c r="M1441">
        <f t="shared" si="122"/>
        <v>0</v>
      </c>
      <c r="N1441">
        <f t="shared" si="121"/>
        <v>-5.31</v>
      </c>
    </row>
    <row r="1442" spans="1:14" x14ac:dyDescent="0.3">
      <c r="A1442" t="s">
        <v>250</v>
      </c>
      <c r="B1442" t="s">
        <v>61</v>
      </c>
      <c r="C1442">
        <v>1</v>
      </c>
      <c r="D1442">
        <v>18</v>
      </c>
      <c r="E1442" t="s">
        <v>62</v>
      </c>
      <c r="J1442">
        <f t="shared" si="120"/>
        <v>63.617251162500004</v>
      </c>
      <c r="K1442">
        <v>5.31</v>
      </c>
      <c r="M1442">
        <f t="shared" si="122"/>
        <v>0</v>
      </c>
      <c r="N1442">
        <f t="shared" si="121"/>
        <v>-5.31</v>
      </c>
    </row>
    <row r="1443" spans="1:14" x14ac:dyDescent="0.3">
      <c r="A1443" t="s">
        <v>250</v>
      </c>
      <c r="B1443" t="s">
        <v>61</v>
      </c>
      <c r="C1443">
        <v>1</v>
      </c>
      <c r="D1443">
        <v>24</v>
      </c>
      <c r="E1443" t="s">
        <v>28</v>
      </c>
      <c r="J1443">
        <f t="shared" si="120"/>
        <v>63.617251162500004</v>
      </c>
      <c r="K1443">
        <v>5.31</v>
      </c>
      <c r="M1443">
        <f t="shared" si="122"/>
        <v>0</v>
      </c>
      <c r="N1443">
        <f t="shared" si="121"/>
        <v>-5.31</v>
      </c>
    </row>
    <row r="1444" spans="1:14" x14ac:dyDescent="0.3">
      <c r="A1444" t="s">
        <v>250</v>
      </c>
      <c r="B1444" t="s">
        <v>61</v>
      </c>
      <c r="C1444">
        <v>1</v>
      </c>
      <c r="D1444">
        <v>24</v>
      </c>
      <c r="E1444" t="s">
        <v>30</v>
      </c>
      <c r="J1444">
        <f t="shared" si="120"/>
        <v>63.617251162500004</v>
      </c>
      <c r="K1444">
        <v>5.31</v>
      </c>
      <c r="M1444">
        <f t="shared" si="122"/>
        <v>0</v>
      </c>
      <c r="N1444">
        <f t="shared" si="121"/>
        <v>-5.31</v>
      </c>
    </row>
    <row r="1445" spans="1:14" x14ac:dyDescent="0.3">
      <c r="A1445" t="s">
        <v>250</v>
      </c>
      <c r="B1445" t="s">
        <v>61</v>
      </c>
      <c r="C1445">
        <v>1</v>
      </c>
      <c r="D1445">
        <v>24</v>
      </c>
      <c r="E1445" t="s">
        <v>31</v>
      </c>
      <c r="J1445">
        <f t="shared" si="120"/>
        <v>63.617251162500004</v>
      </c>
      <c r="K1445">
        <v>5.31</v>
      </c>
      <c r="M1445">
        <f t="shared" si="122"/>
        <v>0</v>
      </c>
      <c r="N1445">
        <f t="shared" si="121"/>
        <v>-5.31</v>
      </c>
    </row>
    <row r="1446" spans="1:14" x14ac:dyDescent="0.3">
      <c r="A1446" t="s">
        <v>250</v>
      </c>
      <c r="B1446" t="s">
        <v>61</v>
      </c>
      <c r="C1446">
        <v>1</v>
      </c>
      <c r="D1446">
        <v>48</v>
      </c>
      <c r="E1446" t="s">
        <v>28</v>
      </c>
      <c r="J1446">
        <f t="shared" si="120"/>
        <v>63.617251162500004</v>
      </c>
      <c r="K1446">
        <v>5.31</v>
      </c>
      <c r="M1446">
        <f t="shared" si="122"/>
        <v>0</v>
      </c>
      <c r="N1446">
        <f t="shared" si="121"/>
        <v>-5.31</v>
      </c>
    </row>
    <row r="1447" spans="1:14" x14ac:dyDescent="0.3">
      <c r="A1447" t="s">
        <v>250</v>
      </c>
      <c r="B1447" t="s">
        <v>61</v>
      </c>
      <c r="C1447">
        <v>1</v>
      </c>
      <c r="D1447">
        <v>48</v>
      </c>
      <c r="E1447" t="s">
        <v>30</v>
      </c>
      <c r="J1447">
        <f t="shared" si="120"/>
        <v>63.617251162500004</v>
      </c>
      <c r="K1447">
        <v>5.31</v>
      </c>
      <c r="M1447">
        <f t="shared" si="122"/>
        <v>0</v>
      </c>
      <c r="N1447">
        <f t="shared" si="121"/>
        <v>-5.31</v>
      </c>
    </row>
    <row r="1448" spans="1:14" x14ac:dyDescent="0.3">
      <c r="A1448" t="s">
        <v>250</v>
      </c>
      <c r="B1448" t="s">
        <v>61</v>
      </c>
      <c r="C1448">
        <v>1</v>
      </c>
      <c r="D1448">
        <v>48</v>
      </c>
      <c r="E1448" t="s">
        <v>31</v>
      </c>
      <c r="J1448">
        <f t="shared" si="120"/>
        <v>63.617251162500004</v>
      </c>
      <c r="K1448">
        <v>5.31</v>
      </c>
      <c r="M1448">
        <f t="shared" si="122"/>
        <v>0</v>
      </c>
      <c r="N1448">
        <f t="shared" si="121"/>
        <v>-5.31</v>
      </c>
    </row>
    <row r="1449" spans="1:14" x14ac:dyDescent="0.3">
      <c r="A1449" t="s">
        <v>250</v>
      </c>
      <c r="B1449" t="s">
        <v>61</v>
      </c>
      <c r="C1449">
        <v>2</v>
      </c>
      <c r="D1449">
        <v>0.5</v>
      </c>
      <c r="E1449" t="s">
        <v>28</v>
      </c>
      <c r="J1449">
        <f t="shared" si="120"/>
        <v>63.617251162500004</v>
      </c>
      <c r="K1449">
        <v>5.31</v>
      </c>
      <c r="M1449">
        <f t="shared" si="122"/>
        <v>0</v>
      </c>
      <c r="N1449">
        <f t="shared" si="121"/>
        <v>-5.31</v>
      </c>
    </row>
    <row r="1450" spans="1:14" x14ac:dyDescent="0.3">
      <c r="A1450" t="s">
        <v>250</v>
      </c>
      <c r="B1450" t="s">
        <v>61</v>
      </c>
      <c r="C1450">
        <v>2</v>
      </c>
      <c r="D1450">
        <v>0.5</v>
      </c>
      <c r="E1450" t="s">
        <v>30</v>
      </c>
      <c r="J1450">
        <f t="shared" si="120"/>
        <v>63.617251162500004</v>
      </c>
      <c r="K1450">
        <v>5.31</v>
      </c>
      <c r="M1450">
        <f t="shared" si="122"/>
        <v>0</v>
      </c>
      <c r="N1450">
        <f t="shared" si="121"/>
        <v>-5.31</v>
      </c>
    </row>
    <row r="1451" spans="1:14" x14ac:dyDescent="0.3">
      <c r="A1451" t="s">
        <v>250</v>
      </c>
      <c r="B1451" t="s">
        <v>61</v>
      </c>
      <c r="C1451">
        <v>2</v>
      </c>
      <c r="D1451">
        <v>0.5</v>
      </c>
      <c r="E1451" t="s">
        <v>31</v>
      </c>
      <c r="J1451">
        <f t="shared" si="120"/>
        <v>63.617251162500004</v>
      </c>
      <c r="K1451">
        <v>5.31</v>
      </c>
      <c r="M1451">
        <f t="shared" si="122"/>
        <v>0</v>
      </c>
      <c r="N1451">
        <f t="shared" si="121"/>
        <v>-5.31</v>
      </c>
    </row>
    <row r="1452" spans="1:14" x14ac:dyDescent="0.3">
      <c r="A1452" t="s">
        <v>250</v>
      </c>
      <c r="B1452" t="s">
        <v>61</v>
      </c>
      <c r="C1452">
        <v>2</v>
      </c>
      <c r="D1452">
        <v>2</v>
      </c>
      <c r="E1452" t="s">
        <v>28</v>
      </c>
      <c r="J1452">
        <f t="shared" ref="J1452:J1515" si="123">4.5*4.5*3.14159265</f>
        <v>63.617251162500004</v>
      </c>
      <c r="K1452">
        <v>5.31</v>
      </c>
      <c r="M1452">
        <f t="shared" si="122"/>
        <v>0</v>
      </c>
      <c r="N1452">
        <f t="shared" si="121"/>
        <v>-5.31</v>
      </c>
    </row>
    <row r="1453" spans="1:14" x14ac:dyDescent="0.3">
      <c r="A1453" t="s">
        <v>250</v>
      </c>
      <c r="B1453" t="s">
        <v>61</v>
      </c>
      <c r="C1453">
        <v>2</v>
      </c>
      <c r="D1453">
        <v>2</v>
      </c>
      <c r="E1453" t="s">
        <v>30</v>
      </c>
      <c r="J1453">
        <f t="shared" si="123"/>
        <v>63.617251162500004</v>
      </c>
      <c r="K1453">
        <v>5.31</v>
      </c>
      <c r="M1453">
        <f t="shared" si="122"/>
        <v>0</v>
      </c>
      <c r="N1453">
        <f t="shared" ref="N1453:N1516" si="124">L1453*J1453-K1453</f>
        <v>-5.31</v>
      </c>
    </row>
    <row r="1454" spans="1:14" x14ac:dyDescent="0.3">
      <c r="A1454" t="s">
        <v>250</v>
      </c>
      <c r="B1454" t="s">
        <v>61</v>
      </c>
      <c r="C1454">
        <v>2</v>
      </c>
      <c r="D1454">
        <v>2</v>
      </c>
      <c r="E1454" t="s">
        <v>31</v>
      </c>
      <c r="J1454">
        <f t="shared" si="123"/>
        <v>63.617251162500004</v>
      </c>
      <c r="K1454">
        <v>5.31</v>
      </c>
      <c r="M1454">
        <f t="shared" si="122"/>
        <v>0</v>
      </c>
      <c r="N1454">
        <f t="shared" si="124"/>
        <v>-5.31</v>
      </c>
    </row>
    <row r="1455" spans="1:14" x14ac:dyDescent="0.3">
      <c r="A1455" t="s">
        <v>250</v>
      </c>
      <c r="B1455" t="s">
        <v>61</v>
      </c>
      <c r="C1455">
        <v>2</v>
      </c>
      <c r="D1455">
        <v>6</v>
      </c>
      <c r="E1455" t="s">
        <v>28</v>
      </c>
      <c r="J1455">
        <f t="shared" si="123"/>
        <v>63.617251162500004</v>
      </c>
      <c r="K1455">
        <v>5.31</v>
      </c>
      <c r="M1455">
        <f t="shared" si="122"/>
        <v>0</v>
      </c>
      <c r="N1455">
        <f t="shared" ref="N1455:N1518" si="125">(L1455*J1455)-K1455</f>
        <v>-5.31</v>
      </c>
    </row>
    <row r="1456" spans="1:14" x14ac:dyDescent="0.3">
      <c r="A1456" t="s">
        <v>250</v>
      </c>
      <c r="B1456" t="s">
        <v>61</v>
      </c>
      <c r="C1456">
        <v>2</v>
      </c>
      <c r="D1456">
        <v>6</v>
      </c>
      <c r="E1456" t="s">
        <v>30</v>
      </c>
      <c r="J1456">
        <f t="shared" si="123"/>
        <v>63.617251162500004</v>
      </c>
      <c r="K1456">
        <v>5.31</v>
      </c>
      <c r="M1456">
        <f t="shared" si="122"/>
        <v>0</v>
      </c>
      <c r="N1456">
        <f t="shared" si="125"/>
        <v>-5.31</v>
      </c>
    </row>
    <row r="1457" spans="1:14" x14ac:dyDescent="0.3">
      <c r="A1457" t="s">
        <v>250</v>
      </c>
      <c r="B1457" t="s">
        <v>61</v>
      </c>
      <c r="C1457">
        <v>2</v>
      </c>
      <c r="D1457">
        <v>6</v>
      </c>
      <c r="E1457" t="s">
        <v>31</v>
      </c>
      <c r="J1457">
        <f t="shared" si="123"/>
        <v>63.617251162500004</v>
      </c>
      <c r="K1457">
        <v>5.31</v>
      </c>
      <c r="M1457">
        <f t="shared" si="122"/>
        <v>0</v>
      </c>
      <c r="N1457">
        <f t="shared" si="125"/>
        <v>-5.31</v>
      </c>
    </row>
    <row r="1458" spans="1:14" x14ac:dyDescent="0.3">
      <c r="A1458" t="s">
        <v>250</v>
      </c>
      <c r="B1458" t="s">
        <v>61</v>
      </c>
      <c r="C1458">
        <v>2</v>
      </c>
      <c r="D1458">
        <v>12</v>
      </c>
      <c r="E1458" t="s">
        <v>28</v>
      </c>
      <c r="J1458">
        <f t="shared" si="123"/>
        <v>63.617251162500004</v>
      </c>
      <c r="K1458">
        <v>5.31</v>
      </c>
      <c r="M1458">
        <f t="shared" si="122"/>
        <v>0</v>
      </c>
      <c r="N1458">
        <f t="shared" si="125"/>
        <v>-5.31</v>
      </c>
    </row>
    <row r="1459" spans="1:14" x14ac:dyDescent="0.3">
      <c r="A1459" t="s">
        <v>250</v>
      </c>
      <c r="B1459" t="s">
        <v>61</v>
      </c>
      <c r="C1459">
        <v>2</v>
      </c>
      <c r="D1459">
        <v>12</v>
      </c>
      <c r="E1459" t="s">
        <v>30</v>
      </c>
      <c r="J1459">
        <f t="shared" si="123"/>
        <v>63.617251162500004</v>
      </c>
      <c r="K1459">
        <v>5.31</v>
      </c>
      <c r="M1459">
        <f t="shared" si="122"/>
        <v>0</v>
      </c>
      <c r="N1459">
        <f t="shared" si="125"/>
        <v>-5.31</v>
      </c>
    </row>
    <row r="1460" spans="1:14" x14ac:dyDescent="0.3">
      <c r="A1460" t="s">
        <v>250</v>
      </c>
      <c r="B1460" t="s">
        <v>61</v>
      </c>
      <c r="C1460">
        <v>2</v>
      </c>
      <c r="D1460">
        <v>12</v>
      </c>
      <c r="E1460" t="s">
        <v>31</v>
      </c>
      <c r="J1460">
        <f t="shared" si="123"/>
        <v>63.617251162500004</v>
      </c>
      <c r="K1460">
        <v>5.31</v>
      </c>
      <c r="M1460">
        <f t="shared" si="122"/>
        <v>0</v>
      </c>
      <c r="N1460">
        <f t="shared" si="125"/>
        <v>-5.31</v>
      </c>
    </row>
    <row r="1461" spans="1:14" x14ac:dyDescent="0.3">
      <c r="A1461" t="s">
        <v>250</v>
      </c>
      <c r="B1461" t="s">
        <v>61</v>
      </c>
      <c r="C1461">
        <v>2</v>
      </c>
      <c r="D1461">
        <v>18</v>
      </c>
      <c r="E1461" t="s">
        <v>64</v>
      </c>
      <c r="J1461">
        <f t="shared" si="123"/>
        <v>63.617251162500004</v>
      </c>
      <c r="K1461">
        <v>5.31</v>
      </c>
      <c r="M1461">
        <f t="shared" si="122"/>
        <v>0</v>
      </c>
      <c r="N1461">
        <f t="shared" si="125"/>
        <v>-5.31</v>
      </c>
    </row>
    <row r="1462" spans="1:14" x14ac:dyDescent="0.3">
      <c r="A1462" t="s">
        <v>250</v>
      </c>
      <c r="B1462" t="s">
        <v>61</v>
      </c>
      <c r="C1462">
        <v>2</v>
      </c>
      <c r="D1462">
        <v>18</v>
      </c>
      <c r="E1462" t="s">
        <v>30</v>
      </c>
      <c r="J1462">
        <f t="shared" si="123"/>
        <v>63.617251162500004</v>
      </c>
      <c r="K1462">
        <v>5.31</v>
      </c>
      <c r="M1462">
        <f t="shared" si="122"/>
        <v>0</v>
      </c>
      <c r="N1462">
        <f t="shared" si="125"/>
        <v>-5.31</v>
      </c>
    </row>
    <row r="1463" spans="1:14" x14ac:dyDescent="0.3">
      <c r="A1463" t="s">
        <v>250</v>
      </c>
      <c r="B1463" t="s">
        <v>61</v>
      </c>
      <c r="C1463">
        <v>2</v>
      </c>
      <c r="D1463">
        <v>18</v>
      </c>
      <c r="E1463" t="s">
        <v>31</v>
      </c>
      <c r="J1463">
        <f t="shared" si="123"/>
        <v>63.617251162500004</v>
      </c>
      <c r="K1463">
        <v>5.31</v>
      </c>
      <c r="M1463">
        <f t="shared" si="122"/>
        <v>0</v>
      </c>
      <c r="N1463">
        <f t="shared" si="125"/>
        <v>-5.31</v>
      </c>
    </row>
    <row r="1464" spans="1:14" x14ac:dyDescent="0.3">
      <c r="A1464" t="s">
        <v>250</v>
      </c>
      <c r="B1464" t="s">
        <v>61</v>
      </c>
      <c r="C1464">
        <v>2</v>
      </c>
      <c r="D1464">
        <v>24</v>
      </c>
      <c r="E1464" t="s">
        <v>28</v>
      </c>
      <c r="J1464">
        <f t="shared" si="123"/>
        <v>63.617251162500004</v>
      </c>
      <c r="K1464">
        <v>5.31</v>
      </c>
      <c r="M1464">
        <f t="shared" si="122"/>
        <v>0</v>
      </c>
      <c r="N1464">
        <f t="shared" si="125"/>
        <v>-5.31</v>
      </c>
    </row>
    <row r="1465" spans="1:14" x14ac:dyDescent="0.3">
      <c r="A1465" t="s">
        <v>250</v>
      </c>
      <c r="B1465" t="s">
        <v>61</v>
      </c>
      <c r="C1465">
        <v>2</v>
      </c>
      <c r="D1465">
        <v>24</v>
      </c>
      <c r="E1465" t="s">
        <v>30</v>
      </c>
      <c r="J1465">
        <f t="shared" si="123"/>
        <v>63.617251162500004</v>
      </c>
      <c r="K1465">
        <v>5.31</v>
      </c>
      <c r="M1465">
        <f t="shared" si="122"/>
        <v>0</v>
      </c>
      <c r="N1465">
        <f t="shared" si="125"/>
        <v>-5.31</v>
      </c>
    </row>
    <row r="1466" spans="1:14" x14ac:dyDescent="0.3">
      <c r="A1466" t="s">
        <v>250</v>
      </c>
      <c r="B1466" t="s">
        <v>61</v>
      </c>
      <c r="C1466">
        <v>2</v>
      </c>
      <c r="D1466">
        <v>24</v>
      </c>
      <c r="E1466" t="s">
        <v>31</v>
      </c>
      <c r="J1466">
        <f t="shared" si="123"/>
        <v>63.617251162500004</v>
      </c>
      <c r="K1466">
        <v>5.31</v>
      </c>
      <c r="M1466">
        <f t="shared" si="122"/>
        <v>0</v>
      </c>
      <c r="N1466">
        <f t="shared" si="125"/>
        <v>-5.31</v>
      </c>
    </row>
    <row r="1467" spans="1:14" x14ac:dyDescent="0.3">
      <c r="A1467" t="s">
        <v>250</v>
      </c>
      <c r="B1467" t="s">
        <v>61</v>
      </c>
      <c r="C1467">
        <v>2</v>
      </c>
      <c r="D1467">
        <v>48</v>
      </c>
      <c r="E1467" t="s">
        <v>28</v>
      </c>
      <c r="J1467">
        <f t="shared" si="123"/>
        <v>63.617251162500004</v>
      </c>
      <c r="K1467">
        <v>5.31</v>
      </c>
      <c r="M1467">
        <f t="shared" si="122"/>
        <v>0</v>
      </c>
      <c r="N1467">
        <f t="shared" si="125"/>
        <v>-5.31</v>
      </c>
    </row>
    <row r="1468" spans="1:14" x14ac:dyDescent="0.3">
      <c r="A1468" t="s">
        <v>250</v>
      </c>
      <c r="B1468" t="s">
        <v>61</v>
      </c>
      <c r="C1468">
        <v>2</v>
      </c>
      <c r="D1468">
        <v>48</v>
      </c>
      <c r="E1468" t="s">
        <v>30</v>
      </c>
      <c r="J1468">
        <f t="shared" si="123"/>
        <v>63.617251162500004</v>
      </c>
      <c r="K1468">
        <v>5.31</v>
      </c>
      <c r="M1468">
        <f t="shared" si="122"/>
        <v>0</v>
      </c>
      <c r="N1468">
        <f t="shared" si="125"/>
        <v>-5.31</v>
      </c>
    </row>
    <row r="1469" spans="1:14" x14ac:dyDescent="0.3">
      <c r="A1469" t="s">
        <v>250</v>
      </c>
      <c r="B1469" t="s">
        <v>61</v>
      </c>
      <c r="C1469">
        <v>2</v>
      </c>
      <c r="D1469">
        <v>48</v>
      </c>
      <c r="E1469" t="s">
        <v>31</v>
      </c>
      <c r="J1469">
        <f t="shared" si="123"/>
        <v>63.617251162500004</v>
      </c>
      <c r="K1469">
        <v>5.31</v>
      </c>
      <c r="M1469">
        <f t="shared" si="122"/>
        <v>0</v>
      </c>
      <c r="N1469">
        <f t="shared" si="125"/>
        <v>-5.31</v>
      </c>
    </row>
    <row r="1470" spans="1:14" x14ac:dyDescent="0.3">
      <c r="A1470" t="s">
        <v>250</v>
      </c>
      <c r="B1470" t="s">
        <v>61</v>
      </c>
      <c r="E1470" t="s">
        <v>36</v>
      </c>
      <c r="J1470">
        <f t="shared" si="123"/>
        <v>63.617251162500004</v>
      </c>
      <c r="K1470">
        <v>5.31</v>
      </c>
      <c r="M1470">
        <f t="shared" si="122"/>
        <v>0</v>
      </c>
      <c r="N1470">
        <f t="shared" si="125"/>
        <v>-5.31</v>
      </c>
    </row>
    <row r="1471" spans="1:14" x14ac:dyDescent="0.3">
      <c r="A1471" t="s">
        <v>250</v>
      </c>
      <c r="B1471" t="s">
        <v>61</v>
      </c>
      <c r="E1471" t="s">
        <v>39</v>
      </c>
      <c r="J1471">
        <f t="shared" si="123"/>
        <v>63.617251162500004</v>
      </c>
      <c r="K1471">
        <v>5.31</v>
      </c>
      <c r="M1471">
        <f t="shared" si="122"/>
        <v>0</v>
      </c>
      <c r="N1471">
        <f t="shared" si="125"/>
        <v>-5.31</v>
      </c>
    </row>
    <row r="1472" spans="1:14" x14ac:dyDescent="0.3">
      <c r="A1472" t="s">
        <v>250</v>
      </c>
      <c r="B1472" t="s">
        <v>61</v>
      </c>
      <c r="E1472" t="s">
        <v>41</v>
      </c>
      <c r="J1472">
        <f t="shared" si="123"/>
        <v>63.617251162500004</v>
      </c>
      <c r="K1472">
        <v>5.31</v>
      </c>
      <c r="M1472">
        <f t="shared" si="122"/>
        <v>0</v>
      </c>
      <c r="N1472">
        <f t="shared" si="125"/>
        <v>-5.31</v>
      </c>
    </row>
    <row r="1473" spans="1:14" x14ac:dyDescent="0.3">
      <c r="A1473" t="s">
        <v>250</v>
      </c>
      <c r="B1473" t="s">
        <v>61</v>
      </c>
      <c r="E1473" t="s">
        <v>43</v>
      </c>
      <c r="J1473">
        <f t="shared" si="123"/>
        <v>63.617251162500004</v>
      </c>
      <c r="K1473">
        <v>5.31</v>
      </c>
      <c r="M1473">
        <f t="shared" si="122"/>
        <v>0</v>
      </c>
      <c r="N1473">
        <f t="shared" si="125"/>
        <v>-5.31</v>
      </c>
    </row>
    <row r="1474" spans="1:14" x14ac:dyDescent="0.3">
      <c r="A1474" t="s">
        <v>250</v>
      </c>
      <c r="B1474" t="s">
        <v>51</v>
      </c>
      <c r="C1474">
        <v>1</v>
      </c>
      <c r="D1474">
        <v>0.5</v>
      </c>
      <c r="E1474" t="s">
        <v>64</v>
      </c>
      <c r="J1474">
        <f t="shared" si="123"/>
        <v>63.617251162500004</v>
      </c>
      <c r="K1474">
        <v>5.31</v>
      </c>
      <c r="M1474">
        <f t="shared" si="122"/>
        <v>0</v>
      </c>
      <c r="N1474">
        <f t="shared" si="125"/>
        <v>-5.31</v>
      </c>
    </row>
    <row r="1475" spans="1:14" x14ac:dyDescent="0.3">
      <c r="A1475" t="s">
        <v>250</v>
      </c>
      <c r="B1475" t="s">
        <v>51</v>
      </c>
      <c r="C1475">
        <v>1</v>
      </c>
      <c r="D1475">
        <v>0.5</v>
      </c>
      <c r="E1475" t="s">
        <v>30</v>
      </c>
      <c r="J1475">
        <f t="shared" si="123"/>
        <v>63.617251162500004</v>
      </c>
      <c r="K1475">
        <v>5.31</v>
      </c>
      <c r="M1475">
        <f t="shared" si="122"/>
        <v>0</v>
      </c>
      <c r="N1475">
        <f t="shared" si="125"/>
        <v>-5.31</v>
      </c>
    </row>
    <row r="1476" spans="1:14" x14ac:dyDescent="0.3">
      <c r="A1476" t="s">
        <v>250</v>
      </c>
      <c r="B1476" t="s">
        <v>51</v>
      </c>
      <c r="C1476">
        <v>1</v>
      </c>
      <c r="D1476">
        <v>0.5</v>
      </c>
      <c r="E1476" t="s">
        <v>31</v>
      </c>
      <c r="J1476">
        <f t="shared" si="123"/>
        <v>63.617251162500004</v>
      </c>
      <c r="K1476">
        <v>5.31</v>
      </c>
      <c r="M1476">
        <f t="shared" ref="M1476:M1539" si="126">L1476*F1476</f>
        <v>0</v>
      </c>
      <c r="N1476">
        <f t="shared" si="125"/>
        <v>-5.31</v>
      </c>
    </row>
    <row r="1477" spans="1:14" x14ac:dyDescent="0.3">
      <c r="A1477" t="s">
        <v>250</v>
      </c>
      <c r="B1477" s="7" t="s">
        <v>51</v>
      </c>
      <c r="C1477" s="7">
        <v>1</v>
      </c>
      <c r="D1477" s="7">
        <v>2</v>
      </c>
      <c r="E1477" s="7" t="s">
        <v>64</v>
      </c>
      <c r="J1477">
        <f t="shared" si="123"/>
        <v>63.617251162500004</v>
      </c>
      <c r="K1477">
        <v>5.31</v>
      </c>
      <c r="M1477">
        <f t="shared" si="126"/>
        <v>0</v>
      </c>
      <c r="N1477">
        <f t="shared" si="125"/>
        <v>-5.31</v>
      </c>
    </row>
    <row r="1478" spans="1:14" x14ac:dyDescent="0.3">
      <c r="A1478" t="s">
        <v>250</v>
      </c>
      <c r="B1478" s="7" t="s">
        <v>51</v>
      </c>
      <c r="C1478" s="7">
        <v>1</v>
      </c>
      <c r="D1478" s="7">
        <v>2</v>
      </c>
      <c r="E1478" s="7" t="s">
        <v>30</v>
      </c>
      <c r="J1478">
        <f t="shared" si="123"/>
        <v>63.617251162500004</v>
      </c>
      <c r="K1478">
        <v>5.31</v>
      </c>
      <c r="M1478">
        <f t="shared" si="126"/>
        <v>0</v>
      </c>
      <c r="N1478">
        <f t="shared" si="125"/>
        <v>-5.31</v>
      </c>
    </row>
    <row r="1479" spans="1:14" x14ac:dyDescent="0.3">
      <c r="A1479" t="s">
        <v>250</v>
      </c>
      <c r="B1479" s="7" t="s">
        <v>51</v>
      </c>
      <c r="C1479" s="7">
        <v>1</v>
      </c>
      <c r="D1479" s="7">
        <v>2</v>
      </c>
      <c r="E1479" s="7" t="s">
        <v>31</v>
      </c>
      <c r="J1479">
        <f t="shared" si="123"/>
        <v>63.617251162500004</v>
      </c>
      <c r="K1479">
        <v>5.31</v>
      </c>
      <c r="M1479">
        <f t="shared" si="126"/>
        <v>0</v>
      </c>
      <c r="N1479">
        <f t="shared" si="125"/>
        <v>-5.31</v>
      </c>
    </row>
    <row r="1480" spans="1:14" x14ac:dyDescent="0.3">
      <c r="A1480" t="s">
        <v>250</v>
      </c>
      <c r="B1480" s="7" t="s">
        <v>51</v>
      </c>
      <c r="C1480" s="7">
        <v>1</v>
      </c>
      <c r="D1480" s="7">
        <v>6</v>
      </c>
      <c r="E1480" s="7" t="s">
        <v>64</v>
      </c>
      <c r="J1480">
        <f t="shared" si="123"/>
        <v>63.617251162500004</v>
      </c>
      <c r="K1480">
        <v>5.31</v>
      </c>
      <c r="M1480">
        <f t="shared" si="126"/>
        <v>0</v>
      </c>
      <c r="N1480">
        <f t="shared" si="125"/>
        <v>-5.31</v>
      </c>
    </row>
    <row r="1481" spans="1:14" x14ac:dyDescent="0.3">
      <c r="A1481" t="s">
        <v>250</v>
      </c>
      <c r="B1481" s="7" t="s">
        <v>51</v>
      </c>
      <c r="C1481" s="7">
        <v>1</v>
      </c>
      <c r="D1481" s="7">
        <v>6</v>
      </c>
      <c r="E1481" s="7" t="s">
        <v>30</v>
      </c>
      <c r="J1481">
        <f t="shared" si="123"/>
        <v>63.617251162500004</v>
      </c>
      <c r="K1481">
        <v>5.31</v>
      </c>
      <c r="M1481">
        <f t="shared" si="126"/>
        <v>0</v>
      </c>
      <c r="N1481">
        <f t="shared" si="125"/>
        <v>-5.31</v>
      </c>
    </row>
    <row r="1482" spans="1:14" x14ac:dyDescent="0.3">
      <c r="A1482" t="s">
        <v>250</v>
      </c>
      <c r="B1482" s="7" t="s">
        <v>51</v>
      </c>
      <c r="C1482" s="7">
        <v>1</v>
      </c>
      <c r="D1482" s="7">
        <v>6</v>
      </c>
      <c r="E1482" s="7" t="s">
        <v>31</v>
      </c>
      <c r="J1482">
        <f t="shared" si="123"/>
        <v>63.617251162500004</v>
      </c>
      <c r="K1482">
        <v>5.31</v>
      </c>
      <c r="M1482">
        <f t="shared" si="126"/>
        <v>0</v>
      </c>
      <c r="N1482">
        <f t="shared" si="125"/>
        <v>-5.31</v>
      </c>
    </row>
    <row r="1483" spans="1:14" x14ac:dyDescent="0.3">
      <c r="A1483" t="s">
        <v>250</v>
      </c>
      <c r="B1483" t="s">
        <v>51</v>
      </c>
      <c r="C1483">
        <v>1</v>
      </c>
      <c r="D1483">
        <v>12</v>
      </c>
      <c r="E1483" t="s">
        <v>64</v>
      </c>
      <c r="J1483">
        <f t="shared" si="123"/>
        <v>63.617251162500004</v>
      </c>
      <c r="K1483">
        <v>5.31</v>
      </c>
      <c r="M1483">
        <f t="shared" si="126"/>
        <v>0</v>
      </c>
      <c r="N1483">
        <f t="shared" si="125"/>
        <v>-5.31</v>
      </c>
    </row>
    <row r="1484" spans="1:14" x14ac:dyDescent="0.3">
      <c r="A1484" t="s">
        <v>250</v>
      </c>
      <c r="B1484" t="s">
        <v>51</v>
      </c>
      <c r="C1484">
        <v>1</v>
      </c>
      <c r="D1484">
        <v>12</v>
      </c>
      <c r="E1484" t="s">
        <v>30</v>
      </c>
      <c r="J1484">
        <f t="shared" si="123"/>
        <v>63.617251162500004</v>
      </c>
      <c r="K1484">
        <v>5.31</v>
      </c>
      <c r="M1484">
        <f t="shared" si="126"/>
        <v>0</v>
      </c>
      <c r="N1484">
        <f t="shared" si="125"/>
        <v>-5.31</v>
      </c>
    </row>
    <row r="1485" spans="1:14" x14ac:dyDescent="0.3">
      <c r="A1485" t="s">
        <v>250</v>
      </c>
      <c r="B1485" t="s">
        <v>51</v>
      </c>
      <c r="C1485">
        <v>1</v>
      </c>
      <c r="D1485">
        <v>12</v>
      </c>
      <c r="E1485" t="s">
        <v>31</v>
      </c>
      <c r="J1485">
        <f t="shared" si="123"/>
        <v>63.617251162500004</v>
      </c>
      <c r="K1485">
        <v>5.31</v>
      </c>
      <c r="M1485">
        <f t="shared" si="126"/>
        <v>0</v>
      </c>
      <c r="N1485">
        <f t="shared" si="125"/>
        <v>-5.31</v>
      </c>
    </row>
    <row r="1486" spans="1:14" x14ac:dyDescent="0.3">
      <c r="A1486" t="s">
        <v>250</v>
      </c>
      <c r="B1486" t="s">
        <v>51</v>
      </c>
      <c r="C1486">
        <v>1</v>
      </c>
      <c r="D1486">
        <v>18</v>
      </c>
      <c r="E1486" t="s">
        <v>64</v>
      </c>
      <c r="J1486">
        <f t="shared" si="123"/>
        <v>63.617251162500004</v>
      </c>
      <c r="K1486">
        <v>5.31</v>
      </c>
      <c r="M1486">
        <f t="shared" si="126"/>
        <v>0</v>
      </c>
      <c r="N1486">
        <f t="shared" si="125"/>
        <v>-5.31</v>
      </c>
    </row>
    <row r="1487" spans="1:14" x14ac:dyDescent="0.3">
      <c r="A1487" t="s">
        <v>250</v>
      </c>
      <c r="B1487" t="s">
        <v>51</v>
      </c>
      <c r="C1487">
        <v>1</v>
      </c>
      <c r="D1487">
        <v>18</v>
      </c>
      <c r="E1487" t="s">
        <v>30</v>
      </c>
      <c r="J1487">
        <f t="shared" si="123"/>
        <v>63.617251162500004</v>
      </c>
      <c r="K1487">
        <v>5.31</v>
      </c>
      <c r="M1487">
        <f t="shared" si="126"/>
        <v>0</v>
      </c>
      <c r="N1487">
        <f t="shared" si="125"/>
        <v>-5.31</v>
      </c>
    </row>
    <row r="1488" spans="1:14" x14ac:dyDescent="0.3">
      <c r="A1488" t="s">
        <v>250</v>
      </c>
      <c r="B1488" t="s">
        <v>51</v>
      </c>
      <c r="C1488">
        <v>1</v>
      </c>
      <c r="D1488">
        <v>18</v>
      </c>
      <c r="E1488" t="s">
        <v>31</v>
      </c>
      <c r="J1488">
        <f t="shared" si="123"/>
        <v>63.617251162500004</v>
      </c>
      <c r="K1488">
        <v>5.31</v>
      </c>
      <c r="M1488">
        <f t="shared" si="126"/>
        <v>0</v>
      </c>
      <c r="N1488">
        <f t="shared" si="125"/>
        <v>-5.31</v>
      </c>
    </row>
    <row r="1489" spans="1:14" x14ac:dyDescent="0.3">
      <c r="A1489" t="s">
        <v>250</v>
      </c>
      <c r="B1489" t="s">
        <v>51</v>
      </c>
      <c r="C1489">
        <v>1</v>
      </c>
      <c r="D1489">
        <v>24</v>
      </c>
      <c r="E1489" t="s">
        <v>28</v>
      </c>
      <c r="J1489">
        <f t="shared" si="123"/>
        <v>63.617251162500004</v>
      </c>
      <c r="K1489">
        <v>5.31</v>
      </c>
      <c r="M1489">
        <f t="shared" si="126"/>
        <v>0</v>
      </c>
      <c r="N1489">
        <f t="shared" si="125"/>
        <v>-5.31</v>
      </c>
    </row>
    <row r="1490" spans="1:14" x14ac:dyDescent="0.3">
      <c r="A1490" t="s">
        <v>250</v>
      </c>
      <c r="B1490" t="s">
        <v>51</v>
      </c>
      <c r="C1490">
        <v>1</v>
      </c>
      <c r="D1490">
        <v>24</v>
      </c>
      <c r="E1490" t="s">
        <v>30</v>
      </c>
      <c r="J1490">
        <f t="shared" si="123"/>
        <v>63.617251162500004</v>
      </c>
      <c r="K1490">
        <v>5.31</v>
      </c>
      <c r="M1490">
        <f t="shared" si="126"/>
        <v>0</v>
      </c>
      <c r="N1490">
        <f t="shared" si="125"/>
        <v>-5.31</v>
      </c>
    </row>
    <row r="1491" spans="1:14" x14ac:dyDescent="0.3">
      <c r="A1491" t="s">
        <v>250</v>
      </c>
      <c r="B1491" s="7" t="s">
        <v>51</v>
      </c>
      <c r="C1491" s="7">
        <v>1</v>
      </c>
      <c r="D1491" s="7">
        <v>24</v>
      </c>
      <c r="E1491" s="7" t="s">
        <v>31</v>
      </c>
      <c r="J1491">
        <f t="shared" si="123"/>
        <v>63.617251162500004</v>
      </c>
      <c r="K1491">
        <v>5.31</v>
      </c>
      <c r="M1491">
        <f t="shared" si="126"/>
        <v>0</v>
      </c>
      <c r="N1491">
        <f t="shared" si="125"/>
        <v>-5.31</v>
      </c>
    </row>
    <row r="1492" spans="1:14" x14ac:dyDescent="0.3">
      <c r="A1492" t="s">
        <v>250</v>
      </c>
      <c r="B1492" t="s">
        <v>51</v>
      </c>
      <c r="C1492">
        <v>1</v>
      </c>
      <c r="D1492">
        <v>48</v>
      </c>
      <c r="E1492" t="s">
        <v>64</v>
      </c>
      <c r="J1492">
        <f t="shared" si="123"/>
        <v>63.617251162500004</v>
      </c>
      <c r="K1492">
        <v>5.31</v>
      </c>
      <c r="M1492">
        <f t="shared" si="126"/>
        <v>0</v>
      </c>
      <c r="N1492">
        <f t="shared" si="125"/>
        <v>-5.31</v>
      </c>
    </row>
    <row r="1493" spans="1:14" x14ac:dyDescent="0.3">
      <c r="A1493" t="s">
        <v>250</v>
      </c>
      <c r="B1493" t="s">
        <v>51</v>
      </c>
      <c r="C1493">
        <v>1</v>
      </c>
      <c r="D1493">
        <v>48</v>
      </c>
      <c r="E1493" t="s">
        <v>30</v>
      </c>
      <c r="J1493">
        <f t="shared" si="123"/>
        <v>63.617251162500004</v>
      </c>
      <c r="K1493">
        <v>5.31</v>
      </c>
      <c r="M1493">
        <f t="shared" si="126"/>
        <v>0</v>
      </c>
      <c r="N1493">
        <f t="shared" si="125"/>
        <v>-5.31</v>
      </c>
    </row>
    <row r="1494" spans="1:14" x14ac:dyDescent="0.3">
      <c r="A1494" t="s">
        <v>250</v>
      </c>
      <c r="B1494" t="s">
        <v>51</v>
      </c>
      <c r="C1494">
        <v>1</v>
      </c>
      <c r="D1494">
        <v>48</v>
      </c>
      <c r="E1494" t="s">
        <v>31</v>
      </c>
      <c r="J1494">
        <f t="shared" si="123"/>
        <v>63.617251162500004</v>
      </c>
      <c r="K1494">
        <v>5.31</v>
      </c>
      <c r="M1494">
        <f t="shared" si="126"/>
        <v>0</v>
      </c>
      <c r="N1494">
        <f t="shared" si="125"/>
        <v>-5.31</v>
      </c>
    </row>
    <row r="1495" spans="1:14" x14ac:dyDescent="0.3">
      <c r="A1495" t="s">
        <v>250</v>
      </c>
      <c r="B1495" t="s">
        <v>51</v>
      </c>
      <c r="C1495">
        <v>2</v>
      </c>
      <c r="D1495">
        <v>0.5</v>
      </c>
      <c r="E1495" t="s">
        <v>64</v>
      </c>
      <c r="J1495">
        <f t="shared" si="123"/>
        <v>63.617251162500004</v>
      </c>
      <c r="K1495">
        <v>5.31</v>
      </c>
      <c r="M1495">
        <f t="shared" si="126"/>
        <v>0</v>
      </c>
      <c r="N1495">
        <f t="shared" si="125"/>
        <v>-5.31</v>
      </c>
    </row>
    <row r="1496" spans="1:14" x14ac:dyDescent="0.3">
      <c r="A1496" t="s">
        <v>250</v>
      </c>
      <c r="B1496" t="s">
        <v>51</v>
      </c>
      <c r="C1496">
        <v>2</v>
      </c>
      <c r="D1496">
        <v>0.5</v>
      </c>
      <c r="E1496" t="s">
        <v>30</v>
      </c>
      <c r="J1496">
        <f t="shared" si="123"/>
        <v>63.617251162500004</v>
      </c>
      <c r="K1496">
        <v>5.31</v>
      </c>
      <c r="M1496">
        <f t="shared" si="126"/>
        <v>0</v>
      </c>
      <c r="N1496">
        <f t="shared" ref="N1496:N1559" si="127">L1496*J1496-K1496</f>
        <v>-5.31</v>
      </c>
    </row>
    <row r="1497" spans="1:14" x14ac:dyDescent="0.3">
      <c r="A1497" t="s">
        <v>250</v>
      </c>
      <c r="B1497" t="s">
        <v>51</v>
      </c>
      <c r="C1497">
        <v>2</v>
      </c>
      <c r="D1497">
        <v>0.5</v>
      </c>
      <c r="E1497" t="s">
        <v>31</v>
      </c>
      <c r="J1497">
        <f t="shared" si="123"/>
        <v>63.617251162500004</v>
      </c>
      <c r="K1497">
        <v>5.31</v>
      </c>
      <c r="M1497">
        <f t="shared" si="126"/>
        <v>0</v>
      </c>
      <c r="N1497">
        <f t="shared" si="127"/>
        <v>-5.31</v>
      </c>
    </row>
    <row r="1498" spans="1:14" x14ac:dyDescent="0.3">
      <c r="A1498" t="s">
        <v>250</v>
      </c>
      <c r="B1498" s="7" t="s">
        <v>51</v>
      </c>
      <c r="C1498" s="7">
        <v>2</v>
      </c>
      <c r="D1498" s="7">
        <v>2</v>
      </c>
      <c r="E1498" s="7" t="s">
        <v>64</v>
      </c>
      <c r="J1498">
        <f t="shared" si="123"/>
        <v>63.617251162500004</v>
      </c>
      <c r="K1498">
        <v>5.31</v>
      </c>
      <c r="M1498">
        <f t="shared" si="126"/>
        <v>0</v>
      </c>
      <c r="N1498">
        <f t="shared" si="127"/>
        <v>-5.31</v>
      </c>
    </row>
    <row r="1499" spans="1:14" x14ac:dyDescent="0.3">
      <c r="A1499" t="s">
        <v>250</v>
      </c>
      <c r="B1499" s="7" t="s">
        <v>51</v>
      </c>
      <c r="C1499" s="7">
        <v>2</v>
      </c>
      <c r="D1499" s="7">
        <v>2</v>
      </c>
      <c r="E1499" s="7" t="s">
        <v>30</v>
      </c>
      <c r="J1499">
        <f t="shared" si="123"/>
        <v>63.617251162500004</v>
      </c>
      <c r="K1499">
        <v>5.31</v>
      </c>
      <c r="M1499">
        <f t="shared" si="126"/>
        <v>0</v>
      </c>
      <c r="N1499">
        <f t="shared" si="127"/>
        <v>-5.31</v>
      </c>
    </row>
    <row r="1500" spans="1:14" x14ac:dyDescent="0.3">
      <c r="A1500" t="s">
        <v>250</v>
      </c>
      <c r="B1500" s="7" t="s">
        <v>51</v>
      </c>
      <c r="C1500" s="7">
        <v>2</v>
      </c>
      <c r="D1500" s="7">
        <v>2</v>
      </c>
      <c r="E1500" s="7" t="s">
        <v>31</v>
      </c>
      <c r="J1500">
        <f t="shared" si="123"/>
        <v>63.617251162500004</v>
      </c>
      <c r="K1500">
        <v>5.31</v>
      </c>
      <c r="M1500">
        <f t="shared" si="126"/>
        <v>0</v>
      </c>
      <c r="N1500">
        <f t="shared" si="127"/>
        <v>-5.31</v>
      </c>
    </row>
    <row r="1501" spans="1:14" x14ac:dyDescent="0.3">
      <c r="A1501" t="s">
        <v>250</v>
      </c>
      <c r="B1501" s="7" t="s">
        <v>51</v>
      </c>
      <c r="C1501" s="7">
        <v>2</v>
      </c>
      <c r="D1501" s="7">
        <v>6</v>
      </c>
      <c r="E1501" s="7" t="s">
        <v>64</v>
      </c>
      <c r="J1501">
        <f t="shared" si="123"/>
        <v>63.617251162500004</v>
      </c>
      <c r="K1501">
        <v>5.31</v>
      </c>
      <c r="M1501">
        <f t="shared" si="126"/>
        <v>0</v>
      </c>
      <c r="N1501">
        <f t="shared" si="127"/>
        <v>-5.31</v>
      </c>
    </row>
    <row r="1502" spans="1:14" x14ac:dyDescent="0.3">
      <c r="A1502" t="s">
        <v>250</v>
      </c>
      <c r="B1502" s="7" t="s">
        <v>51</v>
      </c>
      <c r="C1502" s="7">
        <v>2</v>
      </c>
      <c r="D1502" s="7">
        <v>6</v>
      </c>
      <c r="E1502" s="7" t="s">
        <v>30</v>
      </c>
      <c r="J1502">
        <f t="shared" si="123"/>
        <v>63.617251162500004</v>
      </c>
      <c r="K1502">
        <v>5.31</v>
      </c>
      <c r="M1502">
        <f t="shared" si="126"/>
        <v>0</v>
      </c>
      <c r="N1502">
        <f t="shared" si="127"/>
        <v>-5.31</v>
      </c>
    </row>
    <row r="1503" spans="1:14" x14ac:dyDescent="0.3">
      <c r="A1503" t="s">
        <v>250</v>
      </c>
      <c r="B1503" s="7" t="s">
        <v>51</v>
      </c>
      <c r="C1503" s="7">
        <v>2</v>
      </c>
      <c r="D1503" s="7">
        <v>6</v>
      </c>
      <c r="E1503" s="7" t="s">
        <v>31</v>
      </c>
      <c r="J1503">
        <f t="shared" si="123"/>
        <v>63.617251162500004</v>
      </c>
      <c r="K1503">
        <v>5.31</v>
      </c>
      <c r="M1503">
        <f t="shared" si="126"/>
        <v>0</v>
      </c>
      <c r="N1503">
        <f t="shared" si="127"/>
        <v>-5.31</v>
      </c>
    </row>
    <row r="1504" spans="1:14" x14ac:dyDescent="0.3">
      <c r="A1504" t="s">
        <v>250</v>
      </c>
      <c r="B1504" t="s">
        <v>51</v>
      </c>
      <c r="C1504">
        <v>2</v>
      </c>
      <c r="D1504">
        <v>12</v>
      </c>
      <c r="E1504" t="s">
        <v>64</v>
      </c>
      <c r="J1504">
        <f t="shared" si="123"/>
        <v>63.617251162500004</v>
      </c>
      <c r="K1504">
        <v>5.31</v>
      </c>
      <c r="M1504">
        <f t="shared" si="126"/>
        <v>0</v>
      </c>
      <c r="N1504">
        <f t="shared" si="127"/>
        <v>-5.31</v>
      </c>
    </row>
    <row r="1505" spans="1:14" x14ac:dyDescent="0.3">
      <c r="A1505" t="s">
        <v>250</v>
      </c>
      <c r="B1505" t="s">
        <v>51</v>
      </c>
      <c r="C1505">
        <v>2</v>
      </c>
      <c r="D1505">
        <v>12</v>
      </c>
      <c r="E1505" t="s">
        <v>30</v>
      </c>
      <c r="J1505">
        <f t="shared" si="123"/>
        <v>63.617251162500004</v>
      </c>
      <c r="K1505">
        <v>5.31</v>
      </c>
      <c r="M1505">
        <f t="shared" si="126"/>
        <v>0</v>
      </c>
      <c r="N1505">
        <f t="shared" si="127"/>
        <v>-5.31</v>
      </c>
    </row>
    <row r="1506" spans="1:14" x14ac:dyDescent="0.3">
      <c r="A1506" t="s">
        <v>250</v>
      </c>
      <c r="B1506" t="s">
        <v>51</v>
      </c>
      <c r="C1506">
        <v>2</v>
      </c>
      <c r="D1506">
        <v>12</v>
      </c>
      <c r="E1506" t="s">
        <v>31</v>
      </c>
      <c r="J1506">
        <f t="shared" si="123"/>
        <v>63.617251162500004</v>
      </c>
      <c r="K1506">
        <v>5.31</v>
      </c>
      <c r="M1506">
        <f t="shared" si="126"/>
        <v>0</v>
      </c>
      <c r="N1506">
        <f t="shared" si="127"/>
        <v>-5.31</v>
      </c>
    </row>
    <row r="1507" spans="1:14" x14ac:dyDescent="0.3">
      <c r="A1507" t="s">
        <v>250</v>
      </c>
      <c r="B1507" t="s">
        <v>51</v>
      </c>
      <c r="C1507">
        <v>2</v>
      </c>
      <c r="D1507">
        <v>18</v>
      </c>
      <c r="E1507" t="s">
        <v>64</v>
      </c>
      <c r="J1507">
        <f t="shared" si="123"/>
        <v>63.617251162500004</v>
      </c>
      <c r="K1507">
        <v>5.31</v>
      </c>
      <c r="M1507">
        <f t="shared" si="126"/>
        <v>0</v>
      </c>
      <c r="N1507">
        <f t="shared" si="127"/>
        <v>-5.31</v>
      </c>
    </row>
    <row r="1508" spans="1:14" x14ac:dyDescent="0.3">
      <c r="A1508" t="s">
        <v>250</v>
      </c>
      <c r="B1508" t="s">
        <v>51</v>
      </c>
      <c r="C1508">
        <v>2</v>
      </c>
      <c r="D1508">
        <v>18</v>
      </c>
      <c r="E1508" t="s">
        <v>30</v>
      </c>
      <c r="J1508">
        <f t="shared" si="123"/>
        <v>63.617251162500004</v>
      </c>
      <c r="K1508">
        <v>5.31</v>
      </c>
      <c r="M1508">
        <f t="shared" si="126"/>
        <v>0</v>
      </c>
      <c r="N1508">
        <f t="shared" si="127"/>
        <v>-5.31</v>
      </c>
    </row>
    <row r="1509" spans="1:14" x14ac:dyDescent="0.3">
      <c r="A1509" t="s">
        <v>250</v>
      </c>
      <c r="B1509" t="s">
        <v>51</v>
      </c>
      <c r="C1509">
        <v>2</v>
      </c>
      <c r="D1509">
        <v>18</v>
      </c>
      <c r="E1509" t="s">
        <v>31</v>
      </c>
      <c r="J1509">
        <f t="shared" si="123"/>
        <v>63.617251162500004</v>
      </c>
      <c r="K1509">
        <v>5.31</v>
      </c>
      <c r="M1509">
        <f t="shared" si="126"/>
        <v>0</v>
      </c>
      <c r="N1509">
        <f t="shared" si="127"/>
        <v>-5.31</v>
      </c>
    </row>
    <row r="1510" spans="1:14" x14ac:dyDescent="0.3">
      <c r="A1510" t="s">
        <v>250</v>
      </c>
      <c r="B1510" t="s">
        <v>51</v>
      </c>
      <c r="C1510">
        <v>2</v>
      </c>
      <c r="D1510">
        <v>24</v>
      </c>
      <c r="E1510" t="s">
        <v>28</v>
      </c>
      <c r="J1510">
        <f t="shared" si="123"/>
        <v>63.617251162500004</v>
      </c>
      <c r="K1510">
        <v>5.31</v>
      </c>
      <c r="M1510">
        <f t="shared" si="126"/>
        <v>0</v>
      </c>
      <c r="N1510">
        <f t="shared" si="127"/>
        <v>-5.31</v>
      </c>
    </row>
    <row r="1511" spans="1:14" x14ac:dyDescent="0.3">
      <c r="A1511" t="s">
        <v>250</v>
      </c>
      <c r="B1511" t="s">
        <v>51</v>
      </c>
      <c r="C1511">
        <v>2</v>
      </c>
      <c r="D1511">
        <v>24</v>
      </c>
      <c r="E1511" t="s">
        <v>30</v>
      </c>
      <c r="J1511">
        <f t="shared" si="123"/>
        <v>63.617251162500004</v>
      </c>
      <c r="K1511">
        <v>5.31</v>
      </c>
      <c r="M1511">
        <f t="shared" si="126"/>
        <v>0</v>
      </c>
      <c r="N1511">
        <f t="shared" si="127"/>
        <v>-5.31</v>
      </c>
    </row>
    <row r="1512" spans="1:14" x14ac:dyDescent="0.3">
      <c r="A1512" t="s">
        <v>250</v>
      </c>
      <c r="B1512" t="s">
        <v>51</v>
      </c>
      <c r="C1512">
        <v>2</v>
      </c>
      <c r="D1512">
        <v>24</v>
      </c>
      <c r="E1512" t="s">
        <v>31</v>
      </c>
      <c r="J1512">
        <f t="shared" si="123"/>
        <v>63.617251162500004</v>
      </c>
      <c r="K1512">
        <v>5.31</v>
      </c>
      <c r="M1512">
        <f t="shared" si="126"/>
        <v>0</v>
      </c>
      <c r="N1512">
        <f t="shared" si="127"/>
        <v>-5.31</v>
      </c>
    </row>
    <row r="1513" spans="1:14" x14ac:dyDescent="0.3">
      <c r="A1513" t="s">
        <v>250</v>
      </c>
      <c r="B1513" t="s">
        <v>51</v>
      </c>
      <c r="C1513">
        <v>2</v>
      </c>
      <c r="D1513">
        <v>48</v>
      </c>
      <c r="E1513" t="s">
        <v>64</v>
      </c>
      <c r="J1513">
        <f t="shared" si="123"/>
        <v>63.617251162500004</v>
      </c>
      <c r="K1513">
        <v>5.31</v>
      </c>
      <c r="M1513">
        <f t="shared" si="126"/>
        <v>0</v>
      </c>
      <c r="N1513">
        <f t="shared" si="127"/>
        <v>-5.31</v>
      </c>
    </row>
    <row r="1514" spans="1:14" x14ac:dyDescent="0.3">
      <c r="A1514" t="s">
        <v>250</v>
      </c>
      <c r="B1514" t="s">
        <v>51</v>
      </c>
      <c r="C1514">
        <v>2</v>
      </c>
      <c r="D1514">
        <v>48</v>
      </c>
      <c r="E1514" t="s">
        <v>30</v>
      </c>
      <c r="J1514">
        <f t="shared" si="123"/>
        <v>63.617251162500004</v>
      </c>
      <c r="K1514">
        <v>5.31</v>
      </c>
      <c r="M1514">
        <f t="shared" si="126"/>
        <v>0</v>
      </c>
      <c r="N1514">
        <f t="shared" si="127"/>
        <v>-5.31</v>
      </c>
    </row>
    <row r="1515" spans="1:14" x14ac:dyDescent="0.3">
      <c r="A1515" t="s">
        <v>250</v>
      </c>
      <c r="B1515" t="s">
        <v>51</v>
      </c>
      <c r="C1515">
        <v>2</v>
      </c>
      <c r="D1515">
        <v>48</v>
      </c>
      <c r="E1515" t="s">
        <v>31</v>
      </c>
      <c r="J1515">
        <f t="shared" si="123"/>
        <v>63.617251162500004</v>
      </c>
      <c r="K1515">
        <v>5.31</v>
      </c>
      <c r="M1515">
        <f t="shared" si="126"/>
        <v>0</v>
      </c>
      <c r="N1515">
        <f t="shared" si="127"/>
        <v>-5.31</v>
      </c>
    </row>
    <row r="1516" spans="1:14" x14ac:dyDescent="0.3">
      <c r="A1516" t="s">
        <v>250</v>
      </c>
      <c r="B1516" s="7" t="s">
        <v>51</v>
      </c>
      <c r="C1516" s="7"/>
      <c r="D1516" s="7"/>
      <c r="E1516" s="7" t="s">
        <v>67</v>
      </c>
      <c r="J1516">
        <f t="shared" ref="J1516:J1579" si="128">4.5*4.5*3.14159265</f>
        <v>63.617251162500004</v>
      </c>
      <c r="K1516">
        <v>5.31</v>
      </c>
      <c r="M1516">
        <f t="shared" si="126"/>
        <v>0</v>
      </c>
      <c r="N1516">
        <f t="shared" si="127"/>
        <v>-5.31</v>
      </c>
    </row>
    <row r="1517" spans="1:14" x14ac:dyDescent="0.3">
      <c r="A1517" t="s">
        <v>250</v>
      </c>
      <c r="B1517" s="7" t="s">
        <v>51</v>
      </c>
      <c r="C1517" s="7"/>
      <c r="D1517" s="7"/>
      <c r="E1517" s="7" t="s">
        <v>68</v>
      </c>
      <c r="J1517">
        <f t="shared" si="128"/>
        <v>63.617251162500004</v>
      </c>
      <c r="K1517">
        <v>5.31</v>
      </c>
      <c r="M1517">
        <f t="shared" si="126"/>
        <v>0</v>
      </c>
      <c r="N1517">
        <f t="shared" si="127"/>
        <v>-5.31</v>
      </c>
    </row>
    <row r="1518" spans="1:14" x14ac:dyDescent="0.3">
      <c r="A1518" t="s">
        <v>250</v>
      </c>
      <c r="B1518" s="7" t="s">
        <v>51</v>
      </c>
      <c r="C1518" s="7"/>
      <c r="D1518" s="7"/>
      <c r="E1518" s="7" t="s">
        <v>69</v>
      </c>
      <c r="J1518">
        <f t="shared" si="128"/>
        <v>63.617251162500004</v>
      </c>
      <c r="K1518">
        <v>5.31</v>
      </c>
      <c r="M1518">
        <f t="shared" si="126"/>
        <v>0</v>
      </c>
      <c r="N1518">
        <f t="shared" si="127"/>
        <v>-5.31</v>
      </c>
    </row>
    <row r="1519" spans="1:14" x14ac:dyDescent="0.3">
      <c r="A1519" t="s">
        <v>250</v>
      </c>
      <c r="B1519" s="7" t="s">
        <v>51</v>
      </c>
      <c r="C1519" s="7"/>
      <c r="D1519" s="7"/>
      <c r="E1519" s="7" t="s">
        <v>70</v>
      </c>
      <c r="J1519">
        <f t="shared" si="128"/>
        <v>63.617251162500004</v>
      </c>
      <c r="K1519">
        <v>5.31</v>
      </c>
      <c r="M1519">
        <f t="shared" si="126"/>
        <v>0</v>
      </c>
      <c r="N1519">
        <f t="shared" si="127"/>
        <v>-5.31</v>
      </c>
    </row>
    <row r="1520" spans="1:14" x14ac:dyDescent="0.3">
      <c r="A1520" t="s">
        <v>250</v>
      </c>
      <c r="B1520" s="7" t="s">
        <v>54</v>
      </c>
      <c r="C1520" s="7">
        <v>1</v>
      </c>
      <c r="D1520" s="7">
        <v>0.5</v>
      </c>
      <c r="E1520" s="7" t="s">
        <v>64</v>
      </c>
      <c r="J1520">
        <f t="shared" si="128"/>
        <v>63.617251162500004</v>
      </c>
      <c r="K1520">
        <v>5.31</v>
      </c>
      <c r="M1520">
        <f t="shared" si="126"/>
        <v>0</v>
      </c>
      <c r="N1520">
        <f t="shared" si="127"/>
        <v>-5.31</v>
      </c>
    </row>
    <row r="1521" spans="1:14" x14ac:dyDescent="0.3">
      <c r="A1521" t="s">
        <v>250</v>
      </c>
      <c r="B1521" s="7" t="s">
        <v>54</v>
      </c>
      <c r="C1521" s="7">
        <v>1</v>
      </c>
      <c r="D1521" s="7">
        <v>0.5</v>
      </c>
      <c r="E1521" s="7" t="s">
        <v>30</v>
      </c>
      <c r="J1521">
        <f t="shared" si="128"/>
        <v>63.617251162500004</v>
      </c>
      <c r="K1521">
        <v>5.31</v>
      </c>
      <c r="M1521">
        <f t="shared" si="126"/>
        <v>0</v>
      </c>
      <c r="N1521">
        <f t="shared" si="127"/>
        <v>-5.31</v>
      </c>
    </row>
    <row r="1522" spans="1:14" x14ac:dyDescent="0.3">
      <c r="A1522" t="s">
        <v>250</v>
      </c>
      <c r="B1522" s="7" t="s">
        <v>54</v>
      </c>
      <c r="C1522" s="7">
        <v>1</v>
      </c>
      <c r="D1522" s="7">
        <v>0.5</v>
      </c>
      <c r="E1522" s="7" t="s">
        <v>31</v>
      </c>
      <c r="J1522">
        <f t="shared" si="128"/>
        <v>63.617251162500004</v>
      </c>
      <c r="K1522">
        <v>5.31</v>
      </c>
      <c r="M1522">
        <f t="shared" si="126"/>
        <v>0</v>
      </c>
      <c r="N1522">
        <f t="shared" si="127"/>
        <v>-5.31</v>
      </c>
    </row>
    <row r="1523" spans="1:14" x14ac:dyDescent="0.3">
      <c r="A1523" t="s">
        <v>250</v>
      </c>
      <c r="B1523" s="7" t="s">
        <v>54</v>
      </c>
      <c r="C1523" s="7">
        <v>1</v>
      </c>
      <c r="D1523" s="7">
        <v>2</v>
      </c>
      <c r="E1523" s="7" t="s">
        <v>64</v>
      </c>
      <c r="J1523">
        <f t="shared" si="128"/>
        <v>63.617251162500004</v>
      </c>
      <c r="K1523">
        <v>5.31</v>
      </c>
      <c r="M1523">
        <f t="shared" si="126"/>
        <v>0</v>
      </c>
      <c r="N1523">
        <f t="shared" si="127"/>
        <v>-5.31</v>
      </c>
    </row>
    <row r="1524" spans="1:14" x14ac:dyDescent="0.3">
      <c r="A1524" t="s">
        <v>250</v>
      </c>
      <c r="B1524" s="7" t="s">
        <v>54</v>
      </c>
      <c r="C1524" s="7">
        <v>1</v>
      </c>
      <c r="D1524" s="7">
        <v>2</v>
      </c>
      <c r="E1524" s="7" t="s">
        <v>30</v>
      </c>
      <c r="J1524">
        <f t="shared" si="128"/>
        <v>63.617251162500004</v>
      </c>
      <c r="K1524">
        <v>5.31</v>
      </c>
      <c r="M1524">
        <f t="shared" si="126"/>
        <v>0</v>
      </c>
      <c r="N1524">
        <f t="shared" si="127"/>
        <v>-5.31</v>
      </c>
    </row>
    <row r="1525" spans="1:14" x14ac:dyDescent="0.3">
      <c r="A1525" t="s">
        <v>250</v>
      </c>
      <c r="B1525" s="7" t="s">
        <v>54</v>
      </c>
      <c r="C1525" s="7">
        <v>1</v>
      </c>
      <c r="D1525" s="7">
        <v>2</v>
      </c>
      <c r="E1525" s="7" t="s">
        <v>31</v>
      </c>
      <c r="J1525">
        <f t="shared" si="128"/>
        <v>63.617251162500004</v>
      </c>
      <c r="K1525">
        <v>5.31</v>
      </c>
      <c r="M1525">
        <f t="shared" si="126"/>
        <v>0</v>
      </c>
      <c r="N1525">
        <f t="shared" si="127"/>
        <v>-5.31</v>
      </c>
    </row>
    <row r="1526" spans="1:14" x14ac:dyDescent="0.3">
      <c r="A1526" t="s">
        <v>250</v>
      </c>
      <c r="B1526" s="7" t="s">
        <v>54</v>
      </c>
      <c r="C1526" s="7">
        <v>1</v>
      </c>
      <c r="D1526" s="7">
        <v>6</v>
      </c>
      <c r="E1526" s="7" t="s">
        <v>64</v>
      </c>
      <c r="J1526">
        <f t="shared" si="128"/>
        <v>63.617251162500004</v>
      </c>
      <c r="K1526">
        <v>5.31</v>
      </c>
      <c r="M1526">
        <f t="shared" si="126"/>
        <v>0</v>
      </c>
      <c r="N1526">
        <f t="shared" si="127"/>
        <v>-5.31</v>
      </c>
    </row>
    <row r="1527" spans="1:14" x14ac:dyDescent="0.3">
      <c r="A1527" t="s">
        <v>250</v>
      </c>
      <c r="B1527" s="7" t="s">
        <v>54</v>
      </c>
      <c r="C1527" s="7">
        <v>1</v>
      </c>
      <c r="D1527" s="7">
        <v>6</v>
      </c>
      <c r="E1527" s="7" t="s">
        <v>30</v>
      </c>
      <c r="J1527">
        <f t="shared" si="128"/>
        <v>63.617251162500004</v>
      </c>
      <c r="K1527">
        <v>5.31</v>
      </c>
      <c r="M1527">
        <f t="shared" si="126"/>
        <v>0</v>
      </c>
      <c r="N1527">
        <f t="shared" si="127"/>
        <v>-5.31</v>
      </c>
    </row>
    <row r="1528" spans="1:14" x14ac:dyDescent="0.3">
      <c r="A1528" t="s">
        <v>250</v>
      </c>
      <c r="B1528" s="7" t="s">
        <v>54</v>
      </c>
      <c r="C1528" s="7">
        <v>1</v>
      </c>
      <c r="D1528" s="7">
        <v>6</v>
      </c>
      <c r="E1528" s="7" t="s">
        <v>31</v>
      </c>
      <c r="J1528">
        <f t="shared" si="128"/>
        <v>63.617251162500004</v>
      </c>
      <c r="K1528">
        <v>5.31</v>
      </c>
      <c r="M1528">
        <f t="shared" si="126"/>
        <v>0</v>
      </c>
      <c r="N1528">
        <f t="shared" si="127"/>
        <v>-5.31</v>
      </c>
    </row>
    <row r="1529" spans="1:14" x14ac:dyDescent="0.3">
      <c r="A1529" t="s">
        <v>250</v>
      </c>
      <c r="B1529" s="7" t="s">
        <v>54</v>
      </c>
      <c r="C1529" s="7">
        <v>1</v>
      </c>
      <c r="D1529" s="7">
        <v>12</v>
      </c>
      <c r="E1529" s="7" t="s">
        <v>64</v>
      </c>
      <c r="J1529">
        <f t="shared" si="128"/>
        <v>63.617251162500004</v>
      </c>
      <c r="K1529">
        <v>5.31</v>
      </c>
      <c r="M1529">
        <f t="shared" si="126"/>
        <v>0</v>
      </c>
      <c r="N1529">
        <f t="shared" si="127"/>
        <v>-5.31</v>
      </c>
    </row>
    <row r="1530" spans="1:14" x14ac:dyDescent="0.3">
      <c r="A1530" t="s">
        <v>250</v>
      </c>
      <c r="B1530" s="7" t="s">
        <v>54</v>
      </c>
      <c r="C1530" s="7">
        <v>1</v>
      </c>
      <c r="D1530" s="7">
        <v>12</v>
      </c>
      <c r="E1530" s="7" t="s">
        <v>30</v>
      </c>
      <c r="J1530">
        <f t="shared" si="128"/>
        <v>63.617251162500004</v>
      </c>
      <c r="K1530">
        <v>5.31</v>
      </c>
      <c r="M1530">
        <f t="shared" si="126"/>
        <v>0</v>
      </c>
      <c r="N1530">
        <f t="shared" si="127"/>
        <v>-5.31</v>
      </c>
    </row>
    <row r="1531" spans="1:14" x14ac:dyDescent="0.3">
      <c r="A1531" t="s">
        <v>250</v>
      </c>
      <c r="B1531" s="7" t="s">
        <v>54</v>
      </c>
      <c r="C1531" s="7">
        <v>1</v>
      </c>
      <c r="D1531" s="7">
        <v>12</v>
      </c>
      <c r="E1531" s="7" t="s">
        <v>31</v>
      </c>
      <c r="J1531">
        <f t="shared" si="128"/>
        <v>63.617251162500004</v>
      </c>
      <c r="K1531">
        <v>5.31</v>
      </c>
      <c r="M1531">
        <f t="shared" si="126"/>
        <v>0</v>
      </c>
      <c r="N1531">
        <f t="shared" si="127"/>
        <v>-5.31</v>
      </c>
    </row>
    <row r="1532" spans="1:14" x14ac:dyDescent="0.3">
      <c r="A1532" t="s">
        <v>250</v>
      </c>
      <c r="B1532" s="7" t="s">
        <v>54</v>
      </c>
      <c r="C1532" s="7">
        <v>1</v>
      </c>
      <c r="D1532" s="7">
        <v>18</v>
      </c>
      <c r="E1532" s="7" t="s">
        <v>64</v>
      </c>
      <c r="J1532">
        <f t="shared" si="128"/>
        <v>63.617251162500004</v>
      </c>
      <c r="K1532">
        <v>5.31</v>
      </c>
      <c r="M1532">
        <f t="shared" si="126"/>
        <v>0</v>
      </c>
      <c r="N1532">
        <f t="shared" si="127"/>
        <v>-5.31</v>
      </c>
    </row>
    <row r="1533" spans="1:14" x14ac:dyDescent="0.3">
      <c r="A1533" t="s">
        <v>250</v>
      </c>
      <c r="B1533" s="7" t="s">
        <v>54</v>
      </c>
      <c r="C1533" s="7">
        <v>1</v>
      </c>
      <c r="D1533" s="7">
        <v>18</v>
      </c>
      <c r="E1533" s="7" t="s">
        <v>30</v>
      </c>
      <c r="J1533">
        <f t="shared" si="128"/>
        <v>63.617251162500004</v>
      </c>
      <c r="K1533">
        <v>5.31</v>
      </c>
      <c r="M1533">
        <f t="shared" si="126"/>
        <v>0</v>
      </c>
      <c r="N1533">
        <f t="shared" si="127"/>
        <v>-5.31</v>
      </c>
    </row>
    <row r="1534" spans="1:14" x14ac:dyDescent="0.3">
      <c r="A1534" t="s">
        <v>250</v>
      </c>
      <c r="B1534" s="7" t="s">
        <v>54</v>
      </c>
      <c r="C1534" s="7">
        <v>1</v>
      </c>
      <c r="D1534" s="7">
        <v>18</v>
      </c>
      <c r="E1534" s="7" t="s">
        <v>31</v>
      </c>
      <c r="J1534">
        <f t="shared" si="128"/>
        <v>63.617251162500004</v>
      </c>
      <c r="K1534">
        <v>5.31</v>
      </c>
      <c r="M1534">
        <f t="shared" si="126"/>
        <v>0</v>
      </c>
      <c r="N1534">
        <f t="shared" si="127"/>
        <v>-5.31</v>
      </c>
    </row>
    <row r="1535" spans="1:14" x14ac:dyDescent="0.3">
      <c r="A1535" t="s">
        <v>250</v>
      </c>
      <c r="B1535" s="7" t="s">
        <v>54</v>
      </c>
      <c r="C1535" s="7">
        <v>1</v>
      </c>
      <c r="D1535" s="7">
        <v>24</v>
      </c>
      <c r="E1535" s="7" t="s">
        <v>28</v>
      </c>
      <c r="J1535">
        <f t="shared" si="128"/>
        <v>63.617251162500004</v>
      </c>
      <c r="K1535">
        <v>5.31</v>
      </c>
      <c r="M1535">
        <f t="shared" si="126"/>
        <v>0</v>
      </c>
      <c r="N1535">
        <f t="shared" si="127"/>
        <v>-5.31</v>
      </c>
    </row>
    <row r="1536" spans="1:14" x14ac:dyDescent="0.3">
      <c r="A1536" t="s">
        <v>250</v>
      </c>
      <c r="B1536" s="7" t="s">
        <v>54</v>
      </c>
      <c r="C1536" s="7">
        <v>1</v>
      </c>
      <c r="D1536" s="7">
        <v>24</v>
      </c>
      <c r="E1536" s="7" t="s">
        <v>30</v>
      </c>
      <c r="J1536">
        <f t="shared" si="128"/>
        <v>63.617251162500004</v>
      </c>
      <c r="K1536">
        <v>5.31</v>
      </c>
      <c r="M1536">
        <f t="shared" si="126"/>
        <v>0</v>
      </c>
      <c r="N1536">
        <f t="shared" si="127"/>
        <v>-5.31</v>
      </c>
    </row>
    <row r="1537" spans="1:14" x14ac:dyDescent="0.3">
      <c r="A1537" t="s">
        <v>250</v>
      </c>
      <c r="B1537" s="7" t="s">
        <v>54</v>
      </c>
      <c r="C1537" s="7">
        <v>1</v>
      </c>
      <c r="D1537" s="7">
        <v>24</v>
      </c>
      <c r="E1537" s="7" t="s">
        <v>31</v>
      </c>
      <c r="J1537">
        <f t="shared" si="128"/>
        <v>63.617251162500004</v>
      </c>
      <c r="K1537">
        <v>5.31</v>
      </c>
      <c r="M1537">
        <f t="shared" si="126"/>
        <v>0</v>
      </c>
      <c r="N1537">
        <f t="shared" si="127"/>
        <v>-5.31</v>
      </c>
    </row>
    <row r="1538" spans="1:14" x14ac:dyDescent="0.3">
      <c r="A1538" t="s">
        <v>250</v>
      </c>
      <c r="B1538" s="7" t="s">
        <v>54</v>
      </c>
      <c r="C1538" s="7">
        <v>1</v>
      </c>
      <c r="D1538" s="7">
        <v>48</v>
      </c>
      <c r="E1538" s="7" t="s">
        <v>64</v>
      </c>
      <c r="J1538">
        <f t="shared" si="128"/>
        <v>63.617251162500004</v>
      </c>
      <c r="K1538">
        <v>5.31</v>
      </c>
      <c r="M1538">
        <f t="shared" si="126"/>
        <v>0</v>
      </c>
      <c r="N1538">
        <f t="shared" si="127"/>
        <v>-5.31</v>
      </c>
    </row>
    <row r="1539" spans="1:14" x14ac:dyDescent="0.3">
      <c r="A1539" t="s">
        <v>250</v>
      </c>
      <c r="B1539" s="7" t="s">
        <v>54</v>
      </c>
      <c r="C1539" s="7">
        <v>1</v>
      </c>
      <c r="D1539" s="7">
        <v>48</v>
      </c>
      <c r="E1539" s="7" t="s">
        <v>30</v>
      </c>
      <c r="J1539">
        <f t="shared" si="128"/>
        <v>63.617251162500004</v>
      </c>
      <c r="K1539">
        <v>5.31</v>
      </c>
      <c r="M1539">
        <f t="shared" si="126"/>
        <v>0</v>
      </c>
      <c r="N1539">
        <f t="shared" si="127"/>
        <v>-5.31</v>
      </c>
    </row>
    <row r="1540" spans="1:14" x14ac:dyDescent="0.3">
      <c r="A1540" t="s">
        <v>250</v>
      </c>
      <c r="B1540" s="7" t="s">
        <v>54</v>
      </c>
      <c r="C1540" s="7">
        <v>1</v>
      </c>
      <c r="D1540" s="7">
        <v>48</v>
      </c>
      <c r="E1540" s="7" t="s">
        <v>31</v>
      </c>
      <c r="J1540">
        <f t="shared" si="128"/>
        <v>63.617251162500004</v>
      </c>
      <c r="K1540">
        <v>5.31</v>
      </c>
      <c r="M1540">
        <f t="shared" ref="M1540:M1603" si="129">L1540*F1540</f>
        <v>0</v>
      </c>
      <c r="N1540">
        <f t="shared" si="127"/>
        <v>-5.31</v>
      </c>
    </row>
    <row r="1541" spans="1:14" x14ac:dyDescent="0.3">
      <c r="A1541" t="s">
        <v>250</v>
      </c>
      <c r="B1541" t="s">
        <v>54</v>
      </c>
      <c r="C1541">
        <v>2</v>
      </c>
      <c r="D1541">
        <v>0.5</v>
      </c>
      <c r="E1541" t="s">
        <v>64</v>
      </c>
      <c r="J1541">
        <f t="shared" si="128"/>
        <v>63.617251162500004</v>
      </c>
      <c r="K1541">
        <v>5.31</v>
      </c>
      <c r="M1541">
        <f t="shared" si="129"/>
        <v>0</v>
      </c>
      <c r="N1541">
        <f t="shared" si="127"/>
        <v>-5.31</v>
      </c>
    </row>
    <row r="1542" spans="1:14" x14ac:dyDescent="0.3">
      <c r="A1542" t="s">
        <v>250</v>
      </c>
      <c r="B1542" t="s">
        <v>54</v>
      </c>
      <c r="C1542">
        <v>2</v>
      </c>
      <c r="D1542">
        <v>0.5</v>
      </c>
      <c r="E1542" t="s">
        <v>30</v>
      </c>
      <c r="J1542">
        <f t="shared" si="128"/>
        <v>63.617251162500004</v>
      </c>
      <c r="K1542">
        <v>5.31</v>
      </c>
      <c r="M1542">
        <f t="shared" si="129"/>
        <v>0</v>
      </c>
      <c r="N1542">
        <f t="shared" si="127"/>
        <v>-5.31</v>
      </c>
    </row>
    <row r="1543" spans="1:14" x14ac:dyDescent="0.3">
      <c r="A1543" t="s">
        <v>250</v>
      </c>
      <c r="B1543" t="s">
        <v>54</v>
      </c>
      <c r="C1543">
        <v>2</v>
      </c>
      <c r="D1543">
        <v>0.5</v>
      </c>
      <c r="E1543" t="s">
        <v>31</v>
      </c>
      <c r="J1543">
        <f t="shared" si="128"/>
        <v>63.617251162500004</v>
      </c>
      <c r="K1543">
        <v>5.31</v>
      </c>
      <c r="M1543">
        <f t="shared" si="129"/>
        <v>0</v>
      </c>
      <c r="N1543">
        <f t="shared" si="127"/>
        <v>-5.31</v>
      </c>
    </row>
    <row r="1544" spans="1:14" x14ac:dyDescent="0.3">
      <c r="A1544" t="s">
        <v>250</v>
      </c>
      <c r="B1544" t="s">
        <v>54</v>
      </c>
      <c r="C1544">
        <v>2</v>
      </c>
      <c r="D1544">
        <v>2</v>
      </c>
      <c r="E1544" t="s">
        <v>64</v>
      </c>
      <c r="J1544">
        <f t="shared" si="128"/>
        <v>63.617251162500004</v>
      </c>
      <c r="K1544">
        <v>5.31</v>
      </c>
      <c r="M1544">
        <f t="shared" si="129"/>
        <v>0</v>
      </c>
      <c r="N1544">
        <f t="shared" si="127"/>
        <v>-5.31</v>
      </c>
    </row>
    <row r="1545" spans="1:14" x14ac:dyDescent="0.3">
      <c r="A1545" t="s">
        <v>250</v>
      </c>
      <c r="B1545" t="s">
        <v>54</v>
      </c>
      <c r="C1545">
        <v>2</v>
      </c>
      <c r="D1545">
        <v>2</v>
      </c>
      <c r="E1545" t="s">
        <v>30</v>
      </c>
      <c r="J1545">
        <f t="shared" si="128"/>
        <v>63.617251162500004</v>
      </c>
      <c r="K1545">
        <v>5.31</v>
      </c>
      <c r="M1545">
        <f t="shared" si="129"/>
        <v>0</v>
      </c>
      <c r="N1545">
        <f t="shared" si="127"/>
        <v>-5.31</v>
      </c>
    </row>
    <row r="1546" spans="1:14" x14ac:dyDescent="0.3">
      <c r="A1546" t="s">
        <v>250</v>
      </c>
      <c r="B1546" t="s">
        <v>54</v>
      </c>
      <c r="C1546">
        <v>2</v>
      </c>
      <c r="D1546">
        <v>2</v>
      </c>
      <c r="E1546" t="s">
        <v>31</v>
      </c>
      <c r="J1546">
        <f t="shared" si="128"/>
        <v>63.617251162500004</v>
      </c>
      <c r="K1546">
        <v>5.31</v>
      </c>
      <c r="M1546">
        <f t="shared" si="129"/>
        <v>0</v>
      </c>
      <c r="N1546">
        <f t="shared" si="127"/>
        <v>-5.31</v>
      </c>
    </row>
    <row r="1547" spans="1:14" x14ac:dyDescent="0.3">
      <c r="A1547" t="s">
        <v>250</v>
      </c>
      <c r="B1547" t="s">
        <v>54</v>
      </c>
      <c r="C1547">
        <v>2</v>
      </c>
      <c r="D1547">
        <v>6</v>
      </c>
      <c r="E1547" t="s">
        <v>64</v>
      </c>
      <c r="J1547">
        <f t="shared" si="128"/>
        <v>63.617251162500004</v>
      </c>
      <c r="K1547">
        <v>5.31</v>
      </c>
      <c r="M1547">
        <f t="shared" si="129"/>
        <v>0</v>
      </c>
      <c r="N1547">
        <f t="shared" si="127"/>
        <v>-5.31</v>
      </c>
    </row>
    <row r="1548" spans="1:14" x14ac:dyDescent="0.3">
      <c r="A1548" t="s">
        <v>250</v>
      </c>
      <c r="B1548" t="s">
        <v>54</v>
      </c>
      <c r="C1548">
        <v>2</v>
      </c>
      <c r="D1548">
        <v>6</v>
      </c>
      <c r="E1548" t="s">
        <v>30</v>
      </c>
      <c r="J1548">
        <f t="shared" si="128"/>
        <v>63.617251162500004</v>
      </c>
      <c r="K1548">
        <v>5.31</v>
      </c>
      <c r="M1548">
        <f t="shared" si="129"/>
        <v>0</v>
      </c>
      <c r="N1548">
        <f t="shared" si="127"/>
        <v>-5.31</v>
      </c>
    </row>
    <row r="1549" spans="1:14" x14ac:dyDescent="0.3">
      <c r="A1549" t="s">
        <v>250</v>
      </c>
      <c r="B1549" t="s">
        <v>54</v>
      </c>
      <c r="C1549">
        <v>2</v>
      </c>
      <c r="D1549">
        <v>6</v>
      </c>
      <c r="E1549" t="s">
        <v>31</v>
      </c>
      <c r="J1549">
        <f t="shared" si="128"/>
        <v>63.617251162500004</v>
      </c>
      <c r="K1549">
        <v>5.31</v>
      </c>
      <c r="M1549">
        <f t="shared" si="129"/>
        <v>0</v>
      </c>
      <c r="N1549">
        <f t="shared" si="127"/>
        <v>-5.31</v>
      </c>
    </row>
    <row r="1550" spans="1:14" x14ac:dyDescent="0.3">
      <c r="A1550" t="s">
        <v>250</v>
      </c>
      <c r="B1550" t="s">
        <v>54</v>
      </c>
      <c r="C1550">
        <v>2</v>
      </c>
      <c r="D1550">
        <v>12</v>
      </c>
      <c r="E1550" t="s">
        <v>64</v>
      </c>
      <c r="J1550">
        <f t="shared" si="128"/>
        <v>63.617251162500004</v>
      </c>
      <c r="K1550">
        <v>5.31</v>
      </c>
      <c r="M1550">
        <f t="shared" si="129"/>
        <v>0</v>
      </c>
      <c r="N1550">
        <f t="shared" si="127"/>
        <v>-5.31</v>
      </c>
    </row>
    <row r="1551" spans="1:14" x14ac:dyDescent="0.3">
      <c r="A1551" t="s">
        <v>250</v>
      </c>
      <c r="B1551" t="s">
        <v>54</v>
      </c>
      <c r="C1551">
        <v>2</v>
      </c>
      <c r="D1551">
        <v>12</v>
      </c>
      <c r="E1551" t="s">
        <v>30</v>
      </c>
      <c r="J1551">
        <f t="shared" si="128"/>
        <v>63.617251162500004</v>
      </c>
      <c r="K1551">
        <v>5.31</v>
      </c>
      <c r="M1551">
        <f t="shared" si="129"/>
        <v>0</v>
      </c>
      <c r="N1551">
        <f t="shared" si="127"/>
        <v>-5.31</v>
      </c>
    </row>
    <row r="1552" spans="1:14" x14ac:dyDescent="0.3">
      <c r="A1552" t="s">
        <v>250</v>
      </c>
      <c r="B1552" t="s">
        <v>54</v>
      </c>
      <c r="C1552">
        <v>2</v>
      </c>
      <c r="D1552">
        <v>12</v>
      </c>
      <c r="E1552" t="s">
        <v>31</v>
      </c>
      <c r="J1552">
        <f t="shared" si="128"/>
        <v>63.617251162500004</v>
      </c>
      <c r="K1552">
        <v>5.31</v>
      </c>
      <c r="M1552">
        <f t="shared" si="129"/>
        <v>0</v>
      </c>
      <c r="N1552">
        <f t="shared" si="127"/>
        <v>-5.31</v>
      </c>
    </row>
    <row r="1553" spans="1:14" x14ac:dyDescent="0.3">
      <c r="A1553" t="s">
        <v>250</v>
      </c>
      <c r="B1553" t="s">
        <v>54</v>
      </c>
      <c r="C1553">
        <v>2</v>
      </c>
      <c r="D1553">
        <v>18</v>
      </c>
      <c r="E1553" t="s">
        <v>64</v>
      </c>
      <c r="J1553">
        <f t="shared" si="128"/>
        <v>63.617251162500004</v>
      </c>
      <c r="K1553">
        <v>5.31</v>
      </c>
      <c r="M1553">
        <f t="shared" si="129"/>
        <v>0</v>
      </c>
      <c r="N1553">
        <f t="shared" si="127"/>
        <v>-5.31</v>
      </c>
    </row>
    <row r="1554" spans="1:14" x14ac:dyDescent="0.3">
      <c r="A1554" t="s">
        <v>250</v>
      </c>
      <c r="B1554" t="s">
        <v>54</v>
      </c>
      <c r="C1554">
        <v>2</v>
      </c>
      <c r="D1554">
        <v>18</v>
      </c>
      <c r="E1554" t="s">
        <v>30</v>
      </c>
      <c r="J1554">
        <f t="shared" si="128"/>
        <v>63.617251162500004</v>
      </c>
      <c r="K1554">
        <v>5.31</v>
      </c>
      <c r="M1554">
        <f t="shared" si="129"/>
        <v>0</v>
      </c>
      <c r="N1554">
        <f t="shared" si="127"/>
        <v>-5.31</v>
      </c>
    </row>
    <row r="1555" spans="1:14" x14ac:dyDescent="0.3">
      <c r="A1555" t="s">
        <v>250</v>
      </c>
      <c r="B1555" t="s">
        <v>54</v>
      </c>
      <c r="C1555">
        <v>2</v>
      </c>
      <c r="D1555">
        <v>18</v>
      </c>
      <c r="E1555" t="s">
        <v>31</v>
      </c>
      <c r="J1555">
        <f t="shared" si="128"/>
        <v>63.617251162500004</v>
      </c>
      <c r="K1555">
        <v>5.31</v>
      </c>
      <c r="M1555">
        <f t="shared" si="129"/>
        <v>0</v>
      </c>
      <c r="N1555">
        <f t="shared" si="127"/>
        <v>-5.31</v>
      </c>
    </row>
    <row r="1556" spans="1:14" x14ac:dyDescent="0.3">
      <c r="A1556" t="s">
        <v>250</v>
      </c>
      <c r="B1556" t="s">
        <v>54</v>
      </c>
      <c r="C1556">
        <v>2</v>
      </c>
      <c r="D1556">
        <v>24</v>
      </c>
      <c r="E1556" t="s">
        <v>28</v>
      </c>
      <c r="J1556">
        <f t="shared" si="128"/>
        <v>63.617251162500004</v>
      </c>
      <c r="K1556">
        <v>5.31</v>
      </c>
      <c r="M1556">
        <f t="shared" si="129"/>
        <v>0</v>
      </c>
      <c r="N1556">
        <f t="shared" si="127"/>
        <v>-5.31</v>
      </c>
    </row>
    <row r="1557" spans="1:14" x14ac:dyDescent="0.3">
      <c r="A1557" t="s">
        <v>250</v>
      </c>
      <c r="B1557" t="s">
        <v>54</v>
      </c>
      <c r="C1557">
        <v>2</v>
      </c>
      <c r="D1557">
        <v>24</v>
      </c>
      <c r="E1557" t="s">
        <v>30</v>
      </c>
      <c r="J1557">
        <f t="shared" si="128"/>
        <v>63.617251162500004</v>
      </c>
      <c r="K1557">
        <v>5.31</v>
      </c>
      <c r="M1557">
        <f t="shared" si="129"/>
        <v>0</v>
      </c>
      <c r="N1557">
        <f t="shared" si="127"/>
        <v>-5.31</v>
      </c>
    </row>
    <row r="1558" spans="1:14" x14ac:dyDescent="0.3">
      <c r="A1558" t="s">
        <v>250</v>
      </c>
      <c r="B1558" t="s">
        <v>54</v>
      </c>
      <c r="C1558">
        <v>2</v>
      </c>
      <c r="D1558">
        <v>24</v>
      </c>
      <c r="E1558" t="s">
        <v>31</v>
      </c>
      <c r="J1558">
        <f t="shared" si="128"/>
        <v>63.617251162500004</v>
      </c>
      <c r="K1558">
        <v>5.31</v>
      </c>
      <c r="M1558">
        <f t="shared" si="129"/>
        <v>0</v>
      </c>
      <c r="N1558">
        <f t="shared" si="127"/>
        <v>-5.31</v>
      </c>
    </row>
    <row r="1559" spans="1:14" x14ac:dyDescent="0.3">
      <c r="A1559" t="s">
        <v>250</v>
      </c>
      <c r="B1559" t="s">
        <v>54</v>
      </c>
      <c r="C1559">
        <v>2</v>
      </c>
      <c r="D1559">
        <v>48</v>
      </c>
      <c r="E1559" t="s">
        <v>64</v>
      </c>
      <c r="J1559">
        <f t="shared" si="128"/>
        <v>63.617251162500004</v>
      </c>
      <c r="K1559">
        <v>5.31</v>
      </c>
      <c r="M1559">
        <f t="shared" si="129"/>
        <v>0</v>
      </c>
      <c r="N1559">
        <f t="shared" si="127"/>
        <v>-5.31</v>
      </c>
    </row>
    <row r="1560" spans="1:14" x14ac:dyDescent="0.3">
      <c r="A1560" t="s">
        <v>250</v>
      </c>
      <c r="B1560" t="s">
        <v>54</v>
      </c>
      <c r="C1560">
        <v>2</v>
      </c>
      <c r="D1560">
        <v>48</v>
      </c>
      <c r="E1560" t="s">
        <v>30</v>
      </c>
      <c r="J1560">
        <f t="shared" si="128"/>
        <v>63.617251162500004</v>
      </c>
      <c r="K1560">
        <v>5.31</v>
      </c>
      <c r="M1560">
        <f t="shared" si="129"/>
        <v>0</v>
      </c>
      <c r="N1560">
        <f t="shared" ref="N1560:N1623" si="130">L1560*J1560-K1560</f>
        <v>-5.31</v>
      </c>
    </row>
    <row r="1561" spans="1:14" x14ac:dyDescent="0.3">
      <c r="A1561" t="s">
        <v>250</v>
      </c>
      <c r="B1561" t="s">
        <v>54</v>
      </c>
      <c r="C1561">
        <v>2</v>
      </c>
      <c r="D1561">
        <v>48</v>
      </c>
      <c r="E1561" t="s">
        <v>31</v>
      </c>
      <c r="J1561">
        <f t="shared" si="128"/>
        <v>63.617251162500004</v>
      </c>
      <c r="K1561">
        <v>5.31</v>
      </c>
      <c r="M1561">
        <f t="shared" si="129"/>
        <v>0</v>
      </c>
      <c r="N1561">
        <f t="shared" si="130"/>
        <v>-5.31</v>
      </c>
    </row>
    <row r="1562" spans="1:14" x14ac:dyDescent="0.3">
      <c r="A1562" t="s">
        <v>250</v>
      </c>
      <c r="B1562" t="s">
        <v>54</v>
      </c>
      <c r="E1562" t="s">
        <v>67</v>
      </c>
      <c r="J1562">
        <f t="shared" si="128"/>
        <v>63.617251162500004</v>
      </c>
      <c r="K1562">
        <v>5.31</v>
      </c>
      <c r="M1562">
        <f t="shared" si="129"/>
        <v>0</v>
      </c>
      <c r="N1562">
        <f t="shared" si="130"/>
        <v>-5.31</v>
      </c>
    </row>
    <row r="1563" spans="1:14" x14ac:dyDescent="0.3">
      <c r="A1563" t="s">
        <v>250</v>
      </c>
      <c r="B1563" t="s">
        <v>54</v>
      </c>
      <c r="E1563" t="s">
        <v>68</v>
      </c>
      <c r="J1563">
        <f t="shared" si="128"/>
        <v>63.617251162500004</v>
      </c>
      <c r="K1563">
        <v>5.31</v>
      </c>
      <c r="M1563">
        <f t="shared" si="129"/>
        <v>0</v>
      </c>
      <c r="N1563">
        <f t="shared" si="130"/>
        <v>-5.31</v>
      </c>
    </row>
    <row r="1564" spans="1:14" x14ac:dyDescent="0.3">
      <c r="A1564" t="s">
        <v>250</v>
      </c>
      <c r="B1564" t="s">
        <v>54</v>
      </c>
      <c r="E1564" t="s">
        <v>69</v>
      </c>
      <c r="J1564">
        <f t="shared" si="128"/>
        <v>63.617251162500004</v>
      </c>
      <c r="K1564">
        <v>5.31</v>
      </c>
      <c r="M1564">
        <f t="shared" si="129"/>
        <v>0</v>
      </c>
      <c r="N1564">
        <f t="shared" si="130"/>
        <v>-5.31</v>
      </c>
    </row>
    <row r="1565" spans="1:14" x14ac:dyDescent="0.3">
      <c r="A1565" t="s">
        <v>250</v>
      </c>
      <c r="B1565" t="s">
        <v>54</v>
      </c>
      <c r="E1565" t="s">
        <v>70</v>
      </c>
      <c r="J1565">
        <f t="shared" si="128"/>
        <v>63.617251162500004</v>
      </c>
      <c r="K1565">
        <v>5.31</v>
      </c>
      <c r="M1565">
        <f t="shared" si="129"/>
        <v>0</v>
      </c>
      <c r="N1565">
        <f t="shared" si="130"/>
        <v>-5.31</v>
      </c>
    </row>
    <row r="1566" spans="1:14" x14ac:dyDescent="0.3">
      <c r="A1566" t="s">
        <v>250</v>
      </c>
      <c r="B1566" t="s">
        <v>57</v>
      </c>
      <c r="C1566">
        <v>1</v>
      </c>
      <c r="D1566">
        <v>0.5</v>
      </c>
      <c r="E1566" t="s">
        <v>64</v>
      </c>
      <c r="J1566">
        <f t="shared" si="128"/>
        <v>63.617251162500004</v>
      </c>
      <c r="K1566">
        <v>5.31</v>
      </c>
      <c r="M1566">
        <f t="shared" si="129"/>
        <v>0</v>
      </c>
      <c r="N1566">
        <f t="shared" si="130"/>
        <v>-5.31</v>
      </c>
    </row>
    <row r="1567" spans="1:14" x14ac:dyDescent="0.3">
      <c r="A1567" t="s">
        <v>250</v>
      </c>
      <c r="B1567" t="s">
        <v>57</v>
      </c>
      <c r="C1567">
        <v>1</v>
      </c>
      <c r="D1567">
        <v>0.5</v>
      </c>
      <c r="E1567" t="s">
        <v>30</v>
      </c>
      <c r="J1567">
        <f t="shared" si="128"/>
        <v>63.617251162500004</v>
      </c>
      <c r="K1567">
        <v>5.31</v>
      </c>
      <c r="M1567">
        <f t="shared" si="129"/>
        <v>0</v>
      </c>
      <c r="N1567">
        <f t="shared" si="130"/>
        <v>-5.31</v>
      </c>
    </row>
    <row r="1568" spans="1:14" x14ac:dyDescent="0.3">
      <c r="A1568" t="s">
        <v>250</v>
      </c>
      <c r="B1568" t="s">
        <v>57</v>
      </c>
      <c r="C1568">
        <v>1</v>
      </c>
      <c r="D1568">
        <v>0.5</v>
      </c>
      <c r="E1568" t="s">
        <v>31</v>
      </c>
      <c r="J1568">
        <f t="shared" si="128"/>
        <v>63.617251162500004</v>
      </c>
      <c r="K1568">
        <v>5.31</v>
      </c>
      <c r="M1568">
        <f t="shared" si="129"/>
        <v>0</v>
      </c>
      <c r="N1568">
        <f t="shared" si="130"/>
        <v>-5.31</v>
      </c>
    </row>
    <row r="1569" spans="1:14" x14ac:dyDescent="0.3">
      <c r="A1569" t="s">
        <v>250</v>
      </c>
      <c r="B1569" t="s">
        <v>57</v>
      </c>
      <c r="C1569">
        <v>1</v>
      </c>
      <c r="D1569">
        <v>2</v>
      </c>
      <c r="E1569" t="s">
        <v>64</v>
      </c>
      <c r="J1569">
        <f t="shared" si="128"/>
        <v>63.617251162500004</v>
      </c>
      <c r="K1569">
        <v>5.31</v>
      </c>
      <c r="M1569">
        <f t="shared" si="129"/>
        <v>0</v>
      </c>
      <c r="N1569">
        <f t="shared" si="130"/>
        <v>-5.31</v>
      </c>
    </row>
    <row r="1570" spans="1:14" x14ac:dyDescent="0.3">
      <c r="A1570" t="s">
        <v>250</v>
      </c>
      <c r="B1570" t="s">
        <v>57</v>
      </c>
      <c r="C1570">
        <v>1</v>
      </c>
      <c r="D1570">
        <v>2</v>
      </c>
      <c r="E1570" t="s">
        <v>30</v>
      </c>
      <c r="J1570">
        <f t="shared" si="128"/>
        <v>63.617251162500004</v>
      </c>
      <c r="K1570">
        <v>5.31</v>
      </c>
      <c r="M1570">
        <f t="shared" si="129"/>
        <v>0</v>
      </c>
      <c r="N1570">
        <f t="shared" si="130"/>
        <v>-5.31</v>
      </c>
    </row>
    <row r="1571" spans="1:14" x14ac:dyDescent="0.3">
      <c r="A1571" t="s">
        <v>250</v>
      </c>
      <c r="B1571" t="s">
        <v>57</v>
      </c>
      <c r="C1571">
        <v>1</v>
      </c>
      <c r="D1571">
        <v>2</v>
      </c>
      <c r="E1571" t="s">
        <v>31</v>
      </c>
      <c r="J1571">
        <f t="shared" si="128"/>
        <v>63.617251162500004</v>
      </c>
      <c r="K1571">
        <v>5.31</v>
      </c>
      <c r="M1571">
        <f t="shared" si="129"/>
        <v>0</v>
      </c>
      <c r="N1571">
        <f t="shared" si="130"/>
        <v>-5.31</v>
      </c>
    </row>
    <row r="1572" spans="1:14" x14ac:dyDescent="0.3">
      <c r="A1572" t="s">
        <v>250</v>
      </c>
      <c r="B1572" t="s">
        <v>57</v>
      </c>
      <c r="C1572">
        <v>1</v>
      </c>
      <c r="D1572">
        <v>6</v>
      </c>
      <c r="E1572" t="s">
        <v>64</v>
      </c>
      <c r="J1572">
        <f t="shared" si="128"/>
        <v>63.617251162500004</v>
      </c>
      <c r="K1572">
        <v>5.31</v>
      </c>
      <c r="M1572">
        <f t="shared" si="129"/>
        <v>0</v>
      </c>
      <c r="N1572">
        <f t="shared" si="130"/>
        <v>-5.31</v>
      </c>
    </row>
    <row r="1573" spans="1:14" x14ac:dyDescent="0.3">
      <c r="A1573" t="s">
        <v>250</v>
      </c>
      <c r="B1573" t="s">
        <v>57</v>
      </c>
      <c r="C1573">
        <v>1</v>
      </c>
      <c r="D1573">
        <v>6</v>
      </c>
      <c r="E1573" t="s">
        <v>30</v>
      </c>
      <c r="J1573">
        <f t="shared" si="128"/>
        <v>63.617251162500004</v>
      </c>
      <c r="K1573">
        <v>5.31</v>
      </c>
      <c r="M1573">
        <f t="shared" si="129"/>
        <v>0</v>
      </c>
      <c r="N1573">
        <f t="shared" si="130"/>
        <v>-5.31</v>
      </c>
    </row>
    <row r="1574" spans="1:14" x14ac:dyDescent="0.3">
      <c r="A1574" t="s">
        <v>250</v>
      </c>
      <c r="B1574" t="s">
        <v>57</v>
      </c>
      <c r="C1574">
        <v>1</v>
      </c>
      <c r="D1574">
        <v>6</v>
      </c>
      <c r="E1574" t="s">
        <v>31</v>
      </c>
      <c r="J1574">
        <f t="shared" si="128"/>
        <v>63.617251162500004</v>
      </c>
      <c r="K1574">
        <v>5.31</v>
      </c>
      <c r="M1574">
        <f t="shared" si="129"/>
        <v>0</v>
      </c>
      <c r="N1574">
        <f t="shared" si="130"/>
        <v>-5.31</v>
      </c>
    </row>
    <row r="1575" spans="1:14" x14ac:dyDescent="0.3">
      <c r="A1575" t="s">
        <v>250</v>
      </c>
      <c r="B1575" t="s">
        <v>57</v>
      </c>
      <c r="C1575">
        <v>1</v>
      </c>
      <c r="D1575">
        <v>12</v>
      </c>
      <c r="E1575" t="s">
        <v>64</v>
      </c>
      <c r="J1575">
        <f t="shared" si="128"/>
        <v>63.617251162500004</v>
      </c>
      <c r="K1575">
        <v>5.31</v>
      </c>
      <c r="M1575">
        <f t="shared" si="129"/>
        <v>0</v>
      </c>
      <c r="N1575">
        <f t="shared" si="130"/>
        <v>-5.31</v>
      </c>
    </row>
    <row r="1576" spans="1:14" x14ac:dyDescent="0.3">
      <c r="A1576" t="s">
        <v>250</v>
      </c>
      <c r="B1576" t="s">
        <v>57</v>
      </c>
      <c r="C1576">
        <v>1</v>
      </c>
      <c r="D1576">
        <v>12</v>
      </c>
      <c r="E1576" t="s">
        <v>30</v>
      </c>
      <c r="J1576">
        <f t="shared" si="128"/>
        <v>63.617251162500004</v>
      </c>
      <c r="K1576">
        <v>5.31</v>
      </c>
      <c r="M1576">
        <f t="shared" si="129"/>
        <v>0</v>
      </c>
      <c r="N1576">
        <f t="shared" si="130"/>
        <v>-5.31</v>
      </c>
    </row>
    <row r="1577" spans="1:14" x14ac:dyDescent="0.3">
      <c r="A1577" t="s">
        <v>250</v>
      </c>
      <c r="B1577" t="s">
        <v>57</v>
      </c>
      <c r="C1577">
        <v>1</v>
      </c>
      <c r="D1577">
        <v>12</v>
      </c>
      <c r="E1577" t="s">
        <v>31</v>
      </c>
      <c r="J1577">
        <f t="shared" si="128"/>
        <v>63.617251162500004</v>
      </c>
      <c r="K1577">
        <v>5.31</v>
      </c>
      <c r="M1577">
        <f t="shared" si="129"/>
        <v>0</v>
      </c>
      <c r="N1577">
        <f t="shared" si="130"/>
        <v>-5.31</v>
      </c>
    </row>
    <row r="1578" spans="1:14" x14ac:dyDescent="0.3">
      <c r="A1578" t="s">
        <v>250</v>
      </c>
      <c r="B1578" t="s">
        <v>57</v>
      </c>
      <c r="C1578">
        <v>1</v>
      </c>
      <c r="D1578">
        <v>18</v>
      </c>
      <c r="E1578" t="s">
        <v>64</v>
      </c>
      <c r="J1578">
        <f t="shared" si="128"/>
        <v>63.617251162500004</v>
      </c>
      <c r="K1578">
        <v>5.31</v>
      </c>
      <c r="M1578">
        <f t="shared" si="129"/>
        <v>0</v>
      </c>
      <c r="N1578">
        <f t="shared" si="130"/>
        <v>-5.31</v>
      </c>
    </row>
    <row r="1579" spans="1:14" x14ac:dyDescent="0.3">
      <c r="A1579" t="s">
        <v>250</v>
      </c>
      <c r="B1579" t="s">
        <v>57</v>
      </c>
      <c r="C1579">
        <v>1</v>
      </c>
      <c r="D1579">
        <v>18</v>
      </c>
      <c r="E1579" t="s">
        <v>30</v>
      </c>
      <c r="J1579">
        <f t="shared" si="128"/>
        <v>63.617251162500004</v>
      </c>
      <c r="K1579">
        <v>5.31</v>
      </c>
      <c r="M1579">
        <f t="shared" si="129"/>
        <v>0</v>
      </c>
      <c r="N1579">
        <f t="shared" si="130"/>
        <v>-5.31</v>
      </c>
    </row>
    <row r="1580" spans="1:14" x14ac:dyDescent="0.3">
      <c r="A1580" t="s">
        <v>250</v>
      </c>
      <c r="B1580" t="s">
        <v>57</v>
      </c>
      <c r="C1580">
        <v>1</v>
      </c>
      <c r="D1580">
        <v>18</v>
      </c>
      <c r="E1580" t="s">
        <v>31</v>
      </c>
      <c r="J1580">
        <f t="shared" ref="J1580:J1643" si="131">4.5*4.5*3.14159265</f>
        <v>63.617251162500004</v>
      </c>
      <c r="K1580">
        <v>5.31</v>
      </c>
      <c r="M1580">
        <f t="shared" si="129"/>
        <v>0</v>
      </c>
      <c r="N1580">
        <f t="shared" si="130"/>
        <v>-5.31</v>
      </c>
    </row>
    <row r="1581" spans="1:14" x14ac:dyDescent="0.3">
      <c r="A1581" t="s">
        <v>250</v>
      </c>
      <c r="B1581" t="s">
        <v>57</v>
      </c>
      <c r="C1581">
        <v>1</v>
      </c>
      <c r="D1581">
        <v>24</v>
      </c>
      <c r="E1581" t="s">
        <v>28</v>
      </c>
      <c r="J1581">
        <f t="shared" si="131"/>
        <v>63.617251162500004</v>
      </c>
      <c r="K1581">
        <v>5.31</v>
      </c>
      <c r="M1581">
        <f t="shared" si="129"/>
        <v>0</v>
      </c>
      <c r="N1581">
        <f t="shared" si="130"/>
        <v>-5.31</v>
      </c>
    </row>
    <row r="1582" spans="1:14" x14ac:dyDescent="0.3">
      <c r="A1582" t="s">
        <v>250</v>
      </c>
      <c r="B1582" t="s">
        <v>57</v>
      </c>
      <c r="C1582">
        <v>1</v>
      </c>
      <c r="D1582">
        <v>24</v>
      </c>
      <c r="E1582" t="s">
        <v>30</v>
      </c>
      <c r="J1582">
        <f t="shared" si="131"/>
        <v>63.617251162500004</v>
      </c>
      <c r="K1582">
        <v>5.31</v>
      </c>
      <c r="M1582">
        <f t="shared" si="129"/>
        <v>0</v>
      </c>
      <c r="N1582">
        <f t="shared" si="130"/>
        <v>-5.31</v>
      </c>
    </row>
    <row r="1583" spans="1:14" x14ac:dyDescent="0.3">
      <c r="A1583" t="s">
        <v>250</v>
      </c>
      <c r="B1583" t="s">
        <v>57</v>
      </c>
      <c r="C1583">
        <v>1</v>
      </c>
      <c r="D1583">
        <v>24</v>
      </c>
      <c r="E1583" t="s">
        <v>31</v>
      </c>
      <c r="J1583">
        <f t="shared" si="131"/>
        <v>63.617251162500004</v>
      </c>
      <c r="K1583">
        <v>5.31</v>
      </c>
      <c r="M1583">
        <f t="shared" si="129"/>
        <v>0</v>
      </c>
      <c r="N1583">
        <f t="shared" si="130"/>
        <v>-5.31</v>
      </c>
    </row>
    <row r="1584" spans="1:14" x14ac:dyDescent="0.3">
      <c r="A1584" t="s">
        <v>250</v>
      </c>
      <c r="B1584" t="s">
        <v>57</v>
      </c>
      <c r="C1584">
        <v>1</v>
      </c>
      <c r="D1584">
        <v>48</v>
      </c>
      <c r="E1584" t="s">
        <v>64</v>
      </c>
      <c r="J1584">
        <f t="shared" si="131"/>
        <v>63.617251162500004</v>
      </c>
      <c r="K1584">
        <v>5.31</v>
      </c>
      <c r="M1584">
        <f t="shared" si="129"/>
        <v>0</v>
      </c>
      <c r="N1584">
        <f t="shared" si="130"/>
        <v>-5.31</v>
      </c>
    </row>
    <row r="1585" spans="1:14" x14ac:dyDescent="0.3">
      <c r="A1585" t="s">
        <v>250</v>
      </c>
      <c r="B1585" t="s">
        <v>57</v>
      </c>
      <c r="C1585">
        <v>1</v>
      </c>
      <c r="D1585">
        <v>48</v>
      </c>
      <c r="E1585" t="s">
        <v>30</v>
      </c>
      <c r="J1585">
        <f t="shared" si="131"/>
        <v>63.617251162500004</v>
      </c>
      <c r="K1585">
        <v>5.31</v>
      </c>
      <c r="M1585">
        <f t="shared" si="129"/>
        <v>0</v>
      </c>
      <c r="N1585">
        <f t="shared" si="130"/>
        <v>-5.31</v>
      </c>
    </row>
    <row r="1586" spans="1:14" x14ac:dyDescent="0.3">
      <c r="A1586" t="s">
        <v>250</v>
      </c>
      <c r="B1586" t="s">
        <v>57</v>
      </c>
      <c r="C1586">
        <v>1</v>
      </c>
      <c r="D1586">
        <v>48</v>
      </c>
      <c r="E1586" t="s">
        <v>31</v>
      </c>
      <c r="J1586">
        <f t="shared" si="131"/>
        <v>63.617251162500004</v>
      </c>
      <c r="K1586">
        <v>5.31</v>
      </c>
      <c r="M1586">
        <f t="shared" si="129"/>
        <v>0</v>
      </c>
      <c r="N1586">
        <f t="shared" si="130"/>
        <v>-5.31</v>
      </c>
    </row>
    <row r="1587" spans="1:14" x14ac:dyDescent="0.3">
      <c r="A1587" t="s">
        <v>250</v>
      </c>
      <c r="B1587" t="s">
        <v>57</v>
      </c>
      <c r="C1587">
        <v>2</v>
      </c>
      <c r="D1587">
        <v>0.5</v>
      </c>
      <c r="E1587" t="s">
        <v>64</v>
      </c>
      <c r="J1587">
        <f t="shared" si="131"/>
        <v>63.617251162500004</v>
      </c>
      <c r="K1587">
        <v>5.31</v>
      </c>
      <c r="M1587">
        <f t="shared" si="129"/>
        <v>0</v>
      </c>
      <c r="N1587">
        <f t="shared" si="130"/>
        <v>-5.31</v>
      </c>
    </row>
    <row r="1588" spans="1:14" x14ac:dyDescent="0.3">
      <c r="A1588" t="s">
        <v>250</v>
      </c>
      <c r="B1588" t="s">
        <v>57</v>
      </c>
      <c r="C1588">
        <v>2</v>
      </c>
      <c r="D1588">
        <v>0.5</v>
      </c>
      <c r="E1588" t="s">
        <v>30</v>
      </c>
      <c r="J1588">
        <f t="shared" si="131"/>
        <v>63.617251162500004</v>
      </c>
      <c r="K1588">
        <v>5.31</v>
      </c>
      <c r="M1588">
        <f t="shared" si="129"/>
        <v>0</v>
      </c>
      <c r="N1588">
        <f t="shared" si="130"/>
        <v>-5.31</v>
      </c>
    </row>
    <row r="1589" spans="1:14" x14ac:dyDescent="0.3">
      <c r="A1589" t="s">
        <v>250</v>
      </c>
      <c r="B1589" t="s">
        <v>57</v>
      </c>
      <c r="C1589">
        <v>2</v>
      </c>
      <c r="D1589">
        <v>0.5</v>
      </c>
      <c r="E1589" t="s">
        <v>31</v>
      </c>
      <c r="J1589">
        <f t="shared" si="131"/>
        <v>63.617251162500004</v>
      </c>
      <c r="K1589">
        <v>5.31</v>
      </c>
      <c r="M1589">
        <f t="shared" si="129"/>
        <v>0</v>
      </c>
      <c r="N1589">
        <f t="shared" si="130"/>
        <v>-5.31</v>
      </c>
    </row>
    <row r="1590" spans="1:14" x14ac:dyDescent="0.3">
      <c r="A1590" t="s">
        <v>250</v>
      </c>
      <c r="B1590" t="s">
        <v>57</v>
      </c>
      <c r="C1590">
        <v>2</v>
      </c>
      <c r="D1590">
        <v>2</v>
      </c>
      <c r="E1590" t="s">
        <v>64</v>
      </c>
      <c r="J1590">
        <f t="shared" si="131"/>
        <v>63.617251162500004</v>
      </c>
      <c r="K1590">
        <v>5.31</v>
      </c>
      <c r="M1590">
        <f t="shared" si="129"/>
        <v>0</v>
      </c>
      <c r="N1590">
        <f t="shared" si="130"/>
        <v>-5.31</v>
      </c>
    </row>
    <row r="1591" spans="1:14" x14ac:dyDescent="0.3">
      <c r="A1591" t="s">
        <v>250</v>
      </c>
      <c r="B1591" t="s">
        <v>57</v>
      </c>
      <c r="C1591">
        <v>2</v>
      </c>
      <c r="D1591">
        <v>2</v>
      </c>
      <c r="E1591" t="s">
        <v>30</v>
      </c>
      <c r="J1591">
        <f t="shared" si="131"/>
        <v>63.617251162500004</v>
      </c>
      <c r="K1591">
        <v>5.31</v>
      </c>
      <c r="M1591">
        <f t="shared" si="129"/>
        <v>0</v>
      </c>
      <c r="N1591">
        <f t="shared" si="130"/>
        <v>-5.31</v>
      </c>
    </row>
    <row r="1592" spans="1:14" x14ac:dyDescent="0.3">
      <c r="A1592" t="s">
        <v>250</v>
      </c>
      <c r="B1592" t="s">
        <v>57</v>
      </c>
      <c r="C1592">
        <v>2</v>
      </c>
      <c r="D1592">
        <v>2</v>
      </c>
      <c r="E1592" t="s">
        <v>31</v>
      </c>
      <c r="J1592">
        <f t="shared" si="131"/>
        <v>63.617251162500004</v>
      </c>
      <c r="K1592">
        <v>5.31</v>
      </c>
      <c r="M1592">
        <f t="shared" si="129"/>
        <v>0</v>
      </c>
      <c r="N1592">
        <f t="shared" si="130"/>
        <v>-5.31</v>
      </c>
    </row>
    <row r="1593" spans="1:14" x14ac:dyDescent="0.3">
      <c r="A1593" t="s">
        <v>250</v>
      </c>
      <c r="B1593" t="s">
        <v>57</v>
      </c>
      <c r="C1593">
        <v>2</v>
      </c>
      <c r="D1593">
        <v>6</v>
      </c>
      <c r="E1593" t="s">
        <v>64</v>
      </c>
      <c r="J1593">
        <f t="shared" si="131"/>
        <v>63.617251162500004</v>
      </c>
      <c r="K1593">
        <v>5.31</v>
      </c>
      <c r="M1593">
        <f t="shared" si="129"/>
        <v>0</v>
      </c>
      <c r="N1593">
        <f t="shared" si="130"/>
        <v>-5.31</v>
      </c>
    </row>
    <row r="1594" spans="1:14" x14ac:dyDescent="0.3">
      <c r="A1594" t="s">
        <v>250</v>
      </c>
      <c r="B1594" t="s">
        <v>57</v>
      </c>
      <c r="C1594">
        <v>2</v>
      </c>
      <c r="D1594">
        <v>6</v>
      </c>
      <c r="E1594" t="s">
        <v>30</v>
      </c>
      <c r="J1594">
        <f t="shared" si="131"/>
        <v>63.617251162500004</v>
      </c>
      <c r="K1594">
        <v>5.31</v>
      </c>
      <c r="M1594">
        <f t="shared" si="129"/>
        <v>0</v>
      </c>
      <c r="N1594">
        <f t="shared" si="130"/>
        <v>-5.31</v>
      </c>
    </row>
    <row r="1595" spans="1:14" x14ac:dyDescent="0.3">
      <c r="A1595" t="s">
        <v>250</v>
      </c>
      <c r="B1595" t="s">
        <v>57</v>
      </c>
      <c r="C1595">
        <v>2</v>
      </c>
      <c r="D1595">
        <v>6</v>
      </c>
      <c r="E1595" t="s">
        <v>31</v>
      </c>
      <c r="J1595">
        <f t="shared" si="131"/>
        <v>63.617251162500004</v>
      </c>
      <c r="K1595">
        <v>5.31</v>
      </c>
      <c r="M1595">
        <f t="shared" si="129"/>
        <v>0</v>
      </c>
      <c r="N1595">
        <f t="shared" si="130"/>
        <v>-5.31</v>
      </c>
    </row>
    <row r="1596" spans="1:14" x14ac:dyDescent="0.3">
      <c r="A1596" t="s">
        <v>250</v>
      </c>
      <c r="B1596" t="s">
        <v>57</v>
      </c>
      <c r="C1596">
        <v>2</v>
      </c>
      <c r="D1596">
        <v>12</v>
      </c>
      <c r="E1596" t="s">
        <v>64</v>
      </c>
      <c r="J1596">
        <f t="shared" si="131"/>
        <v>63.617251162500004</v>
      </c>
      <c r="K1596">
        <v>5.31</v>
      </c>
      <c r="M1596">
        <f t="shared" si="129"/>
        <v>0</v>
      </c>
      <c r="N1596">
        <f t="shared" si="130"/>
        <v>-5.31</v>
      </c>
    </row>
    <row r="1597" spans="1:14" x14ac:dyDescent="0.3">
      <c r="A1597" t="s">
        <v>250</v>
      </c>
      <c r="B1597" t="s">
        <v>57</v>
      </c>
      <c r="C1597">
        <v>2</v>
      </c>
      <c r="D1597">
        <v>12</v>
      </c>
      <c r="E1597" t="s">
        <v>30</v>
      </c>
      <c r="J1597">
        <f t="shared" si="131"/>
        <v>63.617251162500004</v>
      </c>
      <c r="K1597">
        <v>5.31</v>
      </c>
      <c r="M1597">
        <f t="shared" si="129"/>
        <v>0</v>
      </c>
      <c r="N1597">
        <f t="shared" si="130"/>
        <v>-5.31</v>
      </c>
    </row>
    <row r="1598" spans="1:14" x14ac:dyDescent="0.3">
      <c r="A1598" t="s">
        <v>250</v>
      </c>
      <c r="B1598" t="s">
        <v>57</v>
      </c>
      <c r="C1598">
        <v>2</v>
      </c>
      <c r="D1598">
        <v>12</v>
      </c>
      <c r="E1598" t="s">
        <v>31</v>
      </c>
      <c r="J1598">
        <f t="shared" si="131"/>
        <v>63.617251162500004</v>
      </c>
      <c r="K1598">
        <v>5.31</v>
      </c>
      <c r="M1598">
        <f t="shared" si="129"/>
        <v>0</v>
      </c>
      <c r="N1598">
        <f t="shared" si="130"/>
        <v>-5.31</v>
      </c>
    </row>
    <row r="1599" spans="1:14" x14ac:dyDescent="0.3">
      <c r="A1599" t="s">
        <v>250</v>
      </c>
      <c r="B1599" t="s">
        <v>57</v>
      </c>
      <c r="C1599">
        <v>2</v>
      </c>
      <c r="D1599">
        <v>18</v>
      </c>
      <c r="E1599" t="s">
        <v>64</v>
      </c>
      <c r="J1599">
        <f t="shared" si="131"/>
        <v>63.617251162500004</v>
      </c>
      <c r="K1599">
        <v>5.31</v>
      </c>
      <c r="M1599">
        <f t="shared" si="129"/>
        <v>0</v>
      </c>
      <c r="N1599">
        <f t="shared" si="130"/>
        <v>-5.31</v>
      </c>
    </row>
    <row r="1600" spans="1:14" x14ac:dyDescent="0.3">
      <c r="A1600" t="s">
        <v>250</v>
      </c>
      <c r="B1600" t="s">
        <v>57</v>
      </c>
      <c r="C1600">
        <v>2</v>
      </c>
      <c r="D1600">
        <v>18</v>
      </c>
      <c r="E1600" t="s">
        <v>30</v>
      </c>
      <c r="J1600">
        <f t="shared" si="131"/>
        <v>63.617251162500004</v>
      </c>
      <c r="K1600">
        <v>5.31</v>
      </c>
      <c r="M1600">
        <f t="shared" si="129"/>
        <v>0</v>
      </c>
      <c r="N1600">
        <f t="shared" si="130"/>
        <v>-5.31</v>
      </c>
    </row>
    <row r="1601" spans="1:14" x14ac:dyDescent="0.3">
      <c r="A1601" t="s">
        <v>250</v>
      </c>
      <c r="B1601" t="s">
        <v>57</v>
      </c>
      <c r="C1601">
        <v>2</v>
      </c>
      <c r="D1601">
        <v>18</v>
      </c>
      <c r="E1601" t="s">
        <v>31</v>
      </c>
      <c r="J1601">
        <f t="shared" si="131"/>
        <v>63.617251162500004</v>
      </c>
      <c r="K1601">
        <v>5.31</v>
      </c>
      <c r="M1601">
        <f t="shared" si="129"/>
        <v>0</v>
      </c>
      <c r="N1601">
        <f t="shared" si="130"/>
        <v>-5.31</v>
      </c>
    </row>
    <row r="1602" spans="1:14" x14ac:dyDescent="0.3">
      <c r="A1602" t="s">
        <v>250</v>
      </c>
      <c r="B1602" t="s">
        <v>57</v>
      </c>
      <c r="C1602">
        <v>2</v>
      </c>
      <c r="D1602">
        <v>24</v>
      </c>
      <c r="E1602" t="s">
        <v>28</v>
      </c>
      <c r="J1602">
        <f t="shared" si="131"/>
        <v>63.617251162500004</v>
      </c>
      <c r="K1602">
        <v>5.31</v>
      </c>
      <c r="M1602">
        <f t="shared" si="129"/>
        <v>0</v>
      </c>
      <c r="N1602">
        <f t="shared" si="130"/>
        <v>-5.31</v>
      </c>
    </row>
    <row r="1603" spans="1:14" x14ac:dyDescent="0.3">
      <c r="A1603" t="s">
        <v>250</v>
      </c>
      <c r="B1603" t="s">
        <v>57</v>
      </c>
      <c r="C1603">
        <v>2</v>
      </c>
      <c r="D1603">
        <v>24</v>
      </c>
      <c r="E1603" t="s">
        <v>30</v>
      </c>
      <c r="J1603">
        <f t="shared" si="131"/>
        <v>63.617251162500004</v>
      </c>
      <c r="K1603">
        <v>5.31</v>
      </c>
      <c r="M1603">
        <f t="shared" si="129"/>
        <v>0</v>
      </c>
      <c r="N1603">
        <f t="shared" si="130"/>
        <v>-5.31</v>
      </c>
    </row>
    <row r="1604" spans="1:14" x14ac:dyDescent="0.3">
      <c r="A1604" t="s">
        <v>250</v>
      </c>
      <c r="B1604" t="s">
        <v>57</v>
      </c>
      <c r="C1604">
        <v>2</v>
      </c>
      <c r="D1604">
        <v>24</v>
      </c>
      <c r="E1604" t="s">
        <v>31</v>
      </c>
      <c r="J1604">
        <f t="shared" si="131"/>
        <v>63.617251162500004</v>
      </c>
      <c r="K1604">
        <v>5.31</v>
      </c>
      <c r="M1604">
        <f t="shared" ref="M1604:M1667" si="132">L1604*F1604</f>
        <v>0</v>
      </c>
      <c r="N1604">
        <f t="shared" si="130"/>
        <v>-5.31</v>
      </c>
    </row>
    <row r="1605" spans="1:14" x14ac:dyDescent="0.3">
      <c r="A1605" t="s">
        <v>250</v>
      </c>
      <c r="B1605" t="s">
        <v>57</v>
      </c>
      <c r="C1605">
        <v>2</v>
      </c>
      <c r="D1605">
        <v>48</v>
      </c>
      <c r="E1605" t="s">
        <v>64</v>
      </c>
      <c r="J1605">
        <f t="shared" si="131"/>
        <v>63.617251162500004</v>
      </c>
      <c r="K1605">
        <v>5.31</v>
      </c>
      <c r="M1605">
        <f t="shared" si="132"/>
        <v>0</v>
      </c>
      <c r="N1605">
        <f t="shared" si="130"/>
        <v>-5.31</v>
      </c>
    </row>
    <row r="1606" spans="1:14" x14ac:dyDescent="0.3">
      <c r="A1606" t="s">
        <v>250</v>
      </c>
      <c r="B1606" t="s">
        <v>57</v>
      </c>
      <c r="C1606">
        <v>2</v>
      </c>
      <c r="D1606">
        <v>48</v>
      </c>
      <c r="E1606" t="s">
        <v>30</v>
      </c>
      <c r="J1606">
        <f t="shared" si="131"/>
        <v>63.617251162500004</v>
      </c>
      <c r="K1606">
        <v>5.31</v>
      </c>
      <c r="M1606">
        <f t="shared" si="132"/>
        <v>0</v>
      </c>
      <c r="N1606">
        <f t="shared" si="130"/>
        <v>-5.31</v>
      </c>
    </row>
    <row r="1607" spans="1:14" x14ac:dyDescent="0.3">
      <c r="A1607" t="s">
        <v>250</v>
      </c>
      <c r="B1607" t="s">
        <v>57</v>
      </c>
      <c r="C1607">
        <v>2</v>
      </c>
      <c r="D1607">
        <v>48</v>
      </c>
      <c r="E1607" t="s">
        <v>31</v>
      </c>
      <c r="J1607">
        <f t="shared" si="131"/>
        <v>63.617251162500004</v>
      </c>
      <c r="K1607">
        <v>5.31</v>
      </c>
      <c r="M1607">
        <f t="shared" si="132"/>
        <v>0</v>
      </c>
      <c r="N1607">
        <f t="shared" si="130"/>
        <v>-5.31</v>
      </c>
    </row>
    <row r="1608" spans="1:14" x14ac:dyDescent="0.3">
      <c r="A1608" t="s">
        <v>250</v>
      </c>
      <c r="B1608" t="s">
        <v>57</v>
      </c>
      <c r="E1608" t="s">
        <v>67</v>
      </c>
      <c r="J1608">
        <f t="shared" si="131"/>
        <v>63.617251162500004</v>
      </c>
      <c r="K1608">
        <v>5.31</v>
      </c>
      <c r="M1608">
        <f t="shared" si="132"/>
        <v>0</v>
      </c>
      <c r="N1608">
        <f t="shared" si="130"/>
        <v>-5.31</v>
      </c>
    </row>
    <row r="1609" spans="1:14" x14ac:dyDescent="0.3">
      <c r="A1609" t="s">
        <v>250</v>
      </c>
      <c r="B1609" t="s">
        <v>57</v>
      </c>
      <c r="E1609" t="s">
        <v>68</v>
      </c>
      <c r="J1609">
        <f t="shared" si="131"/>
        <v>63.617251162500004</v>
      </c>
      <c r="K1609">
        <v>5.31</v>
      </c>
      <c r="M1609">
        <f t="shared" si="132"/>
        <v>0</v>
      </c>
      <c r="N1609">
        <f t="shared" si="130"/>
        <v>-5.31</v>
      </c>
    </row>
    <row r="1610" spans="1:14" x14ac:dyDescent="0.3">
      <c r="A1610" t="s">
        <v>250</v>
      </c>
      <c r="B1610" t="s">
        <v>57</v>
      </c>
      <c r="E1610" t="s">
        <v>69</v>
      </c>
      <c r="J1610">
        <f t="shared" si="131"/>
        <v>63.617251162500004</v>
      </c>
      <c r="K1610">
        <v>5.31</v>
      </c>
      <c r="M1610">
        <f t="shared" si="132"/>
        <v>0</v>
      </c>
      <c r="N1610">
        <f t="shared" si="130"/>
        <v>-5.31</v>
      </c>
    </row>
    <row r="1611" spans="1:14" x14ac:dyDescent="0.3">
      <c r="A1611" t="s">
        <v>250</v>
      </c>
      <c r="B1611" t="s">
        <v>57</v>
      </c>
      <c r="E1611" t="s">
        <v>70</v>
      </c>
      <c r="J1611">
        <f t="shared" si="131"/>
        <v>63.617251162500004</v>
      </c>
      <c r="K1611">
        <v>5.31</v>
      </c>
      <c r="M1611">
        <f t="shared" si="132"/>
        <v>0</v>
      </c>
      <c r="N1611">
        <f t="shared" si="130"/>
        <v>-5.31</v>
      </c>
    </row>
    <row r="1612" spans="1:14" x14ac:dyDescent="0.3">
      <c r="A1612" t="s">
        <v>251</v>
      </c>
      <c r="B1612" t="s">
        <v>61</v>
      </c>
      <c r="C1612">
        <v>1</v>
      </c>
      <c r="D1612">
        <v>0.5</v>
      </c>
      <c r="E1612" t="s">
        <v>28</v>
      </c>
      <c r="J1612">
        <f t="shared" si="131"/>
        <v>63.617251162500004</v>
      </c>
      <c r="K1612">
        <v>5.31</v>
      </c>
      <c r="M1612">
        <f t="shared" si="132"/>
        <v>0</v>
      </c>
      <c r="N1612">
        <f t="shared" si="130"/>
        <v>-5.31</v>
      </c>
    </row>
    <row r="1613" spans="1:14" x14ac:dyDescent="0.3">
      <c r="A1613" t="s">
        <v>251</v>
      </c>
      <c r="B1613" t="s">
        <v>61</v>
      </c>
      <c r="C1613">
        <v>1</v>
      </c>
      <c r="D1613">
        <v>0.5</v>
      </c>
      <c r="E1613" t="s">
        <v>30</v>
      </c>
      <c r="J1613">
        <f t="shared" si="131"/>
        <v>63.617251162500004</v>
      </c>
      <c r="K1613">
        <v>5.31</v>
      </c>
      <c r="M1613">
        <f t="shared" si="132"/>
        <v>0</v>
      </c>
      <c r="N1613">
        <f t="shared" si="130"/>
        <v>-5.31</v>
      </c>
    </row>
    <row r="1614" spans="1:14" x14ac:dyDescent="0.3">
      <c r="A1614" t="s">
        <v>251</v>
      </c>
      <c r="B1614" t="s">
        <v>61</v>
      </c>
      <c r="C1614">
        <v>1</v>
      </c>
      <c r="D1614">
        <v>0.5</v>
      </c>
      <c r="E1614" t="s">
        <v>31</v>
      </c>
      <c r="J1614">
        <f t="shared" si="131"/>
        <v>63.617251162500004</v>
      </c>
      <c r="K1614">
        <v>5.31</v>
      </c>
      <c r="M1614">
        <f t="shared" si="132"/>
        <v>0</v>
      </c>
      <c r="N1614">
        <f t="shared" si="130"/>
        <v>-5.31</v>
      </c>
    </row>
    <row r="1615" spans="1:14" x14ac:dyDescent="0.3">
      <c r="A1615" t="s">
        <v>251</v>
      </c>
      <c r="B1615" t="s">
        <v>61</v>
      </c>
      <c r="C1615">
        <v>1</v>
      </c>
      <c r="D1615">
        <v>2</v>
      </c>
      <c r="E1615" t="s">
        <v>28</v>
      </c>
      <c r="J1615">
        <f t="shared" si="131"/>
        <v>63.617251162500004</v>
      </c>
      <c r="K1615">
        <v>5.31</v>
      </c>
      <c r="M1615">
        <f t="shared" si="132"/>
        <v>0</v>
      </c>
      <c r="N1615">
        <f t="shared" si="130"/>
        <v>-5.31</v>
      </c>
    </row>
    <row r="1616" spans="1:14" x14ac:dyDescent="0.3">
      <c r="A1616" t="s">
        <v>251</v>
      </c>
      <c r="B1616" t="s">
        <v>61</v>
      </c>
      <c r="C1616">
        <v>1</v>
      </c>
      <c r="D1616">
        <v>2</v>
      </c>
      <c r="E1616" t="s">
        <v>30</v>
      </c>
      <c r="J1616">
        <f t="shared" si="131"/>
        <v>63.617251162500004</v>
      </c>
      <c r="K1616">
        <v>5.31</v>
      </c>
      <c r="M1616">
        <f t="shared" si="132"/>
        <v>0</v>
      </c>
      <c r="N1616">
        <f t="shared" si="130"/>
        <v>-5.31</v>
      </c>
    </row>
    <row r="1617" spans="1:14" x14ac:dyDescent="0.3">
      <c r="A1617" t="s">
        <v>251</v>
      </c>
      <c r="B1617" t="s">
        <v>61</v>
      </c>
      <c r="C1617">
        <v>1</v>
      </c>
      <c r="D1617">
        <v>2</v>
      </c>
      <c r="E1617" t="s">
        <v>31</v>
      </c>
      <c r="J1617">
        <f t="shared" si="131"/>
        <v>63.617251162500004</v>
      </c>
      <c r="K1617">
        <v>5.31</v>
      </c>
      <c r="M1617">
        <f t="shared" si="132"/>
        <v>0</v>
      </c>
      <c r="N1617">
        <f t="shared" si="130"/>
        <v>-5.31</v>
      </c>
    </row>
    <row r="1618" spans="1:14" x14ac:dyDescent="0.3">
      <c r="A1618" t="s">
        <v>251</v>
      </c>
      <c r="B1618" t="s">
        <v>61</v>
      </c>
      <c r="C1618">
        <v>1</v>
      </c>
      <c r="D1618">
        <v>6</v>
      </c>
      <c r="E1618" t="s">
        <v>28</v>
      </c>
      <c r="J1618">
        <f t="shared" si="131"/>
        <v>63.617251162500004</v>
      </c>
      <c r="K1618">
        <v>5.31</v>
      </c>
      <c r="M1618">
        <f t="shared" si="132"/>
        <v>0</v>
      </c>
      <c r="N1618">
        <f t="shared" si="130"/>
        <v>-5.31</v>
      </c>
    </row>
    <row r="1619" spans="1:14" x14ac:dyDescent="0.3">
      <c r="A1619" t="s">
        <v>251</v>
      </c>
      <c r="B1619" t="s">
        <v>61</v>
      </c>
      <c r="C1619">
        <v>1</v>
      </c>
      <c r="D1619">
        <v>6</v>
      </c>
      <c r="E1619" t="s">
        <v>30</v>
      </c>
      <c r="J1619">
        <f t="shared" si="131"/>
        <v>63.617251162500004</v>
      </c>
      <c r="K1619">
        <v>5.31</v>
      </c>
      <c r="M1619">
        <f t="shared" si="132"/>
        <v>0</v>
      </c>
      <c r="N1619">
        <f t="shared" si="130"/>
        <v>-5.31</v>
      </c>
    </row>
    <row r="1620" spans="1:14" x14ac:dyDescent="0.3">
      <c r="A1620" t="s">
        <v>251</v>
      </c>
      <c r="B1620" t="s">
        <v>61</v>
      </c>
      <c r="C1620">
        <v>1</v>
      </c>
      <c r="D1620">
        <v>6</v>
      </c>
      <c r="E1620" t="s">
        <v>31</v>
      </c>
      <c r="J1620">
        <f t="shared" si="131"/>
        <v>63.617251162500004</v>
      </c>
      <c r="K1620">
        <v>5.31</v>
      </c>
      <c r="M1620">
        <f t="shared" si="132"/>
        <v>0</v>
      </c>
      <c r="N1620">
        <f t="shared" si="130"/>
        <v>-5.31</v>
      </c>
    </row>
    <row r="1621" spans="1:14" x14ac:dyDescent="0.3">
      <c r="A1621" t="s">
        <v>251</v>
      </c>
      <c r="B1621" t="s">
        <v>61</v>
      </c>
      <c r="C1621">
        <v>1</v>
      </c>
      <c r="D1621">
        <v>12</v>
      </c>
      <c r="E1621" t="s">
        <v>28</v>
      </c>
      <c r="J1621">
        <f t="shared" si="131"/>
        <v>63.617251162500004</v>
      </c>
      <c r="K1621">
        <v>5.31</v>
      </c>
      <c r="M1621">
        <f t="shared" si="132"/>
        <v>0</v>
      </c>
      <c r="N1621">
        <f t="shared" si="130"/>
        <v>-5.31</v>
      </c>
    </row>
    <row r="1622" spans="1:14" x14ac:dyDescent="0.3">
      <c r="A1622" t="s">
        <v>251</v>
      </c>
      <c r="B1622" t="s">
        <v>61</v>
      </c>
      <c r="C1622">
        <v>1</v>
      </c>
      <c r="D1622">
        <v>12</v>
      </c>
      <c r="E1622" t="s">
        <v>30</v>
      </c>
      <c r="J1622">
        <f t="shared" si="131"/>
        <v>63.617251162500004</v>
      </c>
      <c r="K1622">
        <v>5.31</v>
      </c>
      <c r="M1622">
        <f t="shared" si="132"/>
        <v>0</v>
      </c>
      <c r="N1622">
        <f t="shared" si="130"/>
        <v>-5.31</v>
      </c>
    </row>
    <row r="1623" spans="1:14" x14ac:dyDescent="0.3">
      <c r="A1623" t="s">
        <v>251</v>
      </c>
      <c r="B1623" t="s">
        <v>61</v>
      </c>
      <c r="C1623">
        <v>1</v>
      </c>
      <c r="D1623">
        <v>12</v>
      </c>
      <c r="E1623" t="s">
        <v>31</v>
      </c>
      <c r="J1623">
        <f t="shared" si="131"/>
        <v>63.617251162500004</v>
      </c>
      <c r="K1623">
        <v>5.31</v>
      </c>
      <c r="M1623">
        <f t="shared" si="132"/>
        <v>0</v>
      </c>
      <c r="N1623">
        <f t="shared" si="130"/>
        <v>-5.31</v>
      </c>
    </row>
    <row r="1624" spans="1:14" x14ac:dyDescent="0.3">
      <c r="A1624" t="s">
        <v>251</v>
      </c>
      <c r="B1624" t="s">
        <v>61</v>
      </c>
      <c r="C1624">
        <v>1</v>
      </c>
      <c r="D1624">
        <v>18</v>
      </c>
      <c r="E1624" t="s">
        <v>28</v>
      </c>
      <c r="J1624">
        <f t="shared" si="131"/>
        <v>63.617251162500004</v>
      </c>
      <c r="K1624">
        <v>5.31</v>
      </c>
      <c r="M1624">
        <f t="shared" si="132"/>
        <v>0</v>
      </c>
      <c r="N1624">
        <f t="shared" ref="N1624:N1687" si="133">L1624*J1624-K1624</f>
        <v>-5.31</v>
      </c>
    </row>
    <row r="1625" spans="1:14" x14ac:dyDescent="0.3">
      <c r="A1625" t="s">
        <v>251</v>
      </c>
      <c r="B1625" t="s">
        <v>61</v>
      </c>
      <c r="C1625">
        <v>1</v>
      </c>
      <c r="D1625">
        <v>18</v>
      </c>
      <c r="E1625" t="s">
        <v>30</v>
      </c>
      <c r="J1625">
        <f t="shared" si="131"/>
        <v>63.617251162500004</v>
      </c>
      <c r="K1625">
        <v>5.31</v>
      </c>
      <c r="M1625">
        <f t="shared" si="132"/>
        <v>0</v>
      </c>
      <c r="N1625">
        <f t="shared" si="133"/>
        <v>-5.31</v>
      </c>
    </row>
    <row r="1626" spans="1:14" x14ac:dyDescent="0.3">
      <c r="A1626" t="s">
        <v>251</v>
      </c>
      <c r="B1626" t="s">
        <v>61</v>
      </c>
      <c r="C1626">
        <v>1</v>
      </c>
      <c r="D1626">
        <v>18</v>
      </c>
      <c r="E1626" t="s">
        <v>62</v>
      </c>
      <c r="J1626">
        <f t="shared" si="131"/>
        <v>63.617251162500004</v>
      </c>
      <c r="K1626">
        <v>5.31</v>
      </c>
      <c r="M1626">
        <f t="shared" si="132"/>
        <v>0</v>
      </c>
      <c r="N1626">
        <f t="shared" si="133"/>
        <v>-5.31</v>
      </c>
    </row>
    <row r="1627" spans="1:14" x14ac:dyDescent="0.3">
      <c r="A1627" t="s">
        <v>251</v>
      </c>
      <c r="B1627" t="s">
        <v>61</v>
      </c>
      <c r="C1627">
        <v>1</v>
      </c>
      <c r="D1627">
        <v>24</v>
      </c>
      <c r="E1627" t="s">
        <v>28</v>
      </c>
      <c r="J1627">
        <f t="shared" si="131"/>
        <v>63.617251162500004</v>
      </c>
      <c r="K1627">
        <v>5.31</v>
      </c>
      <c r="M1627">
        <f t="shared" si="132"/>
        <v>0</v>
      </c>
      <c r="N1627">
        <f t="shared" si="133"/>
        <v>-5.31</v>
      </c>
    </row>
    <row r="1628" spans="1:14" x14ac:dyDescent="0.3">
      <c r="A1628" t="s">
        <v>251</v>
      </c>
      <c r="B1628" t="s">
        <v>61</v>
      </c>
      <c r="C1628">
        <v>1</v>
      </c>
      <c r="D1628">
        <v>24</v>
      </c>
      <c r="E1628" t="s">
        <v>30</v>
      </c>
      <c r="J1628">
        <f t="shared" si="131"/>
        <v>63.617251162500004</v>
      </c>
      <c r="K1628">
        <v>5.31</v>
      </c>
      <c r="M1628">
        <f t="shared" si="132"/>
        <v>0</v>
      </c>
      <c r="N1628">
        <f t="shared" si="133"/>
        <v>-5.31</v>
      </c>
    </row>
    <row r="1629" spans="1:14" x14ac:dyDescent="0.3">
      <c r="A1629" t="s">
        <v>251</v>
      </c>
      <c r="B1629" t="s">
        <v>61</v>
      </c>
      <c r="C1629">
        <v>1</v>
      </c>
      <c r="D1629">
        <v>24</v>
      </c>
      <c r="E1629" t="s">
        <v>31</v>
      </c>
      <c r="J1629">
        <f t="shared" si="131"/>
        <v>63.617251162500004</v>
      </c>
      <c r="K1629">
        <v>5.31</v>
      </c>
      <c r="M1629">
        <f t="shared" si="132"/>
        <v>0</v>
      </c>
      <c r="N1629">
        <f t="shared" si="133"/>
        <v>-5.31</v>
      </c>
    </row>
    <row r="1630" spans="1:14" x14ac:dyDescent="0.3">
      <c r="A1630" t="s">
        <v>251</v>
      </c>
      <c r="B1630" t="s">
        <v>61</v>
      </c>
      <c r="C1630">
        <v>1</v>
      </c>
      <c r="D1630">
        <v>48</v>
      </c>
      <c r="E1630" t="s">
        <v>28</v>
      </c>
      <c r="J1630">
        <f t="shared" si="131"/>
        <v>63.617251162500004</v>
      </c>
      <c r="K1630">
        <v>5.31</v>
      </c>
      <c r="M1630">
        <f t="shared" si="132"/>
        <v>0</v>
      </c>
      <c r="N1630">
        <f t="shared" si="133"/>
        <v>-5.31</v>
      </c>
    </row>
    <row r="1631" spans="1:14" x14ac:dyDescent="0.3">
      <c r="A1631" t="s">
        <v>251</v>
      </c>
      <c r="B1631" t="s">
        <v>61</v>
      </c>
      <c r="C1631">
        <v>1</v>
      </c>
      <c r="D1631">
        <v>48</v>
      </c>
      <c r="E1631" t="s">
        <v>30</v>
      </c>
      <c r="J1631">
        <f t="shared" si="131"/>
        <v>63.617251162500004</v>
      </c>
      <c r="K1631">
        <v>5.31</v>
      </c>
      <c r="M1631">
        <f t="shared" si="132"/>
        <v>0</v>
      </c>
      <c r="N1631">
        <f t="shared" si="133"/>
        <v>-5.31</v>
      </c>
    </row>
    <row r="1632" spans="1:14" x14ac:dyDescent="0.3">
      <c r="A1632" t="s">
        <v>251</v>
      </c>
      <c r="B1632" t="s">
        <v>61</v>
      </c>
      <c r="C1632">
        <v>1</v>
      </c>
      <c r="D1632">
        <v>48</v>
      </c>
      <c r="E1632" t="s">
        <v>31</v>
      </c>
      <c r="J1632">
        <f t="shared" si="131"/>
        <v>63.617251162500004</v>
      </c>
      <c r="K1632">
        <v>5.31</v>
      </c>
      <c r="M1632">
        <f t="shared" si="132"/>
        <v>0</v>
      </c>
      <c r="N1632">
        <f t="shared" si="133"/>
        <v>-5.31</v>
      </c>
    </row>
    <row r="1633" spans="1:14" x14ac:dyDescent="0.3">
      <c r="A1633" t="s">
        <v>251</v>
      </c>
      <c r="B1633" t="s">
        <v>61</v>
      </c>
      <c r="C1633">
        <v>2</v>
      </c>
      <c r="D1633">
        <v>0.5</v>
      </c>
      <c r="E1633" t="s">
        <v>28</v>
      </c>
      <c r="J1633">
        <f t="shared" si="131"/>
        <v>63.617251162500004</v>
      </c>
      <c r="K1633">
        <v>5.31</v>
      </c>
      <c r="M1633">
        <f t="shared" si="132"/>
        <v>0</v>
      </c>
      <c r="N1633">
        <f t="shared" si="133"/>
        <v>-5.31</v>
      </c>
    </row>
    <row r="1634" spans="1:14" x14ac:dyDescent="0.3">
      <c r="A1634" t="s">
        <v>251</v>
      </c>
      <c r="B1634" t="s">
        <v>61</v>
      </c>
      <c r="C1634">
        <v>2</v>
      </c>
      <c r="D1634">
        <v>0.5</v>
      </c>
      <c r="E1634" t="s">
        <v>30</v>
      </c>
      <c r="J1634">
        <f t="shared" si="131"/>
        <v>63.617251162500004</v>
      </c>
      <c r="K1634">
        <v>5.31</v>
      </c>
      <c r="M1634">
        <f t="shared" si="132"/>
        <v>0</v>
      </c>
      <c r="N1634">
        <f t="shared" si="133"/>
        <v>-5.31</v>
      </c>
    </row>
    <row r="1635" spans="1:14" x14ac:dyDescent="0.3">
      <c r="A1635" t="s">
        <v>251</v>
      </c>
      <c r="B1635" t="s">
        <v>61</v>
      </c>
      <c r="C1635">
        <v>2</v>
      </c>
      <c r="D1635">
        <v>0.5</v>
      </c>
      <c r="E1635" t="s">
        <v>31</v>
      </c>
      <c r="J1635">
        <f t="shared" si="131"/>
        <v>63.617251162500004</v>
      </c>
      <c r="K1635">
        <v>5.31</v>
      </c>
      <c r="M1635">
        <f t="shared" si="132"/>
        <v>0</v>
      </c>
      <c r="N1635">
        <f t="shared" si="133"/>
        <v>-5.31</v>
      </c>
    </row>
    <row r="1636" spans="1:14" x14ac:dyDescent="0.3">
      <c r="A1636" t="s">
        <v>251</v>
      </c>
      <c r="B1636" t="s">
        <v>61</v>
      </c>
      <c r="C1636">
        <v>2</v>
      </c>
      <c r="D1636">
        <v>2</v>
      </c>
      <c r="E1636" t="s">
        <v>28</v>
      </c>
      <c r="J1636">
        <f t="shared" si="131"/>
        <v>63.617251162500004</v>
      </c>
      <c r="K1636">
        <v>5.31</v>
      </c>
      <c r="M1636">
        <f t="shared" si="132"/>
        <v>0</v>
      </c>
      <c r="N1636">
        <f t="shared" si="133"/>
        <v>-5.31</v>
      </c>
    </row>
    <row r="1637" spans="1:14" x14ac:dyDescent="0.3">
      <c r="A1637" t="s">
        <v>251</v>
      </c>
      <c r="B1637" t="s">
        <v>61</v>
      </c>
      <c r="C1637">
        <v>2</v>
      </c>
      <c r="D1637">
        <v>2</v>
      </c>
      <c r="E1637" t="s">
        <v>30</v>
      </c>
      <c r="J1637">
        <f t="shared" si="131"/>
        <v>63.617251162500004</v>
      </c>
      <c r="K1637">
        <v>5.31</v>
      </c>
      <c r="M1637">
        <f t="shared" si="132"/>
        <v>0</v>
      </c>
      <c r="N1637">
        <f t="shared" si="133"/>
        <v>-5.31</v>
      </c>
    </row>
    <row r="1638" spans="1:14" x14ac:dyDescent="0.3">
      <c r="A1638" t="s">
        <v>251</v>
      </c>
      <c r="B1638" t="s">
        <v>61</v>
      </c>
      <c r="C1638">
        <v>2</v>
      </c>
      <c r="D1638">
        <v>2</v>
      </c>
      <c r="E1638" t="s">
        <v>31</v>
      </c>
      <c r="J1638">
        <f t="shared" si="131"/>
        <v>63.617251162500004</v>
      </c>
      <c r="K1638">
        <v>5.31</v>
      </c>
      <c r="M1638">
        <f t="shared" si="132"/>
        <v>0</v>
      </c>
      <c r="N1638">
        <f t="shared" si="133"/>
        <v>-5.31</v>
      </c>
    </row>
    <row r="1639" spans="1:14" x14ac:dyDescent="0.3">
      <c r="A1639" t="s">
        <v>251</v>
      </c>
      <c r="B1639" t="s">
        <v>61</v>
      </c>
      <c r="C1639">
        <v>2</v>
      </c>
      <c r="D1639">
        <v>6</v>
      </c>
      <c r="E1639" t="s">
        <v>28</v>
      </c>
      <c r="J1639">
        <f t="shared" si="131"/>
        <v>63.617251162500004</v>
      </c>
      <c r="K1639">
        <v>5.31</v>
      </c>
      <c r="M1639">
        <f t="shared" si="132"/>
        <v>0</v>
      </c>
      <c r="N1639">
        <f t="shared" si="133"/>
        <v>-5.31</v>
      </c>
    </row>
    <row r="1640" spans="1:14" x14ac:dyDescent="0.3">
      <c r="A1640" t="s">
        <v>251</v>
      </c>
      <c r="B1640" t="s">
        <v>61</v>
      </c>
      <c r="C1640">
        <v>2</v>
      </c>
      <c r="D1640">
        <v>6</v>
      </c>
      <c r="E1640" t="s">
        <v>30</v>
      </c>
      <c r="J1640">
        <f t="shared" si="131"/>
        <v>63.617251162500004</v>
      </c>
      <c r="K1640">
        <v>5.31</v>
      </c>
      <c r="M1640">
        <f t="shared" si="132"/>
        <v>0</v>
      </c>
      <c r="N1640">
        <f t="shared" si="133"/>
        <v>-5.31</v>
      </c>
    </row>
    <row r="1641" spans="1:14" x14ac:dyDescent="0.3">
      <c r="A1641" t="s">
        <v>251</v>
      </c>
      <c r="B1641" t="s">
        <v>61</v>
      </c>
      <c r="C1641">
        <v>2</v>
      </c>
      <c r="D1641">
        <v>6</v>
      </c>
      <c r="E1641" t="s">
        <v>31</v>
      </c>
      <c r="J1641">
        <f t="shared" si="131"/>
        <v>63.617251162500004</v>
      </c>
      <c r="K1641">
        <v>5.31</v>
      </c>
      <c r="M1641">
        <f t="shared" si="132"/>
        <v>0</v>
      </c>
      <c r="N1641">
        <f t="shared" si="133"/>
        <v>-5.31</v>
      </c>
    </row>
    <row r="1642" spans="1:14" x14ac:dyDescent="0.3">
      <c r="A1642" t="s">
        <v>251</v>
      </c>
      <c r="B1642" t="s">
        <v>61</v>
      </c>
      <c r="C1642">
        <v>2</v>
      </c>
      <c r="D1642">
        <v>12</v>
      </c>
      <c r="E1642" t="s">
        <v>28</v>
      </c>
      <c r="J1642">
        <f t="shared" si="131"/>
        <v>63.617251162500004</v>
      </c>
      <c r="K1642">
        <v>5.31</v>
      </c>
      <c r="M1642">
        <f t="shared" si="132"/>
        <v>0</v>
      </c>
      <c r="N1642">
        <f t="shared" si="133"/>
        <v>-5.31</v>
      </c>
    </row>
    <row r="1643" spans="1:14" x14ac:dyDescent="0.3">
      <c r="A1643" t="s">
        <v>251</v>
      </c>
      <c r="B1643" t="s">
        <v>61</v>
      </c>
      <c r="C1643">
        <v>2</v>
      </c>
      <c r="D1643">
        <v>12</v>
      </c>
      <c r="E1643" t="s">
        <v>30</v>
      </c>
      <c r="J1643">
        <f t="shared" si="131"/>
        <v>63.617251162500004</v>
      </c>
      <c r="K1643">
        <v>5.31</v>
      </c>
      <c r="M1643">
        <f t="shared" si="132"/>
        <v>0</v>
      </c>
      <c r="N1643">
        <f t="shared" si="133"/>
        <v>-5.31</v>
      </c>
    </row>
    <row r="1644" spans="1:14" x14ac:dyDescent="0.3">
      <c r="A1644" t="s">
        <v>251</v>
      </c>
      <c r="B1644" t="s">
        <v>61</v>
      </c>
      <c r="C1644">
        <v>2</v>
      </c>
      <c r="D1644">
        <v>12</v>
      </c>
      <c r="E1644" t="s">
        <v>31</v>
      </c>
      <c r="J1644">
        <f t="shared" ref="J1644:J1707" si="134">4.5*4.5*3.14159265</f>
        <v>63.617251162500004</v>
      </c>
      <c r="K1644">
        <v>5.31</v>
      </c>
      <c r="M1644">
        <f t="shared" si="132"/>
        <v>0</v>
      </c>
      <c r="N1644">
        <f t="shared" si="133"/>
        <v>-5.31</v>
      </c>
    </row>
    <row r="1645" spans="1:14" x14ac:dyDescent="0.3">
      <c r="A1645" t="s">
        <v>251</v>
      </c>
      <c r="B1645" t="s">
        <v>61</v>
      </c>
      <c r="C1645">
        <v>2</v>
      </c>
      <c r="D1645">
        <v>18</v>
      </c>
      <c r="E1645" t="s">
        <v>64</v>
      </c>
      <c r="J1645">
        <f t="shared" si="134"/>
        <v>63.617251162500004</v>
      </c>
      <c r="K1645">
        <v>5.31</v>
      </c>
      <c r="M1645">
        <f t="shared" si="132"/>
        <v>0</v>
      </c>
      <c r="N1645">
        <f t="shared" si="133"/>
        <v>-5.31</v>
      </c>
    </row>
    <row r="1646" spans="1:14" x14ac:dyDescent="0.3">
      <c r="A1646" t="s">
        <v>251</v>
      </c>
      <c r="B1646" t="s">
        <v>61</v>
      </c>
      <c r="C1646">
        <v>2</v>
      </c>
      <c r="D1646">
        <v>18</v>
      </c>
      <c r="E1646" t="s">
        <v>30</v>
      </c>
      <c r="J1646">
        <f t="shared" si="134"/>
        <v>63.617251162500004</v>
      </c>
      <c r="K1646">
        <v>5.31</v>
      </c>
      <c r="M1646">
        <f t="shared" si="132"/>
        <v>0</v>
      </c>
      <c r="N1646">
        <f t="shared" si="133"/>
        <v>-5.31</v>
      </c>
    </row>
    <row r="1647" spans="1:14" x14ac:dyDescent="0.3">
      <c r="A1647" t="s">
        <v>251</v>
      </c>
      <c r="B1647" t="s">
        <v>61</v>
      </c>
      <c r="C1647">
        <v>2</v>
      </c>
      <c r="D1647">
        <v>18</v>
      </c>
      <c r="E1647" t="s">
        <v>31</v>
      </c>
      <c r="J1647">
        <f t="shared" si="134"/>
        <v>63.617251162500004</v>
      </c>
      <c r="K1647">
        <v>5.31</v>
      </c>
      <c r="M1647">
        <f t="shared" si="132"/>
        <v>0</v>
      </c>
      <c r="N1647">
        <f t="shared" si="133"/>
        <v>-5.31</v>
      </c>
    </row>
    <row r="1648" spans="1:14" x14ac:dyDescent="0.3">
      <c r="A1648" t="s">
        <v>251</v>
      </c>
      <c r="B1648" t="s">
        <v>61</v>
      </c>
      <c r="C1648">
        <v>2</v>
      </c>
      <c r="D1648">
        <v>24</v>
      </c>
      <c r="E1648" t="s">
        <v>28</v>
      </c>
      <c r="J1648">
        <f t="shared" si="134"/>
        <v>63.617251162500004</v>
      </c>
      <c r="K1648">
        <v>5.31</v>
      </c>
      <c r="M1648">
        <f t="shared" si="132"/>
        <v>0</v>
      </c>
      <c r="N1648">
        <f t="shared" si="133"/>
        <v>-5.31</v>
      </c>
    </row>
    <row r="1649" spans="1:14" x14ac:dyDescent="0.3">
      <c r="A1649" t="s">
        <v>251</v>
      </c>
      <c r="B1649" t="s">
        <v>61</v>
      </c>
      <c r="C1649">
        <v>2</v>
      </c>
      <c r="D1649">
        <v>24</v>
      </c>
      <c r="E1649" t="s">
        <v>30</v>
      </c>
      <c r="J1649">
        <f t="shared" si="134"/>
        <v>63.617251162500004</v>
      </c>
      <c r="K1649">
        <v>5.31</v>
      </c>
      <c r="M1649">
        <f t="shared" si="132"/>
        <v>0</v>
      </c>
      <c r="N1649">
        <f t="shared" si="133"/>
        <v>-5.31</v>
      </c>
    </row>
    <row r="1650" spans="1:14" x14ac:dyDescent="0.3">
      <c r="A1650" t="s">
        <v>251</v>
      </c>
      <c r="B1650" t="s">
        <v>61</v>
      </c>
      <c r="C1650">
        <v>2</v>
      </c>
      <c r="D1650">
        <v>24</v>
      </c>
      <c r="E1650" t="s">
        <v>31</v>
      </c>
      <c r="J1650">
        <f t="shared" si="134"/>
        <v>63.617251162500004</v>
      </c>
      <c r="K1650">
        <v>5.31</v>
      </c>
      <c r="M1650">
        <f t="shared" si="132"/>
        <v>0</v>
      </c>
      <c r="N1650">
        <f t="shared" si="133"/>
        <v>-5.31</v>
      </c>
    </row>
    <row r="1651" spans="1:14" x14ac:dyDescent="0.3">
      <c r="A1651" t="s">
        <v>251</v>
      </c>
      <c r="B1651" t="s">
        <v>61</v>
      </c>
      <c r="C1651">
        <v>2</v>
      </c>
      <c r="D1651">
        <v>48</v>
      </c>
      <c r="E1651" t="s">
        <v>28</v>
      </c>
      <c r="J1651">
        <f t="shared" si="134"/>
        <v>63.617251162500004</v>
      </c>
      <c r="K1651">
        <v>5.31</v>
      </c>
      <c r="M1651">
        <f t="shared" si="132"/>
        <v>0</v>
      </c>
      <c r="N1651">
        <f t="shared" si="133"/>
        <v>-5.31</v>
      </c>
    </row>
    <row r="1652" spans="1:14" x14ac:dyDescent="0.3">
      <c r="A1652" t="s">
        <v>251</v>
      </c>
      <c r="B1652" t="s">
        <v>61</v>
      </c>
      <c r="C1652">
        <v>2</v>
      </c>
      <c r="D1652">
        <v>48</v>
      </c>
      <c r="E1652" t="s">
        <v>30</v>
      </c>
      <c r="J1652">
        <f t="shared" si="134"/>
        <v>63.617251162500004</v>
      </c>
      <c r="K1652">
        <v>5.31</v>
      </c>
      <c r="M1652">
        <f t="shared" si="132"/>
        <v>0</v>
      </c>
      <c r="N1652">
        <f t="shared" si="133"/>
        <v>-5.31</v>
      </c>
    </row>
    <row r="1653" spans="1:14" x14ac:dyDescent="0.3">
      <c r="A1653" t="s">
        <v>251</v>
      </c>
      <c r="B1653" t="s">
        <v>61</v>
      </c>
      <c r="C1653">
        <v>2</v>
      </c>
      <c r="D1653">
        <v>48</v>
      </c>
      <c r="E1653" t="s">
        <v>31</v>
      </c>
      <c r="J1653">
        <f t="shared" si="134"/>
        <v>63.617251162500004</v>
      </c>
      <c r="K1653">
        <v>5.31</v>
      </c>
      <c r="M1653">
        <f t="shared" si="132"/>
        <v>0</v>
      </c>
      <c r="N1653">
        <f t="shared" si="133"/>
        <v>-5.31</v>
      </c>
    </row>
    <row r="1654" spans="1:14" x14ac:dyDescent="0.3">
      <c r="A1654" t="s">
        <v>251</v>
      </c>
      <c r="B1654" t="s">
        <v>61</v>
      </c>
      <c r="E1654" t="s">
        <v>36</v>
      </c>
      <c r="J1654">
        <f t="shared" si="134"/>
        <v>63.617251162500004</v>
      </c>
      <c r="K1654">
        <v>5.31</v>
      </c>
      <c r="M1654">
        <f t="shared" si="132"/>
        <v>0</v>
      </c>
      <c r="N1654">
        <f t="shared" si="133"/>
        <v>-5.31</v>
      </c>
    </row>
    <row r="1655" spans="1:14" x14ac:dyDescent="0.3">
      <c r="A1655" t="s">
        <v>251</v>
      </c>
      <c r="B1655" t="s">
        <v>61</v>
      </c>
      <c r="E1655" t="s">
        <v>39</v>
      </c>
      <c r="J1655">
        <f t="shared" si="134"/>
        <v>63.617251162500004</v>
      </c>
      <c r="K1655">
        <v>5.31</v>
      </c>
      <c r="M1655">
        <f t="shared" si="132"/>
        <v>0</v>
      </c>
      <c r="N1655">
        <f t="shared" si="133"/>
        <v>-5.31</v>
      </c>
    </row>
    <row r="1656" spans="1:14" x14ac:dyDescent="0.3">
      <c r="A1656" t="s">
        <v>251</v>
      </c>
      <c r="B1656" t="s">
        <v>61</v>
      </c>
      <c r="E1656" t="s">
        <v>41</v>
      </c>
      <c r="J1656">
        <f t="shared" si="134"/>
        <v>63.617251162500004</v>
      </c>
      <c r="K1656">
        <v>5.31</v>
      </c>
      <c r="M1656">
        <f t="shared" si="132"/>
        <v>0</v>
      </c>
      <c r="N1656">
        <f t="shared" si="133"/>
        <v>-5.31</v>
      </c>
    </row>
    <row r="1657" spans="1:14" x14ac:dyDescent="0.3">
      <c r="A1657" t="s">
        <v>251</v>
      </c>
      <c r="B1657" t="s">
        <v>61</v>
      </c>
      <c r="E1657" t="s">
        <v>43</v>
      </c>
      <c r="J1657">
        <f t="shared" si="134"/>
        <v>63.617251162500004</v>
      </c>
      <c r="K1657">
        <v>5.31</v>
      </c>
      <c r="M1657">
        <f t="shared" si="132"/>
        <v>0</v>
      </c>
      <c r="N1657">
        <f t="shared" si="133"/>
        <v>-5.31</v>
      </c>
    </row>
    <row r="1658" spans="1:14" x14ac:dyDescent="0.3">
      <c r="A1658" t="s">
        <v>251</v>
      </c>
      <c r="B1658" t="s">
        <v>51</v>
      </c>
      <c r="C1658">
        <v>1</v>
      </c>
      <c r="D1658">
        <v>0.5</v>
      </c>
      <c r="E1658" t="s">
        <v>64</v>
      </c>
      <c r="J1658">
        <f t="shared" si="134"/>
        <v>63.617251162500004</v>
      </c>
      <c r="K1658">
        <v>5.31</v>
      </c>
      <c r="M1658">
        <f t="shared" si="132"/>
        <v>0</v>
      </c>
      <c r="N1658">
        <f t="shared" si="133"/>
        <v>-5.31</v>
      </c>
    </row>
    <row r="1659" spans="1:14" x14ac:dyDescent="0.3">
      <c r="A1659" t="s">
        <v>251</v>
      </c>
      <c r="B1659" t="s">
        <v>51</v>
      </c>
      <c r="C1659">
        <v>1</v>
      </c>
      <c r="D1659">
        <v>0.5</v>
      </c>
      <c r="E1659" t="s">
        <v>30</v>
      </c>
      <c r="J1659">
        <f t="shared" si="134"/>
        <v>63.617251162500004</v>
      </c>
      <c r="K1659">
        <v>5.31</v>
      </c>
      <c r="M1659">
        <f t="shared" si="132"/>
        <v>0</v>
      </c>
      <c r="N1659">
        <f t="shared" si="133"/>
        <v>-5.31</v>
      </c>
    </row>
    <row r="1660" spans="1:14" x14ac:dyDescent="0.3">
      <c r="A1660" t="s">
        <v>251</v>
      </c>
      <c r="B1660" t="s">
        <v>51</v>
      </c>
      <c r="C1660">
        <v>1</v>
      </c>
      <c r="D1660">
        <v>0.5</v>
      </c>
      <c r="E1660" t="s">
        <v>31</v>
      </c>
      <c r="J1660">
        <f t="shared" si="134"/>
        <v>63.617251162500004</v>
      </c>
      <c r="K1660">
        <v>5.31</v>
      </c>
      <c r="M1660">
        <f t="shared" si="132"/>
        <v>0</v>
      </c>
      <c r="N1660">
        <f t="shared" si="133"/>
        <v>-5.31</v>
      </c>
    </row>
    <row r="1661" spans="1:14" x14ac:dyDescent="0.3">
      <c r="A1661" t="s">
        <v>251</v>
      </c>
      <c r="B1661" s="7" t="s">
        <v>51</v>
      </c>
      <c r="C1661" s="7">
        <v>1</v>
      </c>
      <c r="D1661" s="7">
        <v>2</v>
      </c>
      <c r="E1661" s="7" t="s">
        <v>64</v>
      </c>
      <c r="J1661">
        <f t="shared" si="134"/>
        <v>63.617251162500004</v>
      </c>
      <c r="K1661">
        <v>5.31</v>
      </c>
      <c r="M1661">
        <f t="shared" si="132"/>
        <v>0</v>
      </c>
      <c r="N1661">
        <f t="shared" si="133"/>
        <v>-5.31</v>
      </c>
    </row>
    <row r="1662" spans="1:14" x14ac:dyDescent="0.3">
      <c r="A1662" t="s">
        <v>251</v>
      </c>
      <c r="B1662" s="7" t="s">
        <v>51</v>
      </c>
      <c r="C1662" s="7">
        <v>1</v>
      </c>
      <c r="D1662" s="7">
        <v>2</v>
      </c>
      <c r="E1662" s="7" t="s">
        <v>30</v>
      </c>
      <c r="J1662">
        <f t="shared" si="134"/>
        <v>63.617251162500004</v>
      </c>
      <c r="K1662">
        <v>5.31</v>
      </c>
      <c r="M1662">
        <f t="shared" si="132"/>
        <v>0</v>
      </c>
      <c r="N1662">
        <f t="shared" si="133"/>
        <v>-5.31</v>
      </c>
    </row>
    <row r="1663" spans="1:14" x14ac:dyDescent="0.3">
      <c r="A1663" t="s">
        <v>251</v>
      </c>
      <c r="B1663" s="7" t="s">
        <v>51</v>
      </c>
      <c r="C1663" s="7">
        <v>1</v>
      </c>
      <c r="D1663" s="7">
        <v>2</v>
      </c>
      <c r="E1663" s="7" t="s">
        <v>31</v>
      </c>
      <c r="J1663">
        <f t="shared" si="134"/>
        <v>63.617251162500004</v>
      </c>
      <c r="K1663">
        <v>5.31</v>
      </c>
      <c r="M1663">
        <f t="shared" si="132"/>
        <v>0</v>
      </c>
      <c r="N1663">
        <f t="shared" si="133"/>
        <v>-5.31</v>
      </c>
    </row>
    <row r="1664" spans="1:14" x14ac:dyDescent="0.3">
      <c r="A1664" t="s">
        <v>251</v>
      </c>
      <c r="B1664" s="7" t="s">
        <v>51</v>
      </c>
      <c r="C1664" s="7">
        <v>1</v>
      </c>
      <c r="D1664" s="7">
        <v>6</v>
      </c>
      <c r="E1664" s="7" t="s">
        <v>64</v>
      </c>
      <c r="J1664">
        <f t="shared" si="134"/>
        <v>63.617251162500004</v>
      </c>
      <c r="K1664">
        <v>5.31</v>
      </c>
      <c r="M1664">
        <f t="shared" si="132"/>
        <v>0</v>
      </c>
      <c r="N1664">
        <f t="shared" si="133"/>
        <v>-5.31</v>
      </c>
    </row>
    <row r="1665" spans="1:14" x14ac:dyDescent="0.3">
      <c r="A1665" t="s">
        <v>251</v>
      </c>
      <c r="B1665" s="7" t="s">
        <v>51</v>
      </c>
      <c r="C1665" s="7">
        <v>1</v>
      </c>
      <c r="D1665" s="7">
        <v>6</v>
      </c>
      <c r="E1665" s="7" t="s">
        <v>30</v>
      </c>
      <c r="J1665">
        <f t="shared" si="134"/>
        <v>63.617251162500004</v>
      </c>
      <c r="K1665">
        <v>5.31</v>
      </c>
      <c r="M1665">
        <f t="shared" si="132"/>
        <v>0</v>
      </c>
      <c r="N1665">
        <f t="shared" si="133"/>
        <v>-5.31</v>
      </c>
    </row>
    <row r="1666" spans="1:14" x14ac:dyDescent="0.3">
      <c r="A1666" t="s">
        <v>251</v>
      </c>
      <c r="B1666" s="7" t="s">
        <v>51</v>
      </c>
      <c r="C1666" s="7">
        <v>1</v>
      </c>
      <c r="D1666" s="7">
        <v>6</v>
      </c>
      <c r="E1666" s="7" t="s">
        <v>31</v>
      </c>
      <c r="J1666">
        <f t="shared" si="134"/>
        <v>63.617251162500004</v>
      </c>
      <c r="K1666">
        <v>5.31</v>
      </c>
      <c r="M1666">
        <f t="shared" si="132"/>
        <v>0</v>
      </c>
      <c r="N1666">
        <f t="shared" si="133"/>
        <v>-5.31</v>
      </c>
    </row>
    <row r="1667" spans="1:14" x14ac:dyDescent="0.3">
      <c r="A1667" t="s">
        <v>251</v>
      </c>
      <c r="B1667" t="s">
        <v>51</v>
      </c>
      <c r="C1667">
        <v>1</v>
      </c>
      <c r="D1667">
        <v>12</v>
      </c>
      <c r="E1667" t="s">
        <v>64</v>
      </c>
      <c r="J1667">
        <f t="shared" si="134"/>
        <v>63.617251162500004</v>
      </c>
      <c r="K1667">
        <v>5.31</v>
      </c>
      <c r="M1667">
        <f t="shared" si="132"/>
        <v>0</v>
      </c>
      <c r="N1667">
        <f t="shared" si="133"/>
        <v>-5.31</v>
      </c>
    </row>
    <row r="1668" spans="1:14" x14ac:dyDescent="0.3">
      <c r="A1668" t="s">
        <v>251</v>
      </c>
      <c r="B1668" t="s">
        <v>51</v>
      </c>
      <c r="C1668">
        <v>1</v>
      </c>
      <c r="D1668">
        <v>12</v>
      </c>
      <c r="E1668" t="s">
        <v>30</v>
      </c>
      <c r="J1668">
        <f t="shared" si="134"/>
        <v>63.617251162500004</v>
      </c>
      <c r="K1668">
        <v>5.31</v>
      </c>
      <c r="M1668">
        <f t="shared" ref="M1668:M1731" si="135">L1668*F1668</f>
        <v>0</v>
      </c>
      <c r="N1668">
        <f t="shared" si="133"/>
        <v>-5.31</v>
      </c>
    </row>
    <row r="1669" spans="1:14" x14ac:dyDescent="0.3">
      <c r="A1669" t="s">
        <v>251</v>
      </c>
      <c r="B1669" t="s">
        <v>51</v>
      </c>
      <c r="C1669">
        <v>1</v>
      </c>
      <c r="D1669">
        <v>12</v>
      </c>
      <c r="E1669" t="s">
        <v>31</v>
      </c>
      <c r="J1669">
        <f t="shared" si="134"/>
        <v>63.617251162500004</v>
      </c>
      <c r="K1669">
        <v>5.31</v>
      </c>
      <c r="M1669">
        <f t="shared" si="135"/>
        <v>0</v>
      </c>
      <c r="N1669">
        <f t="shared" si="133"/>
        <v>-5.31</v>
      </c>
    </row>
    <row r="1670" spans="1:14" x14ac:dyDescent="0.3">
      <c r="A1670" t="s">
        <v>251</v>
      </c>
      <c r="B1670" t="s">
        <v>51</v>
      </c>
      <c r="C1670">
        <v>1</v>
      </c>
      <c r="D1670">
        <v>18</v>
      </c>
      <c r="E1670" t="s">
        <v>64</v>
      </c>
      <c r="J1670">
        <f t="shared" si="134"/>
        <v>63.617251162500004</v>
      </c>
      <c r="K1670">
        <v>5.31</v>
      </c>
      <c r="M1670">
        <f t="shared" si="135"/>
        <v>0</v>
      </c>
      <c r="N1670">
        <f t="shared" si="133"/>
        <v>-5.31</v>
      </c>
    </row>
    <row r="1671" spans="1:14" x14ac:dyDescent="0.3">
      <c r="A1671" t="s">
        <v>251</v>
      </c>
      <c r="B1671" t="s">
        <v>51</v>
      </c>
      <c r="C1671">
        <v>1</v>
      </c>
      <c r="D1671">
        <v>18</v>
      </c>
      <c r="E1671" t="s">
        <v>30</v>
      </c>
      <c r="J1671">
        <f t="shared" si="134"/>
        <v>63.617251162500004</v>
      </c>
      <c r="K1671">
        <v>5.31</v>
      </c>
      <c r="M1671">
        <f t="shared" si="135"/>
        <v>0</v>
      </c>
      <c r="N1671">
        <f t="shared" si="133"/>
        <v>-5.31</v>
      </c>
    </row>
    <row r="1672" spans="1:14" x14ac:dyDescent="0.3">
      <c r="A1672" t="s">
        <v>251</v>
      </c>
      <c r="B1672" t="s">
        <v>51</v>
      </c>
      <c r="C1672">
        <v>1</v>
      </c>
      <c r="D1672">
        <v>18</v>
      </c>
      <c r="E1672" t="s">
        <v>31</v>
      </c>
      <c r="J1672">
        <f t="shared" si="134"/>
        <v>63.617251162500004</v>
      </c>
      <c r="K1672">
        <v>5.31</v>
      </c>
      <c r="M1672">
        <f t="shared" si="135"/>
        <v>0</v>
      </c>
      <c r="N1672">
        <f t="shared" si="133"/>
        <v>-5.31</v>
      </c>
    </row>
    <row r="1673" spans="1:14" x14ac:dyDescent="0.3">
      <c r="A1673" t="s">
        <v>251</v>
      </c>
      <c r="B1673" t="s">
        <v>51</v>
      </c>
      <c r="C1673">
        <v>1</v>
      </c>
      <c r="D1673">
        <v>24</v>
      </c>
      <c r="E1673" t="s">
        <v>28</v>
      </c>
      <c r="J1673">
        <f t="shared" si="134"/>
        <v>63.617251162500004</v>
      </c>
      <c r="K1673">
        <v>5.31</v>
      </c>
      <c r="M1673">
        <f t="shared" si="135"/>
        <v>0</v>
      </c>
      <c r="N1673">
        <f t="shared" si="133"/>
        <v>-5.31</v>
      </c>
    </row>
    <row r="1674" spans="1:14" x14ac:dyDescent="0.3">
      <c r="A1674" t="s">
        <v>251</v>
      </c>
      <c r="B1674" t="s">
        <v>51</v>
      </c>
      <c r="C1674">
        <v>1</v>
      </c>
      <c r="D1674">
        <v>24</v>
      </c>
      <c r="E1674" t="s">
        <v>30</v>
      </c>
      <c r="J1674">
        <f t="shared" si="134"/>
        <v>63.617251162500004</v>
      </c>
      <c r="K1674">
        <v>5.31</v>
      </c>
      <c r="M1674">
        <f t="shared" si="135"/>
        <v>0</v>
      </c>
      <c r="N1674">
        <f t="shared" si="133"/>
        <v>-5.31</v>
      </c>
    </row>
    <row r="1675" spans="1:14" x14ac:dyDescent="0.3">
      <c r="A1675" t="s">
        <v>251</v>
      </c>
      <c r="B1675" s="7" t="s">
        <v>51</v>
      </c>
      <c r="C1675" s="7">
        <v>1</v>
      </c>
      <c r="D1675" s="7">
        <v>24</v>
      </c>
      <c r="E1675" s="7" t="s">
        <v>31</v>
      </c>
      <c r="J1675">
        <f t="shared" si="134"/>
        <v>63.617251162500004</v>
      </c>
      <c r="K1675">
        <v>5.31</v>
      </c>
      <c r="M1675">
        <f t="shared" si="135"/>
        <v>0</v>
      </c>
      <c r="N1675">
        <f t="shared" si="133"/>
        <v>-5.31</v>
      </c>
    </row>
    <row r="1676" spans="1:14" x14ac:dyDescent="0.3">
      <c r="A1676" t="s">
        <v>251</v>
      </c>
      <c r="B1676" t="s">
        <v>51</v>
      </c>
      <c r="C1676">
        <v>1</v>
      </c>
      <c r="D1676">
        <v>48</v>
      </c>
      <c r="E1676" t="s">
        <v>64</v>
      </c>
      <c r="J1676">
        <f t="shared" si="134"/>
        <v>63.617251162500004</v>
      </c>
      <c r="K1676">
        <v>5.31</v>
      </c>
      <c r="M1676">
        <f t="shared" si="135"/>
        <v>0</v>
      </c>
      <c r="N1676">
        <f t="shared" si="133"/>
        <v>-5.31</v>
      </c>
    </row>
    <row r="1677" spans="1:14" x14ac:dyDescent="0.3">
      <c r="A1677" t="s">
        <v>251</v>
      </c>
      <c r="B1677" t="s">
        <v>51</v>
      </c>
      <c r="C1677">
        <v>1</v>
      </c>
      <c r="D1677">
        <v>48</v>
      </c>
      <c r="E1677" t="s">
        <v>30</v>
      </c>
      <c r="J1677">
        <f t="shared" si="134"/>
        <v>63.617251162500004</v>
      </c>
      <c r="K1677">
        <v>5.31</v>
      </c>
      <c r="M1677">
        <f t="shared" si="135"/>
        <v>0</v>
      </c>
      <c r="N1677">
        <f t="shared" si="133"/>
        <v>-5.31</v>
      </c>
    </row>
    <row r="1678" spans="1:14" x14ac:dyDescent="0.3">
      <c r="A1678" t="s">
        <v>251</v>
      </c>
      <c r="B1678" t="s">
        <v>51</v>
      </c>
      <c r="C1678">
        <v>1</v>
      </c>
      <c r="D1678">
        <v>48</v>
      </c>
      <c r="E1678" t="s">
        <v>31</v>
      </c>
      <c r="J1678">
        <f t="shared" si="134"/>
        <v>63.617251162500004</v>
      </c>
      <c r="K1678">
        <v>5.31</v>
      </c>
      <c r="M1678">
        <f t="shared" si="135"/>
        <v>0</v>
      </c>
      <c r="N1678">
        <f t="shared" si="133"/>
        <v>-5.31</v>
      </c>
    </row>
    <row r="1679" spans="1:14" x14ac:dyDescent="0.3">
      <c r="A1679" t="s">
        <v>251</v>
      </c>
      <c r="B1679" t="s">
        <v>51</v>
      </c>
      <c r="C1679">
        <v>2</v>
      </c>
      <c r="D1679">
        <v>0.5</v>
      </c>
      <c r="E1679" t="s">
        <v>64</v>
      </c>
      <c r="J1679">
        <f t="shared" si="134"/>
        <v>63.617251162500004</v>
      </c>
      <c r="K1679">
        <v>5.31</v>
      </c>
      <c r="M1679">
        <f t="shared" si="135"/>
        <v>0</v>
      </c>
      <c r="N1679">
        <f t="shared" si="133"/>
        <v>-5.31</v>
      </c>
    </row>
    <row r="1680" spans="1:14" x14ac:dyDescent="0.3">
      <c r="A1680" t="s">
        <v>251</v>
      </c>
      <c r="B1680" t="s">
        <v>51</v>
      </c>
      <c r="C1680">
        <v>2</v>
      </c>
      <c r="D1680">
        <v>0.5</v>
      </c>
      <c r="E1680" t="s">
        <v>30</v>
      </c>
      <c r="J1680">
        <f t="shared" si="134"/>
        <v>63.617251162500004</v>
      </c>
      <c r="K1680">
        <v>5.31</v>
      </c>
      <c r="M1680">
        <f t="shared" si="135"/>
        <v>0</v>
      </c>
      <c r="N1680">
        <f t="shared" si="133"/>
        <v>-5.31</v>
      </c>
    </row>
    <row r="1681" spans="1:14" x14ac:dyDescent="0.3">
      <c r="A1681" t="s">
        <v>251</v>
      </c>
      <c r="B1681" t="s">
        <v>51</v>
      </c>
      <c r="C1681">
        <v>2</v>
      </c>
      <c r="D1681">
        <v>0.5</v>
      </c>
      <c r="E1681" t="s">
        <v>31</v>
      </c>
      <c r="J1681">
        <f t="shared" si="134"/>
        <v>63.617251162500004</v>
      </c>
      <c r="K1681">
        <v>5.31</v>
      </c>
      <c r="M1681">
        <f t="shared" si="135"/>
        <v>0</v>
      </c>
      <c r="N1681">
        <f t="shared" si="133"/>
        <v>-5.31</v>
      </c>
    </row>
    <row r="1682" spans="1:14" x14ac:dyDescent="0.3">
      <c r="A1682" t="s">
        <v>251</v>
      </c>
      <c r="B1682" s="7" t="s">
        <v>51</v>
      </c>
      <c r="C1682" s="7">
        <v>2</v>
      </c>
      <c r="D1682" s="7">
        <v>2</v>
      </c>
      <c r="E1682" s="7" t="s">
        <v>64</v>
      </c>
      <c r="J1682">
        <f t="shared" si="134"/>
        <v>63.617251162500004</v>
      </c>
      <c r="K1682">
        <v>5.31</v>
      </c>
      <c r="M1682">
        <f t="shared" si="135"/>
        <v>0</v>
      </c>
      <c r="N1682">
        <f t="shared" si="133"/>
        <v>-5.31</v>
      </c>
    </row>
    <row r="1683" spans="1:14" x14ac:dyDescent="0.3">
      <c r="A1683" t="s">
        <v>251</v>
      </c>
      <c r="B1683" s="7" t="s">
        <v>51</v>
      </c>
      <c r="C1683" s="7">
        <v>2</v>
      </c>
      <c r="D1683" s="7">
        <v>2</v>
      </c>
      <c r="E1683" s="7" t="s">
        <v>30</v>
      </c>
      <c r="J1683">
        <f t="shared" si="134"/>
        <v>63.617251162500004</v>
      </c>
      <c r="K1683">
        <v>5.31</v>
      </c>
      <c r="M1683">
        <f t="shared" si="135"/>
        <v>0</v>
      </c>
      <c r="N1683">
        <f t="shared" si="133"/>
        <v>-5.31</v>
      </c>
    </row>
    <row r="1684" spans="1:14" x14ac:dyDescent="0.3">
      <c r="A1684" t="s">
        <v>251</v>
      </c>
      <c r="B1684" s="7" t="s">
        <v>51</v>
      </c>
      <c r="C1684" s="7">
        <v>2</v>
      </c>
      <c r="D1684" s="7">
        <v>2</v>
      </c>
      <c r="E1684" s="7" t="s">
        <v>31</v>
      </c>
      <c r="J1684">
        <f t="shared" si="134"/>
        <v>63.617251162500004</v>
      </c>
      <c r="K1684">
        <v>5.31</v>
      </c>
      <c r="M1684">
        <f t="shared" si="135"/>
        <v>0</v>
      </c>
      <c r="N1684">
        <f t="shared" si="133"/>
        <v>-5.31</v>
      </c>
    </row>
    <row r="1685" spans="1:14" x14ac:dyDescent="0.3">
      <c r="A1685" t="s">
        <v>251</v>
      </c>
      <c r="B1685" s="7" t="s">
        <v>51</v>
      </c>
      <c r="C1685" s="7">
        <v>2</v>
      </c>
      <c r="D1685" s="7">
        <v>6</v>
      </c>
      <c r="E1685" s="7" t="s">
        <v>64</v>
      </c>
      <c r="J1685">
        <f t="shared" si="134"/>
        <v>63.617251162500004</v>
      </c>
      <c r="K1685">
        <v>5.31</v>
      </c>
      <c r="M1685">
        <f t="shared" si="135"/>
        <v>0</v>
      </c>
      <c r="N1685">
        <f t="shared" si="133"/>
        <v>-5.31</v>
      </c>
    </row>
    <row r="1686" spans="1:14" x14ac:dyDescent="0.3">
      <c r="A1686" t="s">
        <v>251</v>
      </c>
      <c r="B1686" s="7" t="s">
        <v>51</v>
      </c>
      <c r="C1686" s="7">
        <v>2</v>
      </c>
      <c r="D1686" s="7">
        <v>6</v>
      </c>
      <c r="E1686" s="7" t="s">
        <v>30</v>
      </c>
      <c r="J1686">
        <f t="shared" si="134"/>
        <v>63.617251162500004</v>
      </c>
      <c r="K1686">
        <v>5.31</v>
      </c>
      <c r="M1686">
        <f t="shared" si="135"/>
        <v>0</v>
      </c>
      <c r="N1686">
        <f t="shared" si="133"/>
        <v>-5.31</v>
      </c>
    </row>
    <row r="1687" spans="1:14" x14ac:dyDescent="0.3">
      <c r="A1687" t="s">
        <v>251</v>
      </c>
      <c r="B1687" s="7" t="s">
        <v>51</v>
      </c>
      <c r="C1687" s="7">
        <v>2</v>
      </c>
      <c r="D1687" s="7">
        <v>6</v>
      </c>
      <c r="E1687" s="7" t="s">
        <v>31</v>
      </c>
      <c r="J1687">
        <f t="shared" si="134"/>
        <v>63.617251162500004</v>
      </c>
      <c r="K1687">
        <v>5.31</v>
      </c>
      <c r="M1687">
        <f t="shared" si="135"/>
        <v>0</v>
      </c>
      <c r="N1687">
        <f t="shared" si="133"/>
        <v>-5.31</v>
      </c>
    </row>
    <row r="1688" spans="1:14" x14ac:dyDescent="0.3">
      <c r="A1688" t="s">
        <v>251</v>
      </c>
      <c r="B1688" t="s">
        <v>51</v>
      </c>
      <c r="C1688">
        <v>2</v>
      </c>
      <c r="D1688">
        <v>12</v>
      </c>
      <c r="E1688" t="s">
        <v>64</v>
      </c>
      <c r="J1688">
        <f t="shared" si="134"/>
        <v>63.617251162500004</v>
      </c>
      <c r="K1688">
        <v>5.31</v>
      </c>
      <c r="M1688">
        <f t="shared" si="135"/>
        <v>0</v>
      </c>
      <c r="N1688">
        <f t="shared" ref="N1688:N1751" si="136">L1688*J1688-K1688</f>
        <v>-5.31</v>
      </c>
    </row>
    <row r="1689" spans="1:14" x14ac:dyDescent="0.3">
      <c r="A1689" t="s">
        <v>251</v>
      </c>
      <c r="B1689" t="s">
        <v>51</v>
      </c>
      <c r="C1689">
        <v>2</v>
      </c>
      <c r="D1689">
        <v>12</v>
      </c>
      <c r="E1689" t="s">
        <v>30</v>
      </c>
      <c r="J1689">
        <f t="shared" si="134"/>
        <v>63.617251162500004</v>
      </c>
      <c r="K1689">
        <v>5.31</v>
      </c>
      <c r="M1689">
        <f t="shared" si="135"/>
        <v>0</v>
      </c>
      <c r="N1689">
        <f t="shared" si="136"/>
        <v>-5.31</v>
      </c>
    </row>
    <row r="1690" spans="1:14" x14ac:dyDescent="0.3">
      <c r="A1690" t="s">
        <v>251</v>
      </c>
      <c r="B1690" t="s">
        <v>51</v>
      </c>
      <c r="C1690">
        <v>2</v>
      </c>
      <c r="D1690">
        <v>12</v>
      </c>
      <c r="E1690" t="s">
        <v>31</v>
      </c>
      <c r="J1690">
        <f t="shared" si="134"/>
        <v>63.617251162500004</v>
      </c>
      <c r="K1690">
        <v>5.31</v>
      </c>
      <c r="M1690">
        <f t="shared" si="135"/>
        <v>0</v>
      </c>
      <c r="N1690">
        <f t="shared" si="136"/>
        <v>-5.31</v>
      </c>
    </row>
    <row r="1691" spans="1:14" x14ac:dyDescent="0.3">
      <c r="A1691" t="s">
        <v>251</v>
      </c>
      <c r="B1691" t="s">
        <v>51</v>
      </c>
      <c r="C1691">
        <v>2</v>
      </c>
      <c r="D1691">
        <v>18</v>
      </c>
      <c r="E1691" t="s">
        <v>64</v>
      </c>
      <c r="J1691">
        <f t="shared" si="134"/>
        <v>63.617251162500004</v>
      </c>
      <c r="K1691">
        <v>5.31</v>
      </c>
      <c r="M1691">
        <f t="shared" si="135"/>
        <v>0</v>
      </c>
      <c r="N1691">
        <f t="shared" si="136"/>
        <v>-5.31</v>
      </c>
    </row>
    <row r="1692" spans="1:14" x14ac:dyDescent="0.3">
      <c r="A1692" t="s">
        <v>251</v>
      </c>
      <c r="B1692" t="s">
        <v>51</v>
      </c>
      <c r="C1692">
        <v>2</v>
      </c>
      <c r="D1692">
        <v>18</v>
      </c>
      <c r="E1692" t="s">
        <v>30</v>
      </c>
      <c r="J1692">
        <f t="shared" si="134"/>
        <v>63.617251162500004</v>
      </c>
      <c r="K1692">
        <v>5.31</v>
      </c>
      <c r="M1692">
        <f t="shared" si="135"/>
        <v>0</v>
      </c>
      <c r="N1692">
        <f t="shared" si="136"/>
        <v>-5.31</v>
      </c>
    </row>
    <row r="1693" spans="1:14" x14ac:dyDescent="0.3">
      <c r="A1693" t="s">
        <v>251</v>
      </c>
      <c r="B1693" t="s">
        <v>51</v>
      </c>
      <c r="C1693">
        <v>2</v>
      </c>
      <c r="D1693">
        <v>18</v>
      </c>
      <c r="E1693" t="s">
        <v>31</v>
      </c>
      <c r="J1693">
        <f t="shared" si="134"/>
        <v>63.617251162500004</v>
      </c>
      <c r="K1693">
        <v>5.31</v>
      </c>
      <c r="M1693">
        <f t="shared" si="135"/>
        <v>0</v>
      </c>
      <c r="N1693">
        <f t="shared" si="136"/>
        <v>-5.31</v>
      </c>
    </row>
    <row r="1694" spans="1:14" x14ac:dyDescent="0.3">
      <c r="A1694" t="s">
        <v>251</v>
      </c>
      <c r="B1694" t="s">
        <v>51</v>
      </c>
      <c r="C1694">
        <v>2</v>
      </c>
      <c r="D1694">
        <v>24</v>
      </c>
      <c r="E1694" t="s">
        <v>28</v>
      </c>
      <c r="J1694">
        <f t="shared" si="134"/>
        <v>63.617251162500004</v>
      </c>
      <c r="K1694">
        <v>5.31</v>
      </c>
      <c r="M1694">
        <f t="shared" si="135"/>
        <v>0</v>
      </c>
      <c r="N1694">
        <f t="shared" si="136"/>
        <v>-5.31</v>
      </c>
    </row>
    <row r="1695" spans="1:14" x14ac:dyDescent="0.3">
      <c r="A1695" t="s">
        <v>251</v>
      </c>
      <c r="B1695" t="s">
        <v>51</v>
      </c>
      <c r="C1695">
        <v>2</v>
      </c>
      <c r="D1695">
        <v>24</v>
      </c>
      <c r="E1695" t="s">
        <v>30</v>
      </c>
      <c r="J1695">
        <f t="shared" si="134"/>
        <v>63.617251162500004</v>
      </c>
      <c r="K1695">
        <v>5.31</v>
      </c>
      <c r="M1695">
        <f t="shared" si="135"/>
        <v>0</v>
      </c>
      <c r="N1695">
        <f t="shared" si="136"/>
        <v>-5.31</v>
      </c>
    </row>
    <row r="1696" spans="1:14" x14ac:dyDescent="0.3">
      <c r="A1696" t="s">
        <v>251</v>
      </c>
      <c r="B1696" t="s">
        <v>51</v>
      </c>
      <c r="C1696">
        <v>2</v>
      </c>
      <c r="D1696">
        <v>24</v>
      </c>
      <c r="E1696" t="s">
        <v>31</v>
      </c>
      <c r="J1696">
        <f t="shared" si="134"/>
        <v>63.617251162500004</v>
      </c>
      <c r="K1696">
        <v>5.31</v>
      </c>
      <c r="M1696">
        <f t="shared" si="135"/>
        <v>0</v>
      </c>
      <c r="N1696">
        <f t="shared" si="136"/>
        <v>-5.31</v>
      </c>
    </row>
    <row r="1697" spans="1:14" x14ac:dyDescent="0.3">
      <c r="A1697" t="s">
        <v>251</v>
      </c>
      <c r="B1697" t="s">
        <v>51</v>
      </c>
      <c r="C1697">
        <v>2</v>
      </c>
      <c r="D1697">
        <v>48</v>
      </c>
      <c r="E1697" t="s">
        <v>64</v>
      </c>
      <c r="J1697">
        <f t="shared" si="134"/>
        <v>63.617251162500004</v>
      </c>
      <c r="K1697">
        <v>5.31</v>
      </c>
      <c r="M1697">
        <f t="shared" si="135"/>
        <v>0</v>
      </c>
      <c r="N1697">
        <f t="shared" si="136"/>
        <v>-5.31</v>
      </c>
    </row>
    <row r="1698" spans="1:14" x14ac:dyDescent="0.3">
      <c r="A1698" t="s">
        <v>251</v>
      </c>
      <c r="B1698" t="s">
        <v>51</v>
      </c>
      <c r="C1698">
        <v>2</v>
      </c>
      <c r="D1698">
        <v>48</v>
      </c>
      <c r="E1698" t="s">
        <v>30</v>
      </c>
      <c r="J1698">
        <f t="shared" si="134"/>
        <v>63.617251162500004</v>
      </c>
      <c r="K1698">
        <v>5.31</v>
      </c>
      <c r="M1698">
        <f t="shared" si="135"/>
        <v>0</v>
      </c>
      <c r="N1698">
        <f t="shared" si="136"/>
        <v>-5.31</v>
      </c>
    </row>
    <row r="1699" spans="1:14" x14ac:dyDescent="0.3">
      <c r="A1699" t="s">
        <v>251</v>
      </c>
      <c r="B1699" t="s">
        <v>51</v>
      </c>
      <c r="C1699">
        <v>2</v>
      </c>
      <c r="D1699">
        <v>48</v>
      </c>
      <c r="E1699" t="s">
        <v>31</v>
      </c>
      <c r="J1699">
        <f t="shared" si="134"/>
        <v>63.617251162500004</v>
      </c>
      <c r="K1699">
        <v>5.31</v>
      </c>
      <c r="M1699">
        <f t="shared" si="135"/>
        <v>0</v>
      </c>
      <c r="N1699">
        <f t="shared" si="136"/>
        <v>-5.31</v>
      </c>
    </row>
    <row r="1700" spans="1:14" x14ac:dyDescent="0.3">
      <c r="A1700" t="s">
        <v>251</v>
      </c>
      <c r="B1700" s="7" t="s">
        <v>51</v>
      </c>
      <c r="C1700" s="7"/>
      <c r="D1700" s="7"/>
      <c r="E1700" s="7" t="s">
        <v>67</v>
      </c>
      <c r="J1700">
        <f t="shared" si="134"/>
        <v>63.617251162500004</v>
      </c>
      <c r="K1700">
        <v>5.31</v>
      </c>
      <c r="M1700">
        <f t="shared" si="135"/>
        <v>0</v>
      </c>
      <c r="N1700">
        <f t="shared" si="136"/>
        <v>-5.31</v>
      </c>
    </row>
    <row r="1701" spans="1:14" x14ac:dyDescent="0.3">
      <c r="A1701" t="s">
        <v>251</v>
      </c>
      <c r="B1701" s="7" t="s">
        <v>51</v>
      </c>
      <c r="C1701" s="7"/>
      <c r="D1701" s="7"/>
      <c r="E1701" s="7" t="s">
        <v>68</v>
      </c>
      <c r="J1701">
        <f t="shared" si="134"/>
        <v>63.617251162500004</v>
      </c>
      <c r="K1701">
        <v>5.31</v>
      </c>
      <c r="M1701">
        <f t="shared" si="135"/>
        <v>0</v>
      </c>
      <c r="N1701">
        <f t="shared" si="136"/>
        <v>-5.31</v>
      </c>
    </row>
    <row r="1702" spans="1:14" x14ac:dyDescent="0.3">
      <c r="A1702" t="s">
        <v>251</v>
      </c>
      <c r="B1702" s="7" t="s">
        <v>51</v>
      </c>
      <c r="C1702" s="7"/>
      <c r="D1702" s="7"/>
      <c r="E1702" s="7" t="s">
        <v>69</v>
      </c>
      <c r="J1702">
        <f t="shared" si="134"/>
        <v>63.617251162500004</v>
      </c>
      <c r="K1702">
        <v>5.31</v>
      </c>
      <c r="M1702">
        <f t="shared" si="135"/>
        <v>0</v>
      </c>
      <c r="N1702">
        <f t="shared" si="136"/>
        <v>-5.31</v>
      </c>
    </row>
    <row r="1703" spans="1:14" x14ac:dyDescent="0.3">
      <c r="A1703" t="s">
        <v>251</v>
      </c>
      <c r="B1703" s="7" t="s">
        <v>51</v>
      </c>
      <c r="C1703" s="7"/>
      <c r="D1703" s="7"/>
      <c r="E1703" s="7" t="s">
        <v>70</v>
      </c>
      <c r="J1703">
        <f t="shared" si="134"/>
        <v>63.617251162500004</v>
      </c>
      <c r="K1703">
        <v>5.31</v>
      </c>
      <c r="M1703">
        <f t="shared" si="135"/>
        <v>0</v>
      </c>
      <c r="N1703">
        <f t="shared" si="136"/>
        <v>-5.31</v>
      </c>
    </row>
    <row r="1704" spans="1:14" x14ac:dyDescent="0.3">
      <c r="A1704" t="s">
        <v>251</v>
      </c>
      <c r="B1704" s="7" t="s">
        <v>54</v>
      </c>
      <c r="C1704" s="7">
        <v>1</v>
      </c>
      <c r="D1704" s="7">
        <v>0.5</v>
      </c>
      <c r="E1704" s="7" t="s">
        <v>64</v>
      </c>
      <c r="J1704">
        <f t="shared" si="134"/>
        <v>63.617251162500004</v>
      </c>
      <c r="K1704">
        <v>5.31</v>
      </c>
      <c r="M1704">
        <f t="shared" si="135"/>
        <v>0</v>
      </c>
      <c r="N1704">
        <f t="shared" si="136"/>
        <v>-5.31</v>
      </c>
    </row>
    <row r="1705" spans="1:14" x14ac:dyDescent="0.3">
      <c r="A1705" t="s">
        <v>251</v>
      </c>
      <c r="B1705" s="7" t="s">
        <v>54</v>
      </c>
      <c r="C1705" s="7">
        <v>1</v>
      </c>
      <c r="D1705" s="7">
        <v>0.5</v>
      </c>
      <c r="E1705" s="7" t="s">
        <v>30</v>
      </c>
      <c r="J1705">
        <f t="shared" si="134"/>
        <v>63.617251162500004</v>
      </c>
      <c r="K1705">
        <v>5.31</v>
      </c>
      <c r="M1705">
        <f t="shared" si="135"/>
        <v>0</v>
      </c>
      <c r="N1705">
        <f t="shared" si="136"/>
        <v>-5.31</v>
      </c>
    </row>
    <row r="1706" spans="1:14" x14ac:dyDescent="0.3">
      <c r="A1706" t="s">
        <v>251</v>
      </c>
      <c r="B1706" s="7" t="s">
        <v>54</v>
      </c>
      <c r="C1706" s="7">
        <v>1</v>
      </c>
      <c r="D1706" s="7">
        <v>0.5</v>
      </c>
      <c r="E1706" s="7" t="s">
        <v>31</v>
      </c>
      <c r="J1706">
        <f t="shared" si="134"/>
        <v>63.617251162500004</v>
      </c>
      <c r="K1706">
        <v>5.31</v>
      </c>
      <c r="M1706">
        <f t="shared" si="135"/>
        <v>0</v>
      </c>
      <c r="N1706">
        <f t="shared" si="136"/>
        <v>-5.31</v>
      </c>
    </row>
    <row r="1707" spans="1:14" x14ac:dyDescent="0.3">
      <c r="A1707" t="s">
        <v>251</v>
      </c>
      <c r="B1707" s="7" t="s">
        <v>54</v>
      </c>
      <c r="C1707" s="7">
        <v>1</v>
      </c>
      <c r="D1707" s="7">
        <v>2</v>
      </c>
      <c r="E1707" s="7" t="s">
        <v>64</v>
      </c>
      <c r="J1707">
        <f t="shared" si="134"/>
        <v>63.617251162500004</v>
      </c>
      <c r="K1707">
        <v>5.31</v>
      </c>
      <c r="M1707">
        <f t="shared" si="135"/>
        <v>0</v>
      </c>
      <c r="N1707">
        <f t="shared" si="136"/>
        <v>-5.31</v>
      </c>
    </row>
    <row r="1708" spans="1:14" x14ac:dyDescent="0.3">
      <c r="A1708" t="s">
        <v>251</v>
      </c>
      <c r="B1708" s="7" t="s">
        <v>54</v>
      </c>
      <c r="C1708" s="7">
        <v>1</v>
      </c>
      <c r="D1708" s="7">
        <v>2</v>
      </c>
      <c r="E1708" s="7" t="s">
        <v>30</v>
      </c>
      <c r="J1708">
        <f t="shared" ref="J1708:J1771" si="137">4.5*4.5*3.14159265</f>
        <v>63.617251162500004</v>
      </c>
      <c r="K1708">
        <v>5.31</v>
      </c>
      <c r="M1708">
        <f t="shared" si="135"/>
        <v>0</v>
      </c>
      <c r="N1708">
        <f t="shared" si="136"/>
        <v>-5.31</v>
      </c>
    </row>
    <row r="1709" spans="1:14" x14ac:dyDescent="0.3">
      <c r="A1709" t="s">
        <v>251</v>
      </c>
      <c r="B1709" s="7" t="s">
        <v>54</v>
      </c>
      <c r="C1709" s="7">
        <v>1</v>
      </c>
      <c r="D1709" s="7">
        <v>2</v>
      </c>
      <c r="E1709" s="7" t="s">
        <v>31</v>
      </c>
      <c r="J1709">
        <f t="shared" si="137"/>
        <v>63.617251162500004</v>
      </c>
      <c r="K1709">
        <v>5.31</v>
      </c>
      <c r="M1709">
        <f t="shared" si="135"/>
        <v>0</v>
      </c>
      <c r="N1709">
        <f t="shared" si="136"/>
        <v>-5.31</v>
      </c>
    </row>
    <row r="1710" spans="1:14" x14ac:dyDescent="0.3">
      <c r="A1710" t="s">
        <v>251</v>
      </c>
      <c r="B1710" s="7" t="s">
        <v>54</v>
      </c>
      <c r="C1710" s="7">
        <v>1</v>
      </c>
      <c r="D1710" s="7">
        <v>6</v>
      </c>
      <c r="E1710" s="7" t="s">
        <v>64</v>
      </c>
      <c r="J1710">
        <f t="shared" si="137"/>
        <v>63.617251162500004</v>
      </c>
      <c r="K1710">
        <v>5.31</v>
      </c>
      <c r="M1710">
        <f t="shared" si="135"/>
        <v>0</v>
      </c>
      <c r="N1710">
        <f t="shared" si="136"/>
        <v>-5.31</v>
      </c>
    </row>
    <row r="1711" spans="1:14" x14ac:dyDescent="0.3">
      <c r="A1711" t="s">
        <v>251</v>
      </c>
      <c r="B1711" s="7" t="s">
        <v>54</v>
      </c>
      <c r="C1711" s="7">
        <v>1</v>
      </c>
      <c r="D1711" s="7">
        <v>6</v>
      </c>
      <c r="E1711" s="7" t="s">
        <v>30</v>
      </c>
      <c r="J1711">
        <f t="shared" si="137"/>
        <v>63.617251162500004</v>
      </c>
      <c r="K1711">
        <v>5.31</v>
      </c>
      <c r="M1711">
        <f t="shared" si="135"/>
        <v>0</v>
      </c>
      <c r="N1711">
        <f t="shared" si="136"/>
        <v>-5.31</v>
      </c>
    </row>
    <row r="1712" spans="1:14" x14ac:dyDescent="0.3">
      <c r="A1712" t="s">
        <v>251</v>
      </c>
      <c r="B1712" s="7" t="s">
        <v>54</v>
      </c>
      <c r="C1712" s="7">
        <v>1</v>
      </c>
      <c r="D1712" s="7">
        <v>6</v>
      </c>
      <c r="E1712" s="7" t="s">
        <v>31</v>
      </c>
      <c r="J1712">
        <f t="shared" si="137"/>
        <v>63.617251162500004</v>
      </c>
      <c r="K1712">
        <v>5.31</v>
      </c>
      <c r="M1712">
        <f t="shared" si="135"/>
        <v>0</v>
      </c>
      <c r="N1712">
        <f t="shared" si="136"/>
        <v>-5.31</v>
      </c>
    </row>
    <row r="1713" spans="1:14" x14ac:dyDescent="0.3">
      <c r="A1713" t="s">
        <v>251</v>
      </c>
      <c r="B1713" s="7" t="s">
        <v>54</v>
      </c>
      <c r="C1713" s="7">
        <v>1</v>
      </c>
      <c r="D1713" s="7">
        <v>12</v>
      </c>
      <c r="E1713" s="7" t="s">
        <v>64</v>
      </c>
      <c r="J1713">
        <f t="shared" si="137"/>
        <v>63.617251162500004</v>
      </c>
      <c r="K1713">
        <v>5.31</v>
      </c>
      <c r="M1713">
        <f t="shared" si="135"/>
        <v>0</v>
      </c>
      <c r="N1713">
        <f t="shared" si="136"/>
        <v>-5.31</v>
      </c>
    </row>
    <row r="1714" spans="1:14" x14ac:dyDescent="0.3">
      <c r="A1714" t="s">
        <v>251</v>
      </c>
      <c r="B1714" s="7" t="s">
        <v>54</v>
      </c>
      <c r="C1714" s="7">
        <v>1</v>
      </c>
      <c r="D1714" s="7">
        <v>12</v>
      </c>
      <c r="E1714" s="7" t="s">
        <v>30</v>
      </c>
      <c r="J1714">
        <f t="shared" si="137"/>
        <v>63.617251162500004</v>
      </c>
      <c r="K1714">
        <v>5.31</v>
      </c>
      <c r="M1714">
        <f t="shared" si="135"/>
        <v>0</v>
      </c>
      <c r="N1714">
        <f t="shared" si="136"/>
        <v>-5.31</v>
      </c>
    </row>
    <row r="1715" spans="1:14" x14ac:dyDescent="0.3">
      <c r="A1715" t="s">
        <v>251</v>
      </c>
      <c r="B1715" s="7" t="s">
        <v>54</v>
      </c>
      <c r="C1715" s="7">
        <v>1</v>
      </c>
      <c r="D1715" s="7">
        <v>12</v>
      </c>
      <c r="E1715" s="7" t="s">
        <v>31</v>
      </c>
      <c r="J1715">
        <f t="shared" si="137"/>
        <v>63.617251162500004</v>
      </c>
      <c r="K1715">
        <v>5.31</v>
      </c>
      <c r="M1715">
        <f t="shared" si="135"/>
        <v>0</v>
      </c>
      <c r="N1715">
        <f t="shared" si="136"/>
        <v>-5.31</v>
      </c>
    </row>
    <row r="1716" spans="1:14" x14ac:dyDescent="0.3">
      <c r="A1716" t="s">
        <v>251</v>
      </c>
      <c r="B1716" s="7" t="s">
        <v>54</v>
      </c>
      <c r="C1716" s="7">
        <v>1</v>
      </c>
      <c r="D1716" s="7">
        <v>18</v>
      </c>
      <c r="E1716" s="7" t="s">
        <v>64</v>
      </c>
      <c r="J1716">
        <f t="shared" si="137"/>
        <v>63.617251162500004</v>
      </c>
      <c r="K1716">
        <v>5.31</v>
      </c>
      <c r="M1716">
        <f t="shared" si="135"/>
        <v>0</v>
      </c>
      <c r="N1716" s="7">
        <f t="shared" si="136"/>
        <v>-5.31</v>
      </c>
    </row>
    <row r="1717" spans="1:14" x14ac:dyDescent="0.3">
      <c r="A1717" t="s">
        <v>251</v>
      </c>
      <c r="B1717" s="7" t="s">
        <v>54</v>
      </c>
      <c r="C1717" s="7">
        <v>1</v>
      </c>
      <c r="D1717" s="7">
        <v>18</v>
      </c>
      <c r="E1717" s="7" t="s">
        <v>30</v>
      </c>
      <c r="J1717">
        <f t="shared" si="137"/>
        <v>63.617251162500004</v>
      </c>
      <c r="K1717">
        <v>5.31</v>
      </c>
      <c r="M1717">
        <f t="shared" si="135"/>
        <v>0</v>
      </c>
      <c r="N1717">
        <f t="shared" si="136"/>
        <v>-5.31</v>
      </c>
    </row>
    <row r="1718" spans="1:14" x14ac:dyDescent="0.3">
      <c r="A1718" t="s">
        <v>251</v>
      </c>
      <c r="B1718" s="7" t="s">
        <v>54</v>
      </c>
      <c r="C1718" s="7">
        <v>1</v>
      </c>
      <c r="D1718" s="7">
        <v>18</v>
      </c>
      <c r="E1718" s="7" t="s">
        <v>31</v>
      </c>
      <c r="J1718">
        <f t="shared" si="137"/>
        <v>63.617251162500004</v>
      </c>
      <c r="K1718">
        <v>5.31</v>
      </c>
      <c r="M1718">
        <f t="shared" si="135"/>
        <v>0</v>
      </c>
      <c r="N1718">
        <f t="shared" si="136"/>
        <v>-5.31</v>
      </c>
    </row>
    <row r="1719" spans="1:14" x14ac:dyDescent="0.3">
      <c r="A1719" t="s">
        <v>251</v>
      </c>
      <c r="B1719" s="7" t="s">
        <v>54</v>
      </c>
      <c r="C1719" s="7">
        <v>1</v>
      </c>
      <c r="D1719" s="7">
        <v>24</v>
      </c>
      <c r="E1719" s="7" t="s">
        <v>28</v>
      </c>
      <c r="J1719">
        <f t="shared" si="137"/>
        <v>63.617251162500004</v>
      </c>
      <c r="K1719">
        <v>5.31</v>
      </c>
      <c r="M1719">
        <f t="shared" si="135"/>
        <v>0</v>
      </c>
      <c r="N1719">
        <f t="shared" si="136"/>
        <v>-5.31</v>
      </c>
    </row>
    <row r="1720" spans="1:14" x14ac:dyDescent="0.3">
      <c r="A1720" t="s">
        <v>251</v>
      </c>
      <c r="B1720" s="7" t="s">
        <v>54</v>
      </c>
      <c r="C1720" s="7">
        <v>1</v>
      </c>
      <c r="D1720" s="7">
        <v>24</v>
      </c>
      <c r="E1720" s="7" t="s">
        <v>30</v>
      </c>
      <c r="J1720">
        <f t="shared" si="137"/>
        <v>63.617251162500004</v>
      </c>
      <c r="K1720">
        <v>5.31</v>
      </c>
      <c r="M1720" s="7">
        <f t="shared" si="135"/>
        <v>0</v>
      </c>
      <c r="N1720" s="7">
        <f t="shared" si="136"/>
        <v>-5.31</v>
      </c>
    </row>
    <row r="1721" spans="1:14" x14ac:dyDescent="0.3">
      <c r="A1721" t="s">
        <v>251</v>
      </c>
      <c r="B1721" s="7" t="s">
        <v>54</v>
      </c>
      <c r="C1721" s="7">
        <v>1</v>
      </c>
      <c r="D1721" s="7">
        <v>24</v>
      </c>
      <c r="E1721" s="7" t="s">
        <v>31</v>
      </c>
      <c r="J1721">
        <f t="shared" si="137"/>
        <v>63.617251162500004</v>
      </c>
      <c r="K1721">
        <v>5.31</v>
      </c>
      <c r="M1721">
        <f t="shared" si="135"/>
        <v>0</v>
      </c>
      <c r="N1721" s="7">
        <f t="shared" si="136"/>
        <v>-5.31</v>
      </c>
    </row>
    <row r="1722" spans="1:14" x14ac:dyDescent="0.3">
      <c r="A1722" t="s">
        <v>251</v>
      </c>
      <c r="B1722" s="7" t="s">
        <v>54</v>
      </c>
      <c r="C1722" s="7">
        <v>1</v>
      </c>
      <c r="D1722" s="7">
        <v>48</v>
      </c>
      <c r="E1722" s="7" t="s">
        <v>64</v>
      </c>
      <c r="J1722">
        <f t="shared" si="137"/>
        <v>63.617251162500004</v>
      </c>
      <c r="K1722">
        <v>5.31</v>
      </c>
      <c r="M1722">
        <f t="shared" si="135"/>
        <v>0</v>
      </c>
      <c r="N1722">
        <f t="shared" si="136"/>
        <v>-5.31</v>
      </c>
    </row>
    <row r="1723" spans="1:14" x14ac:dyDescent="0.3">
      <c r="A1723" t="s">
        <v>251</v>
      </c>
      <c r="B1723" s="7" t="s">
        <v>54</v>
      </c>
      <c r="C1723" s="7">
        <v>1</v>
      </c>
      <c r="D1723" s="7">
        <v>48</v>
      </c>
      <c r="E1723" s="7" t="s">
        <v>30</v>
      </c>
      <c r="J1723">
        <f t="shared" si="137"/>
        <v>63.617251162500004</v>
      </c>
      <c r="K1723">
        <v>5.31</v>
      </c>
      <c r="M1723">
        <f t="shared" si="135"/>
        <v>0</v>
      </c>
      <c r="N1723">
        <f t="shared" si="136"/>
        <v>-5.31</v>
      </c>
    </row>
    <row r="1724" spans="1:14" x14ac:dyDescent="0.3">
      <c r="A1724" t="s">
        <v>251</v>
      </c>
      <c r="B1724" s="7" t="s">
        <v>54</v>
      </c>
      <c r="C1724" s="7">
        <v>1</v>
      </c>
      <c r="D1724" s="7">
        <v>48</v>
      </c>
      <c r="E1724" s="7" t="s">
        <v>31</v>
      </c>
      <c r="J1724">
        <f t="shared" si="137"/>
        <v>63.617251162500004</v>
      </c>
      <c r="K1724">
        <v>5.31</v>
      </c>
      <c r="M1724" s="7">
        <f t="shared" si="135"/>
        <v>0</v>
      </c>
      <c r="N1724">
        <f t="shared" si="136"/>
        <v>-5.31</v>
      </c>
    </row>
    <row r="1725" spans="1:14" x14ac:dyDescent="0.3">
      <c r="A1725" t="s">
        <v>251</v>
      </c>
      <c r="B1725" t="s">
        <v>54</v>
      </c>
      <c r="C1725">
        <v>2</v>
      </c>
      <c r="D1725">
        <v>0.5</v>
      </c>
      <c r="E1725" t="s">
        <v>64</v>
      </c>
      <c r="J1725">
        <f t="shared" si="137"/>
        <v>63.617251162500004</v>
      </c>
      <c r="K1725">
        <v>5.31</v>
      </c>
      <c r="M1725" s="7">
        <f t="shared" si="135"/>
        <v>0</v>
      </c>
      <c r="N1725">
        <f t="shared" si="136"/>
        <v>-5.31</v>
      </c>
    </row>
    <row r="1726" spans="1:14" x14ac:dyDescent="0.3">
      <c r="A1726" t="s">
        <v>251</v>
      </c>
      <c r="B1726" t="s">
        <v>54</v>
      </c>
      <c r="C1726">
        <v>2</v>
      </c>
      <c r="D1726">
        <v>0.5</v>
      </c>
      <c r="E1726" t="s">
        <v>30</v>
      </c>
      <c r="J1726">
        <f t="shared" si="137"/>
        <v>63.617251162500004</v>
      </c>
      <c r="K1726">
        <v>5.31</v>
      </c>
      <c r="M1726">
        <f t="shared" si="135"/>
        <v>0</v>
      </c>
      <c r="N1726">
        <f t="shared" si="136"/>
        <v>-5.31</v>
      </c>
    </row>
    <row r="1727" spans="1:14" x14ac:dyDescent="0.3">
      <c r="A1727" t="s">
        <v>251</v>
      </c>
      <c r="B1727" t="s">
        <v>54</v>
      </c>
      <c r="C1727">
        <v>2</v>
      </c>
      <c r="D1727">
        <v>0.5</v>
      </c>
      <c r="E1727" t="s">
        <v>31</v>
      </c>
      <c r="J1727">
        <f t="shared" si="137"/>
        <v>63.617251162500004</v>
      </c>
      <c r="K1727">
        <v>5.31</v>
      </c>
      <c r="M1727">
        <f t="shared" si="135"/>
        <v>0</v>
      </c>
      <c r="N1727">
        <f t="shared" si="136"/>
        <v>-5.31</v>
      </c>
    </row>
    <row r="1728" spans="1:14" x14ac:dyDescent="0.3">
      <c r="A1728" t="s">
        <v>251</v>
      </c>
      <c r="B1728" t="s">
        <v>54</v>
      </c>
      <c r="C1728">
        <v>2</v>
      </c>
      <c r="D1728">
        <v>2</v>
      </c>
      <c r="E1728" t="s">
        <v>64</v>
      </c>
      <c r="J1728">
        <f t="shared" si="137"/>
        <v>63.617251162500004</v>
      </c>
      <c r="K1728">
        <v>5.31</v>
      </c>
      <c r="M1728">
        <f t="shared" si="135"/>
        <v>0</v>
      </c>
      <c r="N1728">
        <f t="shared" si="136"/>
        <v>-5.31</v>
      </c>
    </row>
    <row r="1729" spans="1:14" x14ac:dyDescent="0.3">
      <c r="A1729" t="s">
        <v>251</v>
      </c>
      <c r="B1729" t="s">
        <v>54</v>
      </c>
      <c r="C1729">
        <v>2</v>
      </c>
      <c r="D1729">
        <v>2</v>
      </c>
      <c r="E1729" t="s">
        <v>30</v>
      </c>
      <c r="J1729">
        <f t="shared" si="137"/>
        <v>63.617251162500004</v>
      </c>
      <c r="K1729">
        <v>5.31</v>
      </c>
      <c r="M1729">
        <f t="shared" si="135"/>
        <v>0</v>
      </c>
      <c r="N1729">
        <f t="shared" si="136"/>
        <v>-5.31</v>
      </c>
    </row>
    <row r="1730" spans="1:14" x14ac:dyDescent="0.3">
      <c r="A1730" t="s">
        <v>251</v>
      </c>
      <c r="B1730" t="s">
        <v>54</v>
      </c>
      <c r="C1730">
        <v>2</v>
      </c>
      <c r="D1730">
        <v>2</v>
      </c>
      <c r="E1730" t="s">
        <v>31</v>
      </c>
      <c r="J1730">
        <f t="shared" si="137"/>
        <v>63.617251162500004</v>
      </c>
      <c r="K1730">
        <v>5.31</v>
      </c>
      <c r="M1730">
        <f t="shared" si="135"/>
        <v>0</v>
      </c>
      <c r="N1730">
        <f t="shared" si="136"/>
        <v>-5.31</v>
      </c>
    </row>
    <row r="1731" spans="1:14" x14ac:dyDescent="0.3">
      <c r="A1731" t="s">
        <v>251</v>
      </c>
      <c r="B1731" t="s">
        <v>54</v>
      </c>
      <c r="C1731">
        <v>2</v>
      </c>
      <c r="D1731">
        <v>6</v>
      </c>
      <c r="E1731" t="s">
        <v>64</v>
      </c>
      <c r="J1731">
        <f t="shared" si="137"/>
        <v>63.617251162500004</v>
      </c>
      <c r="K1731">
        <v>5.31</v>
      </c>
      <c r="M1731">
        <f t="shared" si="135"/>
        <v>0</v>
      </c>
      <c r="N1731">
        <f t="shared" si="136"/>
        <v>-5.31</v>
      </c>
    </row>
    <row r="1732" spans="1:14" x14ac:dyDescent="0.3">
      <c r="A1732" t="s">
        <v>251</v>
      </c>
      <c r="B1732" t="s">
        <v>54</v>
      </c>
      <c r="C1732">
        <v>2</v>
      </c>
      <c r="D1732">
        <v>6</v>
      </c>
      <c r="E1732" t="s">
        <v>30</v>
      </c>
      <c r="J1732">
        <f t="shared" si="137"/>
        <v>63.617251162500004</v>
      </c>
      <c r="K1732">
        <v>5.31</v>
      </c>
      <c r="M1732">
        <f t="shared" ref="M1732:M1795" si="138">L1732*F1732</f>
        <v>0</v>
      </c>
      <c r="N1732">
        <f t="shared" si="136"/>
        <v>-5.31</v>
      </c>
    </row>
    <row r="1733" spans="1:14" x14ac:dyDescent="0.3">
      <c r="A1733" t="s">
        <v>251</v>
      </c>
      <c r="B1733" t="s">
        <v>54</v>
      </c>
      <c r="C1733">
        <v>2</v>
      </c>
      <c r="D1733">
        <v>6</v>
      </c>
      <c r="E1733" t="s">
        <v>31</v>
      </c>
      <c r="J1733">
        <f t="shared" si="137"/>
        <v>63.617251162500004</v>
      </c>
      <c r="K1733">
        <v>5.31</v>
      </c>
      <c r="M1733">
        <f t="shared" si="138"/>
        <v>0</v>
      </c>
      <c r="N1733">
        <f t="shared" si="136"/>
        <v>-5.31</v>
      </c>
    </row>
    <row r="1734" spans="1:14" x14ac:dyDescent="0.3">
      <c r="A1734" t="s">
        <v>251</v>
      </c>
      <c r="B1734" t="s">
        <v>54</v>
      </c>
      <c r="C1734">
        <v>2</v>
      </c>
      <c r="D1734">
        <v>12</v>
      </c>
      <c r="E1734" t="s">
        <v>64</v>
      </c>
      <c r="J1734">
        <f t="shared" si="137"/>
        <v>63.617251162500004</v>
      </c>
      <c r="K1734">
        <v>5.31</v>
      </c>
      <c r="M1734">
        <f t="shared" si="138"/>
        <v>0</v>
      </c>
      <c r="N1734">
        <f t="shared" si="136"/>
        <v>-5.31</v>
      </c>
    </row>
    <row r="1735" spans="1:14" x14ac:dyDescent="0.3">
      <c r="A1735" t="s">
        <v>251</v>
      </c>
      <c r="B1735" t="s">
        <v>54</v>
      </c>
      <c r="C1735">
        <v>2</v>
      </c>
      <c r="D1735">
        <v>12</v>
      </c>
      <c r="E1735" t="s">
        <v>30</v>
      </c>
      <c r="J1735">
        <f t="shared" si="137"/>
        <v>63.617251162500004</v>
      </c>
      <c r="K1735">
        <v>5.31</v>
      </c>
      <c r="M1735">
        <f t="shared" si="138"/>
        <v>0</v>
      </c>
      <c r="N1735">
        <f t="shared" si="136"/>
        <v>-5.31</v>
      </c>
    </row>
    <row r="1736" spans="1:14" x14ac:dyDescent="0.3">
      <c r="A1736" t="s">
        <v>251</v>
      </c>
      <c r="B1736" t="s">
        <v>54</v>
      </c>
      <c r="C1736">
        <v>2</v>
      </c>
      <c r="D1736">
        <v>12</v>
      </c>
      <c r="E1736" t="s">
        <v>31</v>
      </c>
      <c r="J1736">
        <f t="shared" si="137"/>
        <v>63.617251162500004</v>
      </c>
      <c r="K1736">
        <v>5.31</v>
      </c>
      <c r="M1736">
        <f t="shared" si="138"/>
        <v>0</v>
      </c>
      <c r="N1736">
        <f t="shared" si="136"/>
        <v>-5.31</v>
      </c>
    </row>
    <row r="1737" spans="1:14" x14ac:dyDescent="0.3">
      <c r="A1737" t="s">
        <v>251</v>
      </c>
      <c r="B1737" t="s">
        <v>54</v>
      </c>
      <c r="C1737">
        <v>2</v>
      </c>
      <c r="D1737">
        <v>18</v>
      </c>
      <c r="E1737" t="s">
        <v>64</v>
      </c>
      <c r="J1737">
        <f t="shared" si="137"/>
        <v>63.617251162500004</v>
      </c>
      <c r="K1737">
        <v>5.31</v>
      </c>
      <c r="M1737">
        <f t="shared" si="138"/>
        <v>0</v>
      </c>
      <c r="N1737">
        <f t="shared" si="136"/>
        <v>-5.31</v>
      </c>
    </row>
    <row r="1738" spans="1:14" x14ac:dyDescent="0.3">
      <c r="A1738" t="s">
        <v>251</v>
      </c>
      <c r="B1738" t="s">
        <v>54</v>
      </c>
      <c r="C1738">
        <v>2</v>
      </c>
      <c r="D1738">
        <v>18</v>
      </c>
      <c r="E1738" t="s">
        <v>30</v>
      </c>
      <c r="J1738">
        <f t="shared" si="137"/>
        <v>63.617251162500004</v>
      </c>
      <c r="K1738">
        <v>5.31</v>
      </c>
      <c r="M1738">
        <f t="shared" si="138"/>
        <v>0</v>
      </c>
      <c r="N1738">
        <f t="shared" si="136"/>
        <v>-5.31</v>
      </c>
    </row>
    <row r="1739" spans="1:14" x14ac:dyDescent="0.3">
      <c r="A1739" t="s">
        <v>251</v>
      </c>
      <c r="B1739" t="s">
        <v>54</v>
      </c>
      <c r="C1739">
        <v>2</v>
      </c>
      <c r="D1739">
        <v>18</v>
      </c>
      <c r="E1739" t="s">
        <v>31</v>
      </c>
      <c r="J1739">
        <f t="shared" si="137"/>
        <v>63.617251162500004</v>
      </c>
      <c r="K1739">
        <v>5.31</v>
      </c>
      <c r="M1739">
        <f t="shared" si="138"/>
        <v>0</v>
      </c>
      <c r="N1739">
        <f t="shared" si="136"/>
        <v>-5.31</v>
      </c>
    </row>
    <row r="1740" spans="1:14" x14ac:dyDescent="0.3">
      <c r="A1740" t="s">
        <v>251</v>
      </c>
      <c r="B1740" t="s">
        <v>54</v>
      </c>
      <c r="C1740">
        <v>2</v>
      </c>
      <c r="D1740">
        <v>24</v>
      </c>
      <c r="E1740" t="s">
        <v>28</v>
      </c>
      <c r="J1740">
        <f t="shared" si="137"/>
        <v>63.617251162500004</v>
      </c>
      <c r="K1740">
        <v>5.31</v>
      </c>
      <c r="M1740">
        <f t="shared" si="138"/>
        <v>0</v>
      </c>
      <c r="N1740">
        <f t="shared" si="136"/>
        <v>-5.31</v>
      </c>
    </row>
    <row r="1741" spans="1:14" x14ac:dyDescent="0.3">
      <c r="A1741" t="s">
        <v>251</v>
      </c>
      <c r="B1741" t="s">
        <v>54</v>
      </c>
      <c r="C1741">
        <v>2</v>
      </c>
      <c r="D1741">
        <v>24</v>
      </c>
      <c r="E1741" t="s">
        <v>30</v>
      </c>
      <c r="J1741">
        <f t="shared" si="137"/>
        <v>63.617251162500004</v>
      </c>
      <c r="K1741">
        <v>5.31</v>
      </c>
      <c r="M1741">
        <f t="shared" si="138"/>
        <v>0</v>
      </c>
      <c r="N1741">
        <f t="shared" si="136"/>
        <v>-5.31</v>
      </c>
    </row>
    <row r="1742" spans="1:14" x14ac:dyDescent="0.3">
      <c r="A1742" t="s">
        <v>251</v>
      </c>
      <c r="B1742" t="s">
        <v>54</v>
      </c>
      <c r="C1742">
        <v>2</v>
      </c>
      <c r="D1742">
        <v>24</v>
      </c>
      <c r="E1742" t="s">
        <v>31</v>
      </c>
      <c r="J1742">
        <f t="shared" si="137"/>
        <v>63.617251162500004</v>
      </c>
      <c r="K1742">
        <v>5.31</v>
      </c>
      <c r="M1742">
        <f t="shared" si="138"/>
        <v>0</v>
      </c>
      <c r="N1742">
        <f t="shared" si="136"/>
        <v>-5.31</v>
      </c>
    </row>
    <row r="1743" spans="1:14" x14ac:dyDescent="0.3">
      <c r="A1743" t="s">
        <v>251</v>
      </c>
      <c r="B1743" t="s">
        <v>54</v>
      </c>
      <c r="C1743">
        <v>2</v>
      </c>
      <c r="D1743">
        <v>48</v>
      </c>
      <c r="E1743" t="s">
        <v>64</v>
      </c>
      <c r="J1743">
        <f t="shared" si="137"/>
        <v>63.617251162500004</v>
      </c>
      <c r="K1743">
        <v>5.31</v>
      </c>
      <c r="M1743">
        <f t="shared" si="138"/>
        <v>0</v>
      </c>
      <c r="N1743">
        <f t="shared" si="136"/>
        <v>-5.31</v>
      </c>
    </row>
    <row r="1744" spans="1:14" x14ac:dyDescent="0.3">
      <c r="A1744" t="s">
        <v>251</v>
      </c>
      <c r="B1744" t="s">
        <v>54</v>
      </c>
      <c r="C1744">
        <v>2</v>
      </c>
      <c r="D1744">
        <v>48</v>
      </c>
      <c r="E1744" t="s">
        <v>30</v>
      </c>
      <c r="J1744">
        <f t="shared" si="137"/>
        <v>63.617251162500004</v>
      </c>
      <c r="K1744">
        <v>5.31</v>
      </c>
      <c r="M1744">
        <f t="shared" si="138"/>
        <v>0</v>
      </c>
      <c r="N1744">
        <f t="shared" si="136"/>
        <v>-5.31</v>
      </c>
    </row>
    <row r="1745" spans="1:14" x14ac:dyDescent="0.3">
      <c r="A1745" t="s">
        <v>251</v>
      </c>
      <c r="B1745" t="s">
        <v>54</v>
      </c>
      <c r="C1745">
        <v>2</v>
      </c>
      <c r="D1745">
        <v>48</v>
      </c>
      <c r="E1745" t="s">
        <v>31</v>
      </c>
      <c r="J1745">
        <f t="shared" si="137"/>
        <v>63.617251162500004</v>
      </c>
      <c r="K1745">
        <v>5.31</v>
      </c>
      <c r="M1745">
        <f t="shared" si="138"/>
        <v>0</v>
      </c>
      <c r="N1745">
        <f t="shared" si="136"/>
        <v>-5.31</v>
      </c>
    </row>
    <row r="1746" spans="1:14" x14ac:dyDescent="0.3">
      <c r="A1746" t="s">
        <v>251</v>
      </c>
      <c r="B1746" t="s">
        <v>54</v>
      </c>
      <c r="E1746" t="s">
        <v>67</v>
      </c>
      <c r="J1746">
        <f t="shared" si="137"/>
        <v>63.617251162500004</v>
      </c>
      <c r="K1746">
        <v>5.31</v>
      </c>
      <c r="M1746">
        <f t="shared" si="138"/>
        <v>0</v>
      </c>
      <c r="N1746">
        <f t="shared" si="136"/>
        <v>-5.31</v>
      </c>
    </row>
    <row r="1747" spans="1:14" x14ac:dyDescent="0.3">
      <c r="A1747" t="s">
        <v>251</v>
      </c>
      <c r="B1747" t="s">
        <v>54</v>
      </c>
      <c r="E1747" t="s">
        <v>68</v>
      </c>
      <c r="J1747">
        <f t="shared" si="137"/>
        <v>63.617251162500004</v>
      </c>
      <c r="K1747">
        <v>5.31</v>
      </c>
      <c r="M1747">
        <f t="shared" si="138"/>
        <v>0</v>
      </c>
      <c r="N1747">
        <f t="shared" si="136"/>
        <v>-5.31</v>
      </c>
    </row>
    <row r="1748" spans="1:14" x14ac:dyDescent="0.3">
      <c r="A1748" t="s">
        <v>251</v>
      </c>
      <c r="B1748" t="s">
        <v>54</v>
      </c>
      <c r="E1748" t="s">
        <v>69</v>
      </c>
      <c r="J1748">
        <f t="shared" si="137"/>
        <v>63.617251162500004</v>
      </c>
      <c r="K1748">
        <v>5.31</v>
      </c>
      <c r="M1748">
        <f t="shared" si="138"/>
        <v>0</v>
      </c>
      <c r="N1748">
        <f t="shared" si="136"/>
        <v>-5.31</v>
      </c>
    </row>
    <row r="1749" spans="1:14" x14ac:dyDescent="0.3">
      <c r="A1749" t="s">
        <v>251</v>
      </c>
      <c r="B1749" t="s">
        <v>54</v>
      </c>
      <c r="E1749" t="s">
        <v>70</v>
      </c>
      <c r="J1749">
        <f t="shared" si="137"/>
        <v>63.617251162500004</v>
      </c>
      <c r="K1749">
        <v>5.31</v>
      </c>
      <c r="M1749">
        <f t="shared" si="138"/>
        <v>0</v>
      </c>
      <c r="N1749">
        <f t="shared" si="136"/>
        <v>-5.31</v>
      </c>
    </row>
    <row r="1750" spans="1:14" x14ac:dyDescent="0.3">
      <c r="A1750" t="s">
        <v>251</v>
      </c>
      <c r="B1750" t="s">
        <v>57</v>
      </c>
      <c r="C1750">
        <v>1</v>
      </c>
      <c r="D1750">
        <v>0.5</v>
      </c>
      <c r="E1750" t="s">
        <v>64</v>
      </c>
      <c r="J1750">
        <f t="shared" si="137"/>
        <v>63.617251162500004</v>
      </c>
      <c r="K1750">
        <v>5.31</v>
      </c>
      <c r="M1750">
        <f t="shared" si="138"/>
        <v>0</v>
      </c>
      <c r="N1750">
        <f t="shared" si="136"/>
        <v>-5.31</v>
      </c>
    </row>
    <row r="1751" spans="1:14" x14ac:dyDescent="0.3">
      <c r="A1751" t="s">
        <v>251</v>
      </c>
      <c r="B1751" t="s">
        <v>57</v>
      </c>
      <c r="C1751">
        <v>1</v>
      </c>
      <c r="D1751">
        <v>0.5</v>
      </c>
      <c r="E1751" t="s">
        <v>30</v>
      </c>
      <c r="J1751">
        <f t="shared" si="137"/>
        <v>63.617251162500004</v>
      </c>
      <c r="K1751">
        <v>5.31</v>
      </c>
      <c r="M1751">
        <f t="shared" si="138"/>
        <v>0</v>
      </c>
      <c r="N1751">
        <f t="shared" si="136"/>
        <v>-5.31</v>
      </c>
    </row>
    <row r="1752" spans="1:14" x14ac:dyDescent="0.3">
      <c r="A1752" t="s">
        <v>251</v>
      </c>
      <c r="B1752" t="s">
        <v>57</v>
      </c>
      <c r="C1752">
        <v>1</v>
      </c>
      <c r="D1752">
        <v>0.5</v>
      </c>
      <c r="E1752" t="s">
        <v>31</v>
      </c>
      <c r="J1752">
        <f t="shared" si="137"/>
        <v>63.617251162500004</v>
      </c>
      <c r="K1752">
        <v>5.31</v>
      </c>
      <c r="M1752">
        <f t="shared" si="138"/>
        <v>0</v>
      </c>
      <c r="N1752">
        <f t="shared" ref="N1752:N1815" si="139">L1752*J1752-K1752</f>
        <v>-5.31</v>
      </c>
    </row>
    <row r="1753" spans="1:14" x14ac:dyDescent="0.3">
      <c r="A1753" t="s">
        <v>251</v>
      </c>
      <c r="B1753" t="s">
        <v>57</v>
      </c>
      <c r="C1753">
        <v>1</v>
      </c>
      <c r="D1753">
        <v>2</v>
      </c>
      <c r="E1753" t="s">
        <v>64</v>
      </c>
      <c r="J1753">
        <f t="shared" si="137"/>
        <v>63.617251162500004</v>
      </c>
      <c r="K1753">
        <v>5.31</v>
      </c>
      <c r="M1753">
        <f t="shared" si="138"/>
        <v>0</v>
      </c>
      <c r="N1753">
        <f t="shared" si="139"/>
        <v>-5.31</v>
      </c>
    </row>
    <row r="1754" spans="1:14" x14ac:dyDescent="0.3">
      <c r="A1754" t="s">
        <v>251</v>
      </c>
      <c r="B1754" t="s">
        <v>57</v>
      </c>
      <c r="C1754">
        <v>1</v>
      </c>
      <c r="D1754">
        <v>2</v>
      </c>
      <c r="E1754" t="s">
        <v>30</v>
      </c>
      <c r="J1754">
        <f t="shared" si="137"/>
        <v>63.617251162500004</v>
      </c>
      <c r="K1754">
        <v>5.31</v>
      </c>
      <c r="M1754">
        <f t="shared" si="138"/>
        <v>0</v>
      </c>
      <c r="N1754">
        <f t="shared" si="139"/>
        <v>-5.31</v>
      </c>
    </row>
    <row r="1755" spans="1:14" x14ac:dyDescent="0.3">
      <c r="A1755" t="s">
        <v>251</v>
      </c>
      <c r="B1755" t="s">
        <v>57</v>
      </c>
      <c r="C1755">
        <v>1</v>
      </c>
      <c r="D1755">
        <v>2</v>
      </c>
      <c r="E1755" t="s">
        <v>31</v>
      </c>
      <c r="J1755">
        <f t="shared" si="137"/>
        <v>63.617251162500004</v>
      </c>
      <c r="K1755">
        <v>5.31</v>
      </c>
      <c r="M1755">
        <f t="shared" si="138"/>
        <v>0</v>
      </c>
      <c r="N1755">
        <f t="shared" si="139"/>
        <v>-5.31</v>
      </c>
    </row>
    <row r="1756" spans="1:14" x14ac:dyDescent="0.3">
      <c r="A1756" t="s">
        <v>251</v>
      </c>
      <c r="B1756" t="s">
        <v>57</v>
      </c>
      <c r="C1756">
        <v>1</v>
      </c>
      <c r="D1756">
        <v>6</v>
      </c>
      <c r="E1756" t="s">
        <v>64</v>
      </c>
      <c r="J1756">
        <f t="shared" si="137"/>
        <v>63.617251162500004</v>
      </c>
      <c r="K1756">
        <v>5.31</v>
      </c>
      <c r="M1756">
        <f t="shared" si="138"/>
        <v>0</v>
      </c>
      <c r="N1756">
        <f t="shared" si="139"/>
        <v>-5.31</v>
      </c>
    </row>
    <row r="1757" spans="1:14" x14ac:dyDescent="0.3">
      <c r="A1757" t="s">
        <v>251</v>
      </c>
      <c r="B1757" t="s">
        <v>57</v>
      </c>
      <c r="C1757">
        <v>1</v>
      </c>
      <c r="D1757">
        <v>6</v>
      </c>
      <c r="E1757" t="s">
        <v>30</v>
      </c>
      <c r="J1757">
        <f t="shared" si="137"/>
        <v>63.617251162500004</v>
      </c>
      <c r="K1757">
        <v>5.31</v>
      </c>
      <c r="M1757">
        <f t="shared" si="138"/>
        <v>0</v>
      </c>
      <c r="N1757">
        <f t="shared" si="139"/>
        <v>-5.31</v>
      </c>
    </row>
    <row r="1758" spans="1:14" x14ac:dyDescent="0.3">
      <c r="A1758" t="s">
        <v>251</v>
      </c>
      <c r="B1758" t="s">
        <v>57</v>
      </c>
      <c r="C1758">
        <v>1</v>
      </c>
      <c r="D1758">
        <v>6</v>
      </c>
      <c r="E1758" t="s">
        <v>31</v>
      </c>
      <c r="J1758">
        <f t="shared" si="137"/>
        <v>63.617251162500004</v>
      </c>
      <c r="K1758">
        <v>5.31</v>
      </c>
      <c r="M1758">
        <f t="shared" si="138"/>
        <v>0</v>
      </c>
      <c r="N1758">
        <f t="shared" si="139"/>
        <v>-5.31</v>
      </c>
    </row>
    <row r="1759" spans="1:14" x14ac:dyDescent="0.3">
      <c r="A1759" t="s">
        <v>251</v>
      </c>
      <c r="B1759" t="s">
        <v>57</v>
      </c>
      <c r="C1759">
        <v>1</v>
      </c>
      <c r="D1759">
        <v>12</v>
      </c>
      <c r="E1759" t="s">
        <v>64</v>
      </c>
      <c r="J1759">
        <f t="shared" si="137"/>
        <v>63.617251162500004</v>
      </c>
      <c r="K1759">
        <v>5.31</v>
      </c>
      <c r="M1759">
        <f t="shared" si="138"/>
        <v>0</v>
      </c>
      <c r="N1759">
        <f t="shared" si="139"/>
        <v>-5.31</v>
      </c>
    </row>
    <row r="1760" spans="1:14" x14ac:dyDescent="0.3">
      <c r="A1760" t="s">
        <v>251</v>
      </c>
      <c r="B1760" t="s">
        <v>57</v>
      </c>
      <c r="C1760">
        <v>1</v>
      </c>
      <c r="D1760">
        <v>12</v>
      </c>
      <c r="E1760" t="s">
        <v>30</v>
      </c>
      <c r="J1760">
        <f t="shared" si="137"/>
        <v>63.617251162500004</v>
      </c>
      <c r="K1760">
        <v>5.31</v>
      </c>
      <c r="M1760">
        <f t="shared" si="138"/>
        <v>0</v>
      </c>
      <c r="N1760">
        <f t="shared" si="139"/>
        <v>-5.31</v>
      </c>
    </row>
    <row r="1761" spans="1:14" x14ac:dyDescent="0.3">
      <c r="A1761" t="s">
        <v>251</v>
      </c>
      <c r="B1761" t="s">
        <v>57</v>
      </c>
      <c r="C1761">
        <v>1</v>
      </c>
      <c r="D1761">
        <v>12</v>
      </c>
      <c r="E1761" t="s">
        <v>31</v>
      </c>
      <c r="J1761">
        <f t="shared" si="137"/>
        <v>63.617251162500004</v>
      </c>
      <c r="K1761">
        <v>5.31</v>
      </c>
      <c r="M1761">
        <f t="shared" si="138"/>
        <v>0</v>
      </c>
      <c r="N1761">
        <f t="shared" si="139"/>
        <v>-5.31</v>
      </c>
    </row>
    <row r="1762" spans="1:14" x14ac:dyDescent="0.3">
      <c r="A1762" t="s">
        <v>251</v>
      </c>
      <c r="B1762" t="s">
        <v>57</v>
      </c>
      <c r="C1762">
        <v>1</v>
      </c>
      <c r="D1762">
        <v>18</v>
      </c>
      <c r="E1762" t="s">
        <v>64</v>
      </c>
      <c r="J1762">
        <f t="shared" si="137"/>
        <v>63.617251162500004</v>
      </c>
      <c r="K1762">
        <v>5.31</v>
      </c>
      <c r="M1762">
        <f t="shared" si="138"/>
        <v>0</v>
      </c>
      <c r="N1762">
        <f t="shared" si="139"/>
        <v>-5.31</v>
      </c>
    </row>
    <row r="1763" spans="1:14" x14ac:dyDescent="0.3">
      <c r="A1763" t="s">
        <v>251</v>
      </c>
      <c r="B1763" t="s">
        <v>57</v>
      </c>
      <c r="C1763">
        <v>1</v>
      </c>
      <c r="D1763">
        <v>18</v>
      </c>
      <c r="E1763" t="s">
        <v>30</v>
      </c>
      <c r="J1763">
        <f t="shared" si="137"/>
        <v>63.617251162500004</v>
      </c>
      <c r="K1763">
        <v>5.31</v>
      </c>
      <c r="M1763">
        <f t="shared" si="138"/>
        <v>0</v>
      </c>
      <c r="N1763">
        <f t="shared" si="139"/>
        <v>-5.31</v>
      </c>
    </row>
    <row r="1764" spans="1:14" x14ac:dyDescent="0.3">
      <c r="A1764" t="s">
        <v>251</v>
      </c>
      <c r="B1764" t="s">
        <v>57</v>
      </c>
      <c r="C1764">
        <v>1</v>
      </c>
      <c r="D1764">
        <v>18</v>
      </c>
      <c r="E1764" t="s">
        <v>31</v>
      </c>
      <c r="J1764">
        <f t="shared" si="137"/>
        <v>63.617251162500004</v>
      </c>
      <c r="K1764">
        <v>5.31</v>
      </c>
      <c r="M1764">
        <f t="shared" si="138"/>
        <v>0</v>
      </c>
      <c r="N1764">
        <f t="shared" si="139"/>
        <v>-5.31</v>
      </c>
    </row>
    <row r="1765" spans="1:14" x14ac:dyDescent="0.3">
      <c r="A1765" t="s">
        <v>251</v>
      </c>
      <c r="B1765" t="s">
        <v>57</v>
      </c>
      <c r="C1765">
        <v>1</v>
      </c>
      <c r="D1765">
        <v>24</v>
      </c>
      <c r="E1765" t="s">
        <v>28</v>
      </c>
      <c r="J1765">
        <f t="shared" si="137"/>
        <v>63.617251162500004</v>
      </c>
      <c r="K1765">
        <v>5.31</v>
      </c>
      <c r="M1765">
        <f t="shared" si="138"/>
        <v>0</v>
      </c>
      <c r="N1765">
        <f t="shared" si="139"/>
        <v>-5.31</v>
      </c>
    </row>
    <row r="1766" spans="1:14" x14ac:dyDescent="0.3">
      <c r="A1766" t="s">
        <v>251</v>
      </c>
      <c r="B1766" t="s">
        <v>57</v>
      </c>
      <c r="C1766">
        <v>1</v>
      </c>
      <c r="D1766">
        <v>24</v>
      </c>
      <c r="E1766" t="s">
        <v>30</v>
      </c>
      <c r="J1766">
        <f t="shared" si="137"/>
        <v>63.617251162500004</v>
      </c>
      <c r="K1766">
        <v>5.31</v>
      </c>
      <c r="M1766">
        <f t="shared" si="138"/>
        <v>0</v>
      </c>
      <c r="N1766">
        <f t="shared" si="139"/>
        <v>-5.31</v>
      </c>
    </row>
    <row r="1767" spans="1:14" x14ac:dyDescent="0.3">
      <c r="A1767" t="s">
        <v>251</v>
      </c>
      <c r="B1767" t="s">
        <v>57</v>
      </c>
      <c r="C1767">
        <v>1</v>
      </c>
      <c r="D1767">
        <v>24</v>
      </c>
      <c r="E1767" t="s">
        <v>31</v>
      </c>
      <c r="J1767">
        <f t="shared" si="137"/>
        <v>63.617251162500004</v>
      </c>
      <c r="K1767">
        <v>5.31</v>
      </c>
      <c r="M1767">
        <f t="shared" si="138"/>
        <v>0</v>
      </c>
      <c r="N1767">
        <f t="shared" si="139"/>
        <v>-5.31</v>
      </c>
    </row>
    <row r="1768" spans="1:14" x14ac:dyDescent="0.3">
      <c r="A1768" t="s">
        <v>251</v>
      </c>
      <c r="B1768" t="s">
        <v>57</v>
      </c>
      <c r="C1768">
        <v>1</v>
      </c>
      <c r="D1768">
        <v>48</v>
      </c>
      <c r="E1768" t="s">
        <v>64</v>
      </c>
      <c r="J1768">
        <f t="shared" si="137"/>
        <v>63.617251162500004</v>
      </c>
      <c r="K1768">
        <v>5.31</v>
      </c>
      <c r="M1768">
        <f t="shared" si="138"/>
        <v>0</v>
      </c>
      <c r="N1768">
        <f t="shared" si="139"/>
        <v>-5.31</v>
      </c>
    </row>
    <row r="1769" spans="1:14" x14ac:dyDescent="0.3">
      <c r="A1769" t="s">
        <v>251</v>
      </c>
      <c r="B1769" t="s">
        <v>57</v>
      </c>
      <c r="C1769">
        <v>1</v>
      </c>
      <c r="D1769">
        <v>48</v>
      </c>
      <c r="E1769" t="s">
        <v>30</v>
      </c>
      <c r="J1769">
        <f t="shared" si="137"/>
        <v>63.617251162500004</v>
      </c>
      <c r="K1769">
        <v>5.31</v>
      </c>
      <c r="M1769">
        <f t="shared" si="138"/>
        <v>0</v>
      </c>
      <c r="N1769">
        <f t="shared" si="139"/>
        <v>-5.31</v>
      </c>
    </row>
    <row r="1770" spans="1:14" x14ac:dyDescent="0.3">
      <c r="A1770" t="s">
        <v>251</v>
      </c>
      <c r="B1770" t="s">
        <v>57</v>
      </c>
      <c r="C1770">
        <v>1</v>
      </c>
      <c r="D1770">
        <v>48</v>
      </c>
      <c r="E1770" t="s">
        <v>31</v>
      </c>
      <c r="J1770">
        <f t="shared" si="137"/>
        <v>63.617251162500004</v>
      </c>
      <c r="K1770">
        <v>5.31</v>
      </c>
      <c r="M1770">
        <f t="shared" si="138"/>
        <v>0</v>
      </c>
      <c r="N1770">
        <f t="shared" si="139"/>
        <v>-5.31</v>
      </c>
    </row>
    <row r="1771" spans="1:14" x14ac:dyDescent="0.3">
      <c r="A1771" t="s">
        <v>251</v>
      </c>
      <c r="B1771" t="s">
        <v>57</v>
      </c>
      <c r="C1771">
        <v>2</v>
      </c>
      <c r="D1771">
        <v>0.5</v>
      </c>
      <c r="E1771" t="s">
        <v>64</v>
      </c>
      <c r="J1771">
        <f t="shared" si="137"/>
        <v>63.617251162500004</v>
      </c>
      <c r="K1771">
        <v>5.31</v>
      </c>
      <c r="M1771">
        <f t="shared" si="138"/>
        <v>0</v>
      </c>
      <c r="N1771">
        <f t="shared" si="139"/>
        <v>-5.31</v>
      </c>
    </row>
    <row r="1772" spans="1:14" x14ac:dyDescent="0.3">
      <c r="A1772" t="s">
        <v>251</v>
      </c>
      <c r="B1772" t="s">
        <v>57</v>
      </c>
      <c r="C1772">
        <v>2</v>
      </c>
      <c r="D1772">
        <v>0.5</v>
      </c>
      <c r="E1772" t="s">
        <v>30</v>
      </c>
      <c r="J1772">
        <f t="shared" ref="J1772:J1835" si="140">4.5*4.5*3.14159265</f>
        <v>63.617251162500004</v>
      </c>
      <c r="K1772">
        <v>5.31</v>
      </c>
      <c r="M1772">
        <f t="shared" si="138"/>
        <v>0</v>
      </c>
      <c r="N1772">
        <f t="shared" si="139"/>
        <v>-5.31</v>
      </c>
    </row>
    <row r="1773" spans="1:14" x14ac:dyDescent="0.3">
      <c r="A1773" t="s">
        <v>251</v>
      </c>
      <c r="B1773" t="s">
        <v>57</v>
      </c>
      <c r="C1773">
        <v>2</v>
      </c>
      <c r="D1773">
        <v>0.5</v>
      </c>
      <c r="E1773" t="s">
        <v>31</v>
      </c>
      <c r="J1773">
        <f t="shared" si="140"/>
        <v>63.617251162500004</v>
      </c>
      <c r="K1773">
        <v>5.31</v>
      </c>
      <c r="M1773">
        <f t="shared" si="138"/>
        <v>0</v>
      </c>
      <c r="N1773">
        <f t="shared" si="139"/>
        <v>-5.31</v>
      </c>
    </row>
    <row r="1774" spans="1:14" x14ac:dyDescent="0.3">
      <c r="A1774" t="s">
        <v>251</v>
      </c>
      <c r="B1774" t="s">
        <v>57</v>
      </c>
      <c r="C1774">
        <v>2</v>
      </c>
      <c r="D1774">
        <v>2</v>
      </c>
      <c r="E1774" t="s">
        <v>64</v>
      </c>
      <c r="J1774">
        <f t="shared" si="140"/>
        <v>63.617251162500004</v>
      </c>
      <c r="K1774">
        <v>5.31</v>
      </c>
      <c r="M1774">
        <f t="shared" si="138"/>
        <v>0</v>
      </c>
      <c r="N1774">
        <f t="shared" si="139"/>
        <v>-5.31</v>
      </c>
    </row>
    <row r="1775" spans="1:14" x14ac:dyDescent="0.3">
      <c r="A1775" t="s">
        <v>251</v>
      </c>
      <c r="B1775" t="s">
        <v>57</v>
      </c>
      <c r="C1775">
        <v>2</v>
      </c>
      <c r="D1775">
        <v>2</v>
      </c>
      <c r="E1775" t="s">
        <v>30</v>
      </c>
      <c r="J1775">
        <f t="shared" si="140"/>
        <v>63.617251162500004</v>
      </c>
      <c r="K1775">
        <v>5.31</v>
      </c>
      <c r="M1775">
        <f t="shared" si="138"/>
        <v>0</v>
      </c>
      <c r="N1775">
        <f t="shared" si="139"/>
        <v>-5.31</v>
      </c>
    </row>
    <row r="1776" spans="1:14" x14ac:dyDescent="0.3">
      <c r="A1776" t="s">
        <v>251</v>
      </c>
      <c r="B1776" t="s">
        <v>57</v>
      </c>
      <c r="C1776">
        <v>2</v>
      </c>
      <c r="D1776">
        <v>2</v>
      </c>
      <c r="E1776" t="s">
        <v>31</v>
      </c>
      <c r="J1776">
        <f t="shared" si="140"/>
        <v>63.617251162500004</v>
      </c>
      <c r="K1776">
        <v>5.31</v>
      </c>
      <c r="M1776">
        <f t="shared" si="138"/>
        <v>0</v>
      </c>
      <c r="N1776">
        <f t="shared" si="139"/>
        <v>-5.31</v>
      </c>
    </row>
    <row r="1777" spans="1:14" x14ac:dyDescent="0.3">
      <c r="A1777" t="s">
        <v>251</v>
      </c>
      <c r="B1777" t="s">
        <v>57</v>
      </c>
      <c r="C1777">
        <v>2</v>
      </c>
      <c r="D1777">
        <v>6</v>
      </c>
      <c r="E1777" t="s">
        <v>64</v>
      </c>
      <c r="J1777">
        <f t="shared" si="140"/>
        <v>63.617251162500004</v>
      </c>
      <c r="K1777">
        <v>5.31</v>
      </c>
      <c r="M1777">
        <f t="shared" si="138"/>
        <v>0</v>
      </c>
      <c r="N1777">
        <f t="shared" si="139"/>
        <v>-5.31</v>
      </c>
    </row>
    <row r="1778" spans="1:14" x14ac:dyDescent="0.3">
      <c r="A1778" t="s">
        <v>251</v>
      </c>
      <c r="B1778" t="s">
        <v>57</v>
      </c>
      <c r="C1778">
        <v>2</v>
      </c>
      <c r="D1778">
        <v>6</v>
      </c>
      <c r="E1778" t="s">
        <v>30</v>
      </c>
      <c r="J1778">
        <f t="shared" si="140"/>
        <v>63.617251162500004</v>
      </c>
      <c r="K1778">
        <v>5.31</v>
      </c>
      <c r="M1778">
        <f t="shared" si="138"/>
        <v>0</v>
      </c>
      <c r="N1778">
        <f t="shared" si="139"/>
        <v>-5.31</v>
      </c>
    </row>
    <row r="1779" spans="1:14" x14ac:dyDescent="0.3">
      <c r="A1779" t="s">
        <v>251</v>
      </c>
      <c r="B1779" t="s">
        <v>57</v>
      </c>
      <c r="C1779">
        <v>2</v>
      </c>
      <c r="D1779">
        <v>6</v>
      </c>
      <c r="E1779" t="s">
        <v>31</v>
      </c>
      <c r="J1779">
        <f t="shared" si="140"/>
        <v>63.617251162500004</v>
      </c>
      <c r="K1779">
        <v>5.31</v>
      </c>
      <c r="M1779">
        <f t="shared" si="138"/>
        <v>0</v>
      </c>
      <c r="N1779">
        <f t="shared" si="139"/>
        <v>-5.31</v>
      </c>
    </row>
    <row r="1780" spans="1:14" x14ac:dyDescent="0.3">
      <c r="A1780" t="s">
        <v>251</v>
      </c>
      <c r="B1780" t="s">
        <v>57</v>
      </c>
      <c r="C1780">
        <v>2</v>
      </c>
      <c r="D1780">
        <v>12</v>
      </c>
      <c r="E1780" t="s">
        <v>64</v>
      </c>
      <c r="J1780">
        <f t="shared" si="140"/>
        <v>63.617251162500004</v>
      </c>
      <c r="K1780">
        <v>5.31</v>
      </c>
      <c r="M1780">
        <f t="shared" si="138"/>
        <v>0</v>
      </c>
      <c r="N1780">
        <f t="shared" si="139"/>
        <v>-5.31</v>
      </c>
    </row>
    <row r="1781" spans="1:14" x14ac:dyDescent="0.3">
      <c r="A1781" t="s">
        <v>251</v>
      </c>
      <c r="B1781" t="s">
        <v>57</v>
      </c>
      <c r="C1781">
        <v>2</v>
      </c>
      <c r="D1781">
        <v>12</v>
      </c>
      <c r="E1781" t="s">
        <v>30</v>
      </c>
      <c r="J1781">
        <f t="shared" si="140"/>
        <v>63.617251162500004</v>
      </c>
      <c r="K1781">
        <v>5.31</v>
      </c>
      <c r="M1781">
        <f t="shared" si="138"/>
        <v>0</v>
      </c>
      <c r="N1781">
        <f t="shared" si="139"/>
        <v>-5.31</v>
      </c>
    </row>
    <row r="1782" spans="1:14" x14ac:dyDescent="0.3">
      <c r="A1782" t="s">
        <v>251</v>
      </c>
      <c r="B1782" t="s">
        <v>57</v>
      </c>
      <c r="C1782">
        <v>2</v>
      </c>
      <c r="D1782">
        <v>12</v>
      </c>
      <c r="E1782" t="s">
        <v>31</v>
      </c>
      <c r="J1782">
        <f t="shared" si="140"/>
        <v>63.617251162500004</v>
      </c>
      <c r="K1782">
        <v>5.31</v>
      </c>
      <c r="M1782">
        <f t="shared" si="138"/>
        <v>0</v>
      </c>
      <c r="N1782">
        <f t="shared" si="139"/>
        <v>-5.31</v>
      </c>
    </row>
    <row r="1783" spans="1:14" x14ac:dyDescent="0.3">
      <c r="A1783" t="s">
        <v>251</v>
      </c>
      <c r="B1783" t="s">
        <v>57</v>
      </c>
      <c r="C1783">
        <v>2</v>
      </c>
      <c r="D1783">
        <v>18</v>
      </c>
      <c r="E1783" t="s">
        <v>64</v>
      </c>
      <c r="J1783">
        <f t="shared" si="140"/>
        <v>63.617251162500004</v>
      </c>
      <c r="K1783">
        <v>5.31</v>
      </c>
      <c r="M1783">
        <f t="shared" si="138"/>
        <v>0</v>
      </c>
      <c r="N1783">
        <f t="shared" si="139"/>
        <v>-5.31</v>
      </c>
    </row>
    <row r="1784" spans="1:14" x14ac:dyDescent="0.3">
      <c r="A1784" t="s">
        <v>251</v>
      </c>
      <c r="B1784" t="s">
        <v>57</v>
      </c>
      <c r="C1784">
        <v>2</v>
      </c>
      <c r="D1784">
        <v>18</v>
      </c>
      <c r="E1784" t="s">
        <v>30</v>
      </c>
      <c r="J1784">
        <f t="shared" si="140"/>
        <v>63.617251162500004</v>
      </c>
      <c r="K1784">
        <v>5.31</v>
      </c>
      <c r="M1784">
        <f t="shared" si="138"/>
        <v>0</v>
      </c>
      <c r="N1784">
        <f t="shared" si="139"/>
        <v>-5.31</v>
      </c>
    </row>
    <row r="1785" spans="1:14" x14ac:dyDescent="0.3">
      <c r="A1785" t="s">
        <v>251</v>
      </c>
      <c r="B1785" t="s">
        <v>57</v>
      </c>
      <c r="C1785">
        <v>2</v>
      </c>
      <c r="D1785">
        <v>18</v>
      </c>
      <c r="E1785" t="s">
        <v>31</v>
      </c>
      <c r="J1785">
        <f t="shared" si="140"/>
        <v>63.617251162500004</v>
      </c>
      <c r="K1785">
        <v>5.31</v>
      </c>
      <c r="M1785">
        <f t="shared" si="138"/>
        <v>0</v>
      </c>
      <c r="N1785">
        <f t="shared" si="139"/>
        <v>-5.31</v>
      </c>
    </row>
    <row r="1786" spans="1:14" x14ac:dyDescent="0.3">
      <c r="A1786" t="s">
        <v>251</v>
      </c>
      <c r="B1786" t="s">
        <v>57</v>
      </c>
      <c r="C1786">
        <v>2</v>
      </c>
      <c r="D1786">
        <v>24</v>
      </c>
      <c r="E1786" t="s">
        <v>28</v>
      </c>
      <c r="J1786">
        <f t="shared" si="140"/>
        <v>63.617251162500004</v>
      </c>
      <c r="K1786">
        <v>5.31</v>
      </c>
      <c r="M1786">
        <f t="shared" si="138"/>
        <v>0</v>
      </c>
      <c r="N1786">
        <f t="shared" si="139"/>
        <v>-5.31</v>
      </c>
    </row>
    <row r="1787" spans="1:14" x14ac:dyDescent="0.3">
      <c r="A1787" t="s">
        <v>251</v>
      </c>
      <c r="B1787" t="s">
        <v>57</v>
      </c>
      <c r="C1787">
        <v>2</v>
      </c>
      <c r="D1787">
        <v>24</v>
      </c>
      <c r="E1787" t="s">
        <v>30</v>
      </c>
      <c r="J1787">
        <f t="shared" si="140"/>
        <v>63.617251162500004</v>
      </c>
      <c r="K1787">
        <v>5.31</v>
      </c>
      <c r="M1787">
        <f t="shared" si="138"/>
        <v>0</v>
      </c>
      <c r="N1787">
        <f t="shared" si="139"/>
        <v>-5.31</v>
      </c>
    </row>
    <row r="1788" spans="1:14" x14ac:dyDescent="0.3">
      <c r="A1788" t="s">
        <v>251</v>
      </c>
      <c r="B1788" t="s">
        <v>57</v>
      </c>
      <c r="C1788">
        <v>2</v>
      </c>
      <c r="D1788">
        <v>24</v>
      </c>
      <c r="E1788" t="s">
        <v>31</v>
      </c>
      <c r="J1788">
        <f t="shared" si="140"/>
        <v>63.617251162500004</v>
      </c>
      <c r="K1788">
        <v>5.31</v>
      </c>
      <c r="M1788">
        <f t="shared" si="138"/>
        <v>0</v>
      </c>
      <c r="N1788">
        <f t="shared" si="139"/>
        <v>-5.31</v>
      </c>
    </row>
    <row r="1789" spans="1:14" x14ac:dyDescent="0.3">
      <c r="A1789" t="s">
        <v>251</v>
      </c>
      <c r="B1789" t="s">
        <v>57</v>
      </c>
      <c r="C1789">
        <v>2</v>
      </c>
      <c r="D1789">
        <v>48</v>
      </c>
      <c r="E1789" t="s">
        <v>64</v>
      </c>
      <c r="J1789">
        <f t="shared" si="140"/>
        <v>63.617251162500004</v>
      </c>
      <c r="K1789">
        <v>5.31</v>
      </c>
      <c r="M1789">
        <f t="shared" si="138"/>
        <v>0</v>
      </c>
      <c r="N1789">
        <f t="shared" si="139"/>
        <v>-5.31</v>
      </c>
    </row>
    <row r="1790" spans="1:14" x14ac:dyDescent="0.3">
      <c r="A1790" t="s">
        <v>251</v>
      </c>
      <c r="B1790" t="s">
        <v>57</v>
      </c>
      <c r="C1790">
        <v>2</v>
      </c>
      <c r="D1790">
        <v>48</v>
      </c>
      <c r="E1790" t="s">
        <v>30</v>
      </c>
      <c r="J1790">
        <f t="shared" si="140"/>
        <v>63.617251162500004</v>
      </c>
      <c r="K1790">
        <v>5.31</v>
      </c>
      <c r="M1790">
        <f t="shared" si="138"/>
        <v>0</v>
      </c>
      <c r="N1790">
        <f t="shared" si="139"/>
        <v>-5.31</v>
      </c>
    </row>
    <row r="1791" spans="1:14" x14ac:dyDescent="0.3">
      <c r="A1791" t="s">
        <v>251</v>
      </c>
      <c r="B1791" t="s">
        <v>57</v>
      </c>
      <c r="C1791">
        <v>2</v>
      </c>
      <c r="D1791">
        <v>48</v>
      </c>
      <c r="E1791" t="s">
        <v>31</v>
      </c>
      <c r="J1791">
        <f t="shared" si="140"/>
        <v>63.617251162500004</v>
      </c>
      <c r="K1791">
        <v>5.31</v>
      </c>
      <c r="M1791">
        <f t="shared" si="138"/>
        <v>0</v>
      </c>
      <c r="N1791">
        <f t="shared" si="139"/>
        <v>-5.31</v>
      </c>
    </row>
    <row r="1792" spans="1:14" x14ac:dyDescent="0.3">
      <c r="A1792" t="s">
        <v>251</v>
      </c>
      <c r="B1792" t="s">
        <v>57</v>
      </c>
      <c r="E1792" t="s">
        <v>67</v>
      </c>
      <c r="J1792">
        <f t="shared" si="140"/>
        <v>63.617251162500004</v>
      </c>
      <c r="K1792">
        <v>5.31</v>
      </c>
      <c r="M1792">
        <f t="shared" si="138"/>
        <v>0</v>
      </c>
      <c r="N1792">
        <f t="shared" si="139"/>
        <v>-5.31</v>
      </c>
    </row>
    <row r="1793" spans="1:14" x14ac:dyDescent="0.3">
      <c r="A1793" t="s">
        <v>251</v>
      </c>
      <c r="B1793" t="s">
        <v>57</v>
      </c>
      <c r="E1793" t="s">
        <v>68</v>
      </c>
      <c r="J1793">
        <f t="shared" si="140"/>
        <v>63.617251162500004</v>
      </c>
      <c r="K1793">
        <v>5.31</v>
      </c>
      <c r="M1793">
        <f t="shared" si="138"/>
        <v>0</v>
      </c>
      <c r="N1793">
        <f t="shared" si="139"/>
        <v>-5.31</v>
      </c>
    </row>
    <row r="1794" spans="1:14" x14ac:dyDescent="0.3">
      <c r="A1794" t="s">
        <v>251</v>
      </c>
      <c r="B1794" t="s">
        <v>57</v>
      </c>
      <c r="E1794" t="s">
        <v>69</v>
      </c>
      <c r="J1794">
        <f t="shared" si="140"/>
        <v>63.617251162500004</v>
      </c>
      <c r="K1794">
        <v>5.31</v>
      </c>
      <c r="M1794">
        <f t="shared" si="138"/>
        <v>0</v>
      </c>
      <c r="N1794">
        <f t="shared" si="139"/>
        <v>-5.31</v>
      </c>
    </row>
    <row r="1795" spans="1:14" x14ac:dyDescent="0.3">
      <c r="A1795" t="s">
        <v>251</v>
      </c>
      <c r="B1795" t="s">
        <v>57</v>
      </c>
      <c r="E1795" t="s">
        <v>70</v>
      </c>
      <c r="J1795">
        <f t="shared" si="140"/>
        <v>63.617251162500004</v>
      </c>
      <c r="K1795">
        <v>5.31</v>
      </c>
      <c r="M1795">
        <f t="shared" si="138"/>
        <v>0</v>
      </c>
      <c r="N1795">
        <f t="shared" si="139"/>
        <v>-5.31</v>
      </c>
    </row>
    <row r="1796" spans="1:14" x14ac:dyDescent="0.3">
      <c r="A1796" t="s">
        <v>252</v>
      </c>
      <c r="B1796" t="s">
        <v>61</v>
      </c>
      <c r="C1796">
        <v>1</v>
      </c>
      <c r="D1796">
        <v>0.5</v>
      </c>
      <c r="E1796" t="s">
        <v>28</v>
      </c>
      <c r="J1796">
        <f t="shared" si="140"/>
        <v>63.617251162500004</v>
      </c>
      <c r="K1796">
        <v>5.31</v>
      </c>
      <c r="M1796">
        <f t="shared" ref="M1796:M1859" si="141">L1796*F1796</f>
        <v>0</v>
      </c>
      <c r="N1796">
        <f t="shared" si="139"/>
        <v>-5.31</v>
      </c>
    </row>
    <row r="1797" spans="1:14" x14ac:dyDescent="0.3">
      <c r="A1797" t="s">
        <v>252</v>
      </c>
      <c r="B1797" t="s">
        <v>61</v>
      </c>
      <c r="C1797">
        <v>1</v>
      </c>
      <c r="D1797">
        <v>0.5</v>
      </c>
      <c r="E1797" t="s">
        <v>30</v>
      </c>
      <c r="J1797">
        <f t="shared" si="140"/>
        <v>63.617251162500004</v>
      </c>
      <c r="K1797">
        <v>5.31</v>
      </c>
      <c r="M1797">
        <f t="shared" si="141"/>
        <v>0</v>
      </c>
      <c r="N1797">
        <f t="shared" si="139"/>
        <v>-5.31</v>
      </c>
    </row>
    <row r="1798" spans="1:14" x14ac:dyDescent="0.3">
      <c r="A1798" t="s">
        <v>252</v>
      </c>
      <c r="B1798" t="s">
        <v>61</v>
      </c>
      <c r="C1798">
        <v>1</v>
      </c>
      <c r="D1798">
        <v>0.5</v>
      </c>
      <c r="E1798" t="s">
        <v>31</v>
      </c>
      <c r="J1798">
        <f t="shared" si="140"/>
        <v>63.617251162500004</v>
      </c>
      <c r="K1798">
        <v>5.31</v>
      </c>
      <c r="M1798">
        <f t="shared" si="141"/>
        <v>0</v>
      </c>
      <c r="N1798">
        <f t="shared" si="139"/>
        <v>-5.31</v>
      </c>
    </row>
    <row r="1799" spans="1:14" x14ac:dyDescent="0.3">
      <c r="A1799" t="s">
        <v>252</v>
      </c>
      <c r="B1799" t="s">
        <v>61</v>
      </c>
      <c r="C1799">
        <v>1</v>
      </c>
      <c r="D1799">
        <v>2</v>
      </c>
      <c r="E1799" t="s">
        <v>28</v>
      </c>
      <c r="J1799">
        <f t="shared" si="140"/>
        <v>63.617251162500004</v>
      </c>
      <c r="K1799">
        <v>5.31</v>
      </c>
      <c r="M1799">
        <f t="shared" si="141"/>
        <v>0</v>
      </c>
      <c r="N1799">
        <f t="shared" si="139"/>
        <v>-5.31</v>
      </c>
    </row>
    <row r="1800" spans="1:14" x14ac:dyDescent="0.3">
      <c r="A1800" t="s">
        <v>252</v>
      </c>
      <c r="B1800" t="s">
        <v>61</v>
      </c>
      <c r="C1800">
        <v>1</v>
      </c>
      <c r="D1800">
        <v>2</v>
      </c>
      <c r="E1800" t="s">
        <v>30</v>
      </c>
      <c r="J1800">
        <f t="shared" si="140"/>
        <v>63.617251162500004</v>
      </c>
      <c r="K1800">
        <v>5.31</v>
      </c>
      <c r="M1800">
        <f t="shared" si="141"/>
        <v>0</v>
      </c>
      <c r="N1800">
        <f t="shared" si="139"/>
        <v>-5.31</v>
      </c>
    </row>
    <row r="1801" spans="1:14" x14ac:dyDescent="0.3">
      <c r="A1801" t="s">
        <v>252</v>
      </c>
      <c r="B1801" t="s">
        <v>61</v>
      </c>
      <c r="C1801">
        <v>1</v>
      </c>
      <c r="D1801">
        <v>2</v>
      </c>
      <c r="E1801" t="s">
        <v>31</v>
      </c>
      <c r="J1801">
        <f t="shared" si="140"/>
        <v>63.617251162500004</v>
      </c>
      <c r="K1801">
        <v>5.31</v>
      </c>
      <c r="M1801">
        <f t="shared" si="141"/>
        <v>0</v>
      </c>
      <c r="N1801">
        <f t="shared" si="139"/>
        <v>-5.31</v>
      </c>
    </row>
    <row r="1802" spans="1:14" x14ac:dyDescent="0.3">
      <c r="A1802" t="s">
        <v>252</v>
      </c>
      <c r="B1802" t="s">
        <v>61</v>
      </c>
      <c r="C1802">
        <v>1</v>
      </c>
      <c r="D1802">
        <v>6</v>
      </c>
      <c r="E1802" t="s">
        <v>28</v>
      </c>
      <c r="J1802">
        <f t="shared" si="140"/>
        <v>63.617251162500004</v>
      </c>
      <c r="K1802">
        <v>5.31</v>
      </c>
      <c r="M1802">
        <f t="shared" si="141"/>
        <v>0</v>
      </c>
      <c r="N1802">
        <f t="shared" si="139"/>
        <v>-5.31</v>
      </c>
    </row>
    <row r="1803" spans="1:14" x14ac:dyDescent="0.3">
      <c r="A1803" t="s">
        <v>252</v>
      </c>
      <c r="B1803" t="s">
        <v>61</v>
      </c>
      <c r="C1803">
        <v>1</v>
      </c>
      <c r="D1803">
        <v>6</v>
      </c>
      <c r="E1803" t="s">
        <v>30</v>
      </c>
      <c r="J1803">
        <f t="shared" si="140"/>
        <v>63.617251162500004</v>
      </c>
      <c r="K1803">
        <v>5.31</v>
      </c>
      <c r="M1803">
        <f t="shared" si="141"/>
        <v>0</v>
      </c>
      <c r="N1803">
        <f t="shared" si="139"/>
        <v>-5.31</v>
      </c>
    </row>
    <row r="1804" spans="1:14" x14ac:dyDescent="0.3">
      <c r="A1804" t="s">
        <v>252</v>
      </c>
      <c r="B1804" t="s">
        <v>61</v>
      </c>
      <c r="C1804">
        <v>1</v>
      </c>
      <c r="D1804">
        <v>6</v>
      </c>
      <c r="E1804" t="s">
        <v>31</v>
      </c>
      <c r="J1804">
        <f t="shared" si="140"/>
        <v>63.617251162500004</v>
      </c>
      <c r="K1804">
        <v>5.31</v>
      </c>
      <c r="M1804">
        <f t="shared" si="141"/>
        <v>0</v>
      </c>
      <c r="N1804">
        <f t="shared" si="139"/>
        <v>-5.31</v>
      </c>
    </row>
    <row r="1805" spans="1:14" x14ac:dyDescent="0.3">
      <c r="A1805" t="s">
        <v>252</v>
      </c>
      <c r="B1805" t="s">
        <v>61</v>
      </c>
      <c r="C1805">
        <v>1</v>
      </c>
      <c r="D1805">
        <v>12</v>
      </c>
      <c r="E1805" t="s">
        <v>28</v>
      </c>
      <c r="J1805">
        <f t="shared" si="140"/>
        <v>63.617251162500004</v>
      </c>
      <c r="K1805">
        <v>5.31</v>
      </c>
      <c r="M1805">
        <f t="shared" si="141"/>
        <v>0</v>
      </c>
      <c r="N1805">
        <f t="shared" si="139"/>
        <v>-5.31</v>
      </c>
    </row>
    <row r="1806" spans="1:14" x14ac:dyDescent="0.3">
      <c r="A1806" t="s">
        <v>252</v>
      </c>
      <c r="B1806" t="s">
        <v>61</v>
      </c>
      <c r="C1806">
        <v>1</v>
      </c>
      <c r="D1806">
        <v>12</v>
      </c>
      <c r="E1806" t="s">
        <v>30</v>
      </c>
      <c r="J1806">
        <f t="shared" si="140"/>
        <v>63.617251162500004</v>
      </c>
      <c r="K1806">
        <v>5.31</v>
      </c>
      <c r="M1806">
        <f t="shared" si="141"/>
        <v>0</v>
      </c>
      <c r="N1806">
        <f t="shared" si="139"/>
        <v>-5.31</v>
      </c>
    </row>
    <row r="1807" spans="1:14" x14ac:dyDescent="0.3">
      <c r="A1807" t="s">
        <v>252</v>
      </c>
      <c r="B1807" t="s">
        <v>61</v>
      </c>
      <c r="C1807">
        <v>1</v>
      </c>
      <c r="D1807">
        <v>12</v>
      </c>
      <c r="E1807" t="s">
        <v>31</v>
      </c>
      <c r="J1807">
        <f t="shared" si="140"/>
        <v>63.617251162500004</v>
      </c>
      <c r="K1807">
        <v>5.31</v>
      </c>
      <c r="M1807">
        <f t="shared" si="141"/>
        <v>0</v>
      </c>
      <c r="N1807">
        <f t="shared" si="139"/>
        <v>-5.31</v>
      </c>
    </row>
    <row r="1808" spans="1:14" x14ac:dyDescent="0.3">
      <c r="A1808" t="s">
        <v>252</v>
      </c>
      <c r="B1808" t="s">
        <v>61</v>
      </c>
      <c r="C1808">
        <v>1</v>
      </c>
      <c r="D1808">
        <v>18</v>
      </c>
      <c r="E1808" t="s">
        <v>28</v>
      </c>
      <c r="J1808">
        <f t="shared" si="140"/>
        <v>63.617251162500004</v>
      </c>
      <c r="K1808">
        <v>5.31</v>
      </c>
      <c r="M1808">
        <f t="shared" si="141"/>
        <v>0</v>
      </c>
      <c r="N1808">
        <f t="shared" si="139"/>
        <v>-5.31</v>
      </c>
    </row>
    <row r="1809" spans="1:14" x14ac:dyDescent="0.3">
      <c r="A1809" t="s">
        <v>252</v>
      </c>
      <c r="B1809" t="s">
        <v>61</v>
      </c>
      <c r="C1809">
        <v>1</v>
      </c>
      <c r="D1809">
        <v>18</v>
      </c>
      <c r="E1809" t="s">
        <v>30</v>
      </c>
      <c r="J1809">
        <f t="shared" si="140"/>
        <v>63.617251162500004</v>
      </c>
      <c r="K1809">
        <v>5.31</v>
      </c>
      <c r="M1809">
        <f t="shared" si="141"/>
        <v>0</v>
      </c>
      <c r="N1809">
        <f t="shared" si="139"/>
        <v>-5.31</v>
      </c>
    </row>
    <row r="1810" spans="1:14" x14ac:dyDescent="0.3">
      <c r="A1810" t="s">
        <v>252</v>
      </c>
      <c r="B1810" t="s">
        <v>61</v>
      </c>
      <c r="C1810">
        <v>1</v>
      </c>
      <c r="D1810">
        <v>18</v>
      </c>
      <c r="E1810" t="s">
        <v>62</v>
      </c>
      <c r="J1810">
        <f t="shared" si="140"/>
        <v>63.617251162500004</v>
      </c>
      <c r="K1810">
        <v>5.31</v>
      </c>
      <c r="M1810">
        <f t="shared" si="141"/>
        <v>0</v>
      </c>
      <c r="N1810">
        <f t="shared" si="139"/>
        <v>-5.31</v>
      </c>
    </row>
    <row r="1811" spans="1:14" x14ac:dyDescent="0.3">
      <c r="A1811" t="s">
        <v>252</v>
      </c>
      <c r="B1811" t="s">
        <v>61</v>
      </c>
      <c r="C1811">
        <v>1</v>
      </c>
      <c r="D1811">
        <v>24</v>
      </c>
      <c r="E1811" t="s">
        <v>28</v>
      </c>
      <c r="J1811">
        <f t="shared" si="140"/>
        <v>63.617251162500004</v>
      </c>
      <c r="K1811">
        <v>5.31</v>
      </c>
      <c r="M1811">
        <f t="shared" si="141"/>
        <v>0</v>
      </c>
      <c r="N1811">
        <f t="shared" si="139"/>
        <v>-5.31</v>
      </c>
    </row>
    <row r="1812" spans="1:14" x14ac:dyDescent="0.3">
      <c r="A1812" t="s">
        <v>252</v>
      </c>
      <c r="B1812" t="s">
        <v>61</v>
      </c>
      <c r="C1812">
        <v>1</v>
      </c>
      <c r="D1812">
        <v>24</v>
      </c>
      <c r="E1812" t="s">
        <v>30</v>
      </c>
      <c r="J1812">
        <f t="shared" si="140"/>
        <v>63.617251162500004</v>
      </c>
      <c r="K1812">
        <v>5.31</v>
      </c>
      <c r="M1812">
        <f t="shared" si="141"/>
        <v>0</v>
      </c>
      <c r="N1812">
        <f t="shared" si="139"/>
        <v>-5.31</v>
      </c>
    </row>
    <row r="1813" spans="1:14" x14ac:dyDescent="0.3">
      <c r="A1813" t="s">
        <v>252</v>
      </c>
      <c r="B1813" t="s">
        <v>61</v>
      </c>
      <c r="C1813">
        <v>1</v>
      </c>
      <c r="D1813">
        <v>24</v>
      </c>
      <c r="E1813" t="s">
        <v>31</v>
      </c>
      <c r="J1813">
        <f t="shared" si="140"/>
        <v>63.617251162500004</v>
      </c>
      <c r="K1813">
        <v>5.31</v>
      </c>
      <c r="M1813">
        <f t="shared" si="141"/>
        <v>0</v>
      </c>
      <c r="N1813">
        <f t="shared" si="139"/>
        <v>-5.31</v>
      </c>
    </row>
    <row r="1814" spans="1:14" x14ac:dyDescent="0.3">
      <c r="A1814" t="s">
        <v>252</v>
      </c>
      <c r="B1814" t="s">
        <v>61</v>
      </c>
      <c r="C1814">
        <v>1</v>
      </c>
      <c r="D1814">
        <v>48</v>
      </c>
      <c r="E1814" t="s">
        <v>28</v>
      </c>
      <c r="J1814">
        <f t="shared" si="140"/>
        <v>63.617251162500004</v>
      </c>
      <c r="K1814">
        <v>5.31</v>
      </c>
      <c r="M1814">
        <f t="shared" si="141"/>
        <v>0</v>
      </c>
      <c r="N1814">
        <f t="shared" si="139"/>
        <v>-5.31</v>
      </c>
    </row>
    <row r="1815" spans="1:14" x14ac:dyDescent="0.3">
      <c r="A1815" t="s">
        <v>252</v>
      </c>
      <c r="B1815" t="s">
        <v>61</v>
      </c>
      <c r="C1815">
        <v>1</v>
      </c>
      <c r="D1815">
        <v>48</v>
      </c>
      <c r="E1815" t="s">
        <v>30</v>
      </c>
      <c r="J1815">
        <f t="shared" si="140"/>
        <v>63.617251162500004</v>
      </c>
      <c r="K1815">
        <v>5.31</v>
      </c>
      <c r="M1815">
        <f t="shared" si="141"/>
        <v>0</v>
      </c>
      <c r="N1815">
        <f t="shared" si="139"/>
        <v>-5.31</v>
      </c>
    </row>
    <row r="1816" spans="1:14" x14ac:dyDescent="0.3">
      <c r="A1816" t="s">
        <v>252</v>
      </c>
      <c r="B1816" t="s">
        <v>61</v>
      </c>
      <c r="C1816">
        <v>1</v>
      </c>
      <c r="D1816">
        <v>48</v>
      </c>
      <c r="E1816" t="s">
        <v>31</v>
      </c>
      <c r="J1816">
        <f t="shared" si="140"/>
        <v>63.617251162500004</v>
      </c>
      <c r="K1816">
        <v>5.31</v>
      </c>
      <c r="M1816">
        <f t="shared" si="141"/>
        <v>0</v>
      </c>
      <c r="N1816">
        <f t="shared" ref="N1816:N1879" si="142">L1816*J1816-K1816</f>
        <v>-5.31</v>
      </c>
    </row>
    <row r="1817" spans="1:14" x14ac:dyDescent="0.3">
      <c r="A1817" t="s">
        <v>252</v>
      </c>
      <c r="B1817" t="s">
        <v>61</v>
      </c>
      <c r="C1817">
        <v>2</v>
      </c>
      <c r="D1817">
        <v>0.5</v>
      </c>
      <c r="E1817" t="s">
        <v>28</v>
      </c>
      <c r="J1817">
        <f t="shared" si="140"/>
        <v>63.617251162500004</v>
      </c>
      <c r="K1817">
        <v>5.31</v>
      </c>
      <c r="M1817">
        <f t="shared" si="141"/>
        <v>0</v>
      </c>
      <c r="N1817">
        <f t="shared" si="142"/>
        <v>-5.31</v>
      </c>
    </row>
    <row r="1818" spans="1:14" x14ac:dyDescent="0.3">
      <c r="A1818" t="s">
        <v>252</v>
      </c>
      <c r="B1818" t="s">
        <v>61</v>
      </c>
      <c r="C1818">
        <v>2</v>
      </c>
      <c r="D1818">
        <v>0.5</v>
      </c>
      <c r="E1818" t="s">
        <v>30</v>
      </c>
      <c r="J1818">
        <f t="shared" si="140"/>
        <v>63.617251162500004</v>
      </c>
      <c r="K1818">
        <v>5.31</v>
      </c>
      <c r="M1818">
        <f t="shared" si="141"/>
        <v>0</v>
      </c>
      <c r="N1818">
        <f t="shared" ref="N1818:N1881" si="143">(L1818*J1818)-K1818</f>
        <v>-5.31</v>
      </c>
    </row>
    <row r="1819" spans="1:14" x14ac:dyDescent="0.3">
      <c r="A1819" t="s">
        <v>252</v>
      </c>
      <c r="B1819" t="s">
        <v>61</v>
      </c>
      <c r="C1819">
        <v>2</v>
      </c>
      <c r="D1819">
        <v>0.5</v>
      </c>
      <c r="E1819" t="s">
        <v>31</v>
      </c>
      <c r="J1819">
        <f t="shared" si="140"/>
        <v>63.617251162500004</v>
      </c>
      <c r="K1819">
        <v>5.31</v>
      </c>
      <c r="M1819">
        <f t="shared" si="141"/>
        <v>0</v>
      </c>
      <c r="N1819">
        <f t="shared" si="143"/>
        <v>-5.31</v>
      </c>
    </row>
    <row r="1820" spans="1:14" x14ac:dyDescent="0.3">
      <c r="A1820" t="s">
        <v>252</v>
      </c>
      <c r="B1820" t="s">
        <v>61</v>
      </c>
      <c r="C1820">
        <v>2</v>
      </c>
      <c r="D1820">
        <v>2</v>
      </c>
      <c r="E1820" t="s">
        <v>28</v>
      </c>
      <c r="J1820">
        <f t="shared" si="140"/>
        <v>63.617251162500004</v>
      </c>
      <c r="K1820">
        <v>5.31</v>
      </c>
      <c r="M1820">
        <f t="shared" si="141"/>
        <v>0</v>
      </c>
      <c r="N1820">
        <f t="shared" si="143"/>
        <v>-5.31</v>
      </c>
    </row>
    <row r="1821" spans="1:14" x14ac:dyDescent="0.3">
      <c r="A1821" t="s">
        <v>252</v>
      </c>
      <c r="B1821" t="s">
        <v>61</v>
      </c>
      <c r="C1821">
        <v>2</v>
      </c>
      <c r="D1821">
        <v>2</v>
      </c>
      <c r="E1821" t="s">
        <v>30</v>
      </c>
      <c r="J1821">
        <f t="shared" si="140"/>
        <v>63.617251162500004</v>
      </c>
      <c r="K1821">
        <v>5.31</v>
      </c>
      <c r="M1821">
        <f t="shared" si="141"/>
        <v>0</v>
      </c>
      <c r="N1821">
        <f t="shared" si="143"/>
        <v>-5.31</v>
      </c>
    </row>
    <row r="1822" spans="1:14" x14ac:dyDescent="0.3">
      <c r="A1822" t="s">
        <v>252</v>
      </c>
      <c r="B1822" t="s">
        <v>61</v>
      </c>
      <c r="C1822">
        <v>2</v>
      </c>
      <c r="D1822">
        <v>2</v>
      </c>
      <c r="E1822" t="s">
        <v>31</v>
      </c>
      <c r="J1822">
        <f t="shared" si="140"/>
        <v>63.617251162500004</v>
      </c>
      <c r="K1822">
        <v>5.31</v>
      </c>
      <c r="M1822">
        <f t="shared" si="141"/>
        <v>0</v>
      </c>
      <c r="N1822">
        <f t="shared" si="143"/>
        <v>-5.31</v>
      </c>
    </row>
    <row r="1823" spans="1:14" x14ac:dyDescent="0.3">
      <c r="A1823" t="s">
        <v>252</v>
      </c>
      <c r="B1823" t="s">
        <v>61</v>
      </c>
      <c r="C1823">
        <v>2</v>
      </c>
      <c r="D1823">
        <v>6</v>
      </c>
      <c r="E1823" t="s">
        <v>28</v>
      </c>
      <c r="J1823">
        <f t="shared" si="140"/>
        <v>63.617251162500004</v>
      </c>
      <c r="K1823">
        <v>5.31</v>
      </c>
      <c r="M1823">
        <f t="shared" si="141"/>
        <v>0</v>
      </c>
      <c r="N1823">
        <f t="shared" si="143"/>
        <v>-5.31</v>
      </c>
    </row>
    <row r="1824" spans="1:14" x14ac:dyDescent="0.3">
      <c r="A1824" t="s">
        <v>252</v>
      </c>
      <c r="B1824" t="s">
        <v>61</v>
      </c>
      <c r="C1824">
        <v>2</v>
      </c>
      <c r="D1824">
        <v>6</v>
      </c>
      <c r="E1824" t="s">
        <v>30</v>
      </c>
      <c r="J1824">
        <f t="shared" si="140"/>
        <v>63.617251162500004</v>
      </c>
      <c r="K1824">
        <v>5.31</v>
      </c>
      <c r="M1824">
        <f t="shared" si="141"/>
        <v>0</v>
      </c>
      <c r="N1824">
        <f t="shared" si="143"/>
        <v>-5.31</v>
      </c>
    </row>
    <row r="1825" spans="1:14" x14ac:dyDescent="0.3">
      <c r="A1825" t="s">
        <v>252</v>
      </c>
      <c r="B1825" t="s">
        <v>61</v>
      </c>
      <c r="C1825">
        <v>2</v>
      </c>
      <c r="D1825">
        <v>6</v>
      </c>
      <c r="E1825" t="s">
        <v>31</v>
      </c>
      <c r="J1825">
        <f t="shared" si="140"/>
        <v>63.617251162500004</v>
      </c>
      <c r="K1825">
        <v>5.31</v>
      </c>
      <c r="M1825">
        <f t="shared" si="141"/>
        <v>0</v>
      </c>
      <c r="N1825">
        <f t="shared" si="143"/>
        <v>-5.31</v>
      </c>
    </row>
    <row r="1826" spans="1:14" x14ac:dyDescent="0.3">
      <c r="A1826" t="s">
        <v>252</v>
      </c>
      <c r="B1826" t="s">
        <v>61</v>
      </c>
      <c r="C1826">
        <v>2</v>
      </c>
      <c r="D1826">
        <v>12</v>
      </c>
      <c r="E1826" t="s">
        <v>28</v>
      </c>
      <c r="J1826">
        <f t="shared" si="140"/>
        <v>63.617251162500004</v>
      </c>
      <c r="K1826">
        <v>5.31</v>
      </c>
      <c r="M1826">
        <f t="shared" si="141"/>
        <v>0</v>
      </c>
      <c r="N1826">
        <f t="shared" si="143"/>
        <v>-5.31</v>
      </c>
    </row>
    <row r="1827" spans="1:14" x14ac:dyDescent="0.3">
      <c r="A1827" t="s">
        <v>252</v>
      </c>
      <c r="B1827" t="s">
        <v>61</v>
      </c>
      <c r="C1827">
        <v>2</v>
      </c>
      <c r="D1827">
        <v>12</v>
      </c>
      <c r="E1827" t="s">
        <v>30</v>
      </c>
      <c r="J1827">
        <f t="shared" si="140"/>
        <v>63.617251162500004</v>
      </c>
      <c r="K1827">
        <v>5.31</v>
      </c>
      <c r="M1827">
        <f t="shared" si="141"/>
        <v>0</v>
      </c>
      <c r="N1827">
        <f t="shared" si="143"/>
        <v>-5.31</v>
      </c>
    </row>
    <row r="1828" spans="1:14" x14ac:dyDescent="0.3">
      <c r="A1828" t="s">
        <v>252</v>
      </c>
      <c r="B1828" t="s">
        <v>61</v>
      </c>
      <c r="C1828">
        <v>2</v>
      </c>
      <c r="D1828">
        <v>12</v>
      </c>
      <c r="E1828" t="s">
        <v>31</v>
      </c>
      <c r="J1828">
        <f t="shared" si="140"/>
        <v>63.617251162500004</v>
      </c>
      <c r="K1828">
        <v>5.31</v>
      </c>
      <c r="M1828">
        <f t="shared" si="141"/>
        <v>0</v>
      </c>
      <c r="N1828">
        <f t="shared" si="143"/>
        <v>-5.31</v>
      </c>
    </row>
    <row r="1829" spans="1:14" x14ac:dyDescent="0.3">
      <c r="A1829" t="s">
        <v>252</v>
      </c>
      <c r="B1829" t="s">
        <v>61</v>
      </c>
      <c r="C1829">
        <v>2</v>
      </c>
      <c r="D1829">
        <v>18</v>
      </c>
      <c r="E1829" t="s">
        <v>64</v>
      </c>
      <c r="J1829">
        <f t="shared" si="140"/>
        <v>63.617251162500004</v>
      </c>
      <c r="K1829">
        <v>5.31</v>
      </c>
      <c r="M1829">
        <f t="shared" si="141"/>
        <v>0</v>
      </c>
      <c r="N1829">
        <f t="shared" si="143"/>
        <v>-5.31</v>
      </c>
    </row>
    <row r="1830" spans="1:14" x14ac:dyDescent="0.3">
      <c r="A1830" t="s">
        <v>252</v>
      </c>
      <c r="B1830" t="s">
        <v>61</v>
      </c>
      <c r="C1830">
        <v>2</v>
      </c>
      <c r="D1830">
        <v>18</v>
      </c>
      <c r="E1830" t="s">
        <v>30</v>
      </c>
      <c r="J1830">
        <f t="shared" si="140"/>
        <v>63.617251162500004</v>
      </c>
      <c r="K1830">
        <v>5.31</v>
      </c>
      <c r="M1830">
        <f t="shared" si="141"/>
        <v>0</v>
      </c>
      <c r="N1830">
        <f t="shared" si="143"/>
        <v>-5.31</v>
      </c>
    </row>
    <row r="1831" spans="1:14" x14ac:dyDescent="0.3">
      <c r="A1831" t="s">
        <v>252</v>
      </c>
      <c r="B1831" t="s">
        <v>61</v>
      </c>
      <c r="C1831">
        <v>2</v>
      </c>
      <c r="D1831">
        <v>18</v>
      </c>
      <c r="E1831" t="s">
        <v>31</v>
      </c>
      <c r="J1831">
        <f t="shared" si="140"/>
        <v>63.617251162500004</v>
      </c>
      <c r="K1831">
        <v>5.31</v>
      </c>
      <c r="M1831">
        <f t="shared" si="141"/>
        <v>0</v>
      </c>
      <c r="N1831">
        <f t="shared" si="143"/>
        <v>-5.31</v>
      </c>
    </row>
    <row r="1832" spans="1:14" x14ac:dyDescent="0.3">
      <c r="A1832" t="s">
        <v>252</v>
      </c>
      <c r="B1832" t="s">
        <v>61</v>
      </c>
      <c r="C1832">
        <v>2</v>
      </c>
      <c r="D1832">
        <v>24</v>
      </c>
      <c r="E1832" t="s">
        <v>28</v>
      </c>
      <c r="J1832">
        <f t="shared" si="140"/>
        <v>63.617251162500004</v>
      </c>
      <c r="K1832">
        <v>5.31</v>
      </c>
      <c r="M1832">
        <f t="shared" si="141"/>
        <v>0</v>
      </c>
      <c r="N1832">
        <f t="shared" si="143"/>
        <v>-5.31</v>
      </c>
    </row>
    <row r="1833" spans="1:14" x14ac:dyDescent="0.3">
      <c r="A1833" t="s">
        <v>252</v>
      </c>
      <c r="B1833" t="s">
        <v>61</v>
      </c>
      <c r="C1833">
        <v>2</v>
      </c>
      <c r="D1833">
        <v>24</v>
      </c>
      <c r="E1833" t="s">
        <v>30</v>
      </c>
      <c r="J1833">
        <f t="shared" si="140"/>
        <v>63.617251162500004</v>
      </c>
      <c r="K1833">
        <v>5.31</v>
      </c>
      <c r="M1833">
        <f t="shared" si="141"/>
        <v>0</v>
      </c>
      <c r="N1833">
        <f t="shared" si="143"/>
        <v>-5.31</v>
      </c>
    </row>
    <row r="1834" spans="1:14" x14ac:dyDescent="0.3">
      <c r="A1834" t="s">
        <v>252</v>
      </c>
      <c r="B1834" t="s">
        <v>61</v>
      </c>
      <c r="C1834">
        <v>2</v>
      </c>
      <c r="D1834">
        <v>24</v>
      </c>
      <c r="E1834" t="s">
        <v>31</v>
      </c>
      <c r="J1834">
        <f t="shared" si="140"/>
        <v>63.617251162500004</v>
      </c>
      <c r="K1834">
        <v>5.31</v>
      </c>
      <c r="M1834">
        <f t="shared" si="141"/>
        <v>0</v>
      </c>
      <c r="N1834">
        <f t="shared" si="143"/>
        <v>-5.31</v>
      </c>
    </row>
    <row r="1835" spans="1:14" x14ac:dyDescent="0.3">
      <c r="A1835" t="s">
        <v>252</v>
      </c>
      <c r="B1835" t="s">
        <v>61</v>
      </c>
      <c r="C1835">
        <v>2</v>
      </c>
      <c r="D1835">
        <v>48</v>
      </c>
      <c r="E1835" t="s">
        <v>28</v>
      </c>
      <c r="J1835">
        <f t="shared" si="140"/>
        <v>63.617251162500004</v>
      </c>
      <c r="K1835">
        <v>5.31</v>
      </c>
      <c r="M1835">
        <f t="shared" si="141"/>
        <v>0</v>
      </c>
      <c r="N1835">
        <f t="shared" si="143"/>
        <v>-5.31</v>
      </c>
    </row>
    <row r="1836" spans="1:14" x14ac:dyDescent="0.3">
      <c r="A1836" t="s">
        <v>252</v>
      </c>
      <c r="B1836" t="s">
        <v>61</v>
      </c>
      <c r="C1836">
        <v>2</v>
      </c>
      <c r="D1836">
        <v>48</v>
      </c>
      <c r="E1836" t="s">
        <v>30</v>
      </c>
      <c r="J1836">
        <f t="shared" ref="J1836:J1899" si="144">4.5*4.5*3.14159265</f>
        <v>63.617251162500004</v>
      </c>
      <c r="K1836">
        <v>5.31</v>
      </c>
      <c r="M1836">
        <f t="shared" si="141"/>
        <v>0</v>
      </c>
      <c r="N1836">
        <f t="shared" si="143"/>
        <v>-5.31</v>
      </c>
    </row>
    <row r="1837" spans="1:14" x14ac:dyDescent="0.3">
      <c r="A1837" t="s">
        <v>252</v>
      </c>
      <c r="B1837" t="s">
        <v>61</v>
      </c>
      <c r="C1837">
        <v>2</v>
      </c>
      <c r="D1837">
        <v>48</v>
      </c>
      <c r="E1837" t="s">
        <v>31</v>
      </c>
      <c r="J1837">
        <f t="shared" si="144"/>
        <v>63.617251162500004</v>
      </c>
      <c r="K1837">
        <v>5.31</v>
      </c>
      <c r="M1837">
        <f t="shared" si="141"/>
        <v>0</v>
      </c>
      <c r="N1837">
        <f t="shared" si="143"/>
        <v>-5.31</v>
      </c>
    </row>
    <row r="1838" spans="1:14" x14ac:dyDescent="0.3">
      <c r="A1838" t="s">
        <v>252</v>
      </c>
      <c r="B1838" t="s">
        <v>61</v>
      </c>
      <c r="E1838" t="s">
        <v>36</v>
      </c>
      <c r="J1838">
        <f t="shared" si="144"/>
        <v>63.617251162500004</v>
      </c>
      <c r="K1838">
        <v>5.31</v>
      </c>
      <c r="M1838">
        <f t="shared" si="141"/>
        <v>0</v>
      </c>
      <c r="N1838">
        <f t="shared" si="143"/>
        <v>-5.31</v>
      </c>
    </row>
    <row r="1839" spans="1:14" x14ac:dyDescent="0.3">
      <c r="A1839" t="s">
        <v>252</v>
      </c>
      <c r="B1839" t="s">
        <v>61</v>
      </c>
      <c r="E1839" t="s">
        <v>39</v>
      </c>
      <c r="J1839">
        <f t="shared" si="144"/>
        <v>63.617251162500004</v>
      </c>
      <c r="K1839">
        <v>5.31</v>
      </c>
      <c r="M1839">
        <f t="shared" si="141"/>
        <v>0</v>
      </c>
      <c r="N1839">
        <f t="shared" si="143"/>
        <v>-5.31</v>
      </c>
    </row>
    <row r="1840" spans="1:14" x14ac:dyDescent="0.3">
      <c r="A1840" t="s">
        <v>252</v>
      </c>
      <c r="B1840" t="s">
        <v>61</v>
      </c>
      <c r="E1840" t="s">
        <v>41</v>
      </c>
      <c r="J1840">
        <f t="shared" si="144"/>
        <v>63.617251162500004</v>
      </c>
      <c r="K1840">
        <v>5.31</v>
      </c>
      <c r="M1840">
        <f t="shared" si="141"/>
        <v>0</v>
      </c>
      <c r="N1840">
        <f t="shared" si="143"/>
        <v>-5.31</v>
      </c>
    </row>
    <row r="1841" spans="1:14" x14ac:dyDescent="0.3">
      <c r="A1841" t="s">
        <v>252</v>
      </c>
      <c r="B1841" t="s">
        <v>61</v>
      </c>
      <c r="E1841" t="s">
        <v>43</v>
      </c>
      <c r="J1841">
        <f t="shared" si="144"/>
        <v>63.617251162500004</v>
      </c>
      <c r="K1841">
        <v>5.31</v>
      </c>
      <c r="M1841">
        <f t="shared" si="141"/>
        <v>0</v>
      </c>
      <c r="N1841">
        <f t="shared" si="143"/>
        <v>-5.31</v>
      </c>
    </row>
    <row r="1842" spans="1:14" x14ac:dyDescent="0.3">
      <c r="A1842" t="s">
        <v>252</v>
      </c>
      <c r="B1842" t="s">
        <v>51</v>
      </c>
      <c r="C1842">
        <v>1</v>
      </c>
      <c r="D1842">
        <v>0.5</v>
      </c>
      <c r="E1842" t="s">
        <v>64</v>
      </c>
      <c r="J1842">
        <f t="shared" si="144"/>
        <v>63.617251162500004</v>
      </c>
      <c r="K1842">
        <v>5.31</v>
      </c>
      <c r="M1842">
        <f t="shared" si="141"/>
        <v>0</v>
      </c>
      <c r="N1842">
        <f t="shared" si="143"/>
        <v>-5.31</v>
      </c>
    </row>
    <row r="1843" spans="1:14" x14ac:dyDescent="0.3">
      <c r="A1843" t="s">
        <v>252</v>
      </c>
      <c r="B1843" t="s">
        <v>51</v>
      </c>
      <c r="C1843">
        <v>1</v>
      </c>
      <c r="D1843">
        <v>0.5</v>
      </c>
      <c r="E1843" t="s">
        <v>30</v>
      </c>
      <c r="J1843">
        <f t="shared" si="144"/>
        <v>63.617251162500004</v>
      </c>
      <c r="K1843">
        <v>5.31</v>
      </c>
      <c r="M1843">
        <f t="shared" si="141"/>
        <v>0</v>
      </c>
      <c r="N1843">
        <f t="shared" si="143"/>
        <v>-5.31</v>
      </c>
    </row>
    <row r="1844" spans="1:14" x14ac:dyDescent="0.3">
      <c r="A1844" t="s">
        <v>252</v>
      </c>
      <c r="B1844" t="s">
        <v>51</v>
      </c>
      <c r="C1844">
        <v>1</v>
      </c>
      <c r="D1844">
        <v>0.5</v>
      </c>
      <c r="E1844" t="s">
        <v>31</v>
      </c>
      <c r="J1844">
        <f t="shared" si="144"/>
        <v>63.617251162500004</v>
      </c>
      <c r="K1844">
        <v>5.31</v>
      </c>
      <c r="M1844">
        <f t="shared" si="141"/>
        <v>0</v>
      </c>
      <c r="N1844">
        <f t="shared" si="143"/>
        <v>-5.31</v>
      </c>
    </row>
    <row r="1845" spans="1:14" x14ac:dyDescent="0.3">
      <c r="A1845" t="s">
        <v>252</v>
      </c>
      <c r="B1845" s="7" t="s">
        <v>51</v>
      </c>
      <c r="C1845" s="7">
        <v>1</v>
      </c>
      <c r="D1845" s="7">
        <v>2</v>
      </c>
      <c r="E1845" s="7" t="s">
        <v>64</v>
      </c>
      <c r="J1845">
        <f t="shared" si="144"/>
        <v>63.617251162500004</v>
      </c>
      <c r="K1845">
        <v>5.31</v>
      </c>
      <c r="M1845">
        <f t="shared" si="141"/>
        <v>0</v>
      </c>
      <c r="N1845">
        <f t="shared" si="143"/>
        <v>-5.31</v>
      </c>
    </row>
    <row r="1846" spans="1:14" x14ac:dyDescent="0.3">
      <c r="A1846" t="s">
        <v>252</v>
      </c>
      <c r="B1846" s="7" t="s">
        <v>51</v>
      </c>
      <c r="C1846" s="7">
        <v>1</v>
      </c>
      <c r="D1846" s="7">
        <v>2</v>
      </c>
      <c r="E1846" s="7" t="s">
        <v>30</v>
      </c>
      <c r="J1846">
        <f t="shared" si="144"/>
        <v>63.617251162500004</v>
      </c>
      <c r="K1846">
        <v>5.31</v>
      </c>
      <c r="M1846">
        <f t="shared" si="141"/>
        <v>0</v>
      </c>
      <c r="N1846">
        <f t="shared" si="143"/>
        <v>-5.31</v>
      </c>
    </row>
    <row r="1847" spans="1:14" x14ac:dyDescent="0.3">
      <c r="A1847" t="s">
        <v>252</v>
      </c>
      <c r="B1847" s="7" t="s">
        <v>51</v>
      </c>
      <c r="C1847" s="7">
        <v>1</v>
      </c>
      <c r="D1847" s="7">
        <v>2</v>
      </c>
      <c r="E1847" s="7" t="s">
        <v>31</v>
      </c>
      <c r="J1847">
        <f t="shared" si="144"/>
        <v>63.617251162500004</v>
      </c>
      <c r="K1847">
        <v>5.31</v>
      </c>
      <c r="M1847">
        <f t="shared" si="141"/>
        <v>0</v>
      </c>
      <c r="N1847">
        <f t="shared" si="143"/>
        <v>-5.31</v>
      </c>
    </row>
    <row r="1848" spans="1:14" x14ac:dyDescent="0.3">
      <c r="A1848" t="s">
        <v>252</v>
      </c>
      <c r="B1848" s="7" t="s">
        <v>51</v>
      </c>
      <c r="C1848" s="7">
        <v>1</v>
      </c>
      <c r="D1848" s="7">
        <v>6</v>
      </c>
      <c r="E1848" s="7" t="s">
        <v>64</v>
      </c>
      <c r="J1848">
        <f t="shared" si="144"/>
        <v>63.617251162500004</v>
      </c>
      <c r="K1848">
        <v>5.31</v>
      </c>
      <c r="M1848">
        <f t="shared" si="141"/>
        <v>0</v>
      </c>
      <c r="N1848">
        <f t="shared" si="143"/>
        <v>-5.31</v>
      </c>
    </row>
    <row r="1849" spans="1:14" x14ac:dyDescent="0.3">
      <c r="A1849" t="s">
        <v>252</v>
      </c>
      <c r="B1849" s="7" t="s">
        <v>51</v>
      </c>
      <c r="C1849" s="7">
        <v>1</v>
      </c>
      <c r="D1849" s="7">
        <v>6</v>
      </c>
      <c r="E1849" s="7" t="s">
        <v>30</v>
      </c>
      <c r="J1849">
        <f t="shared" si="144"/>
        <v>63.617251162500004</v>
      </c>
      <c r="K1849">
        <v>5.31</v>
      </c>
      <c r="M1849">
        <f t="shared" si="141"/>
        <v>0</v>
      </c>
      <c r="N1849">
        <f t="shared" si="143"/>
        <v>-5.31</v>
      </c>
    </row>
    <row r="1850" spans="1:14" x14ac:dyDescent="0.3">
      <c r="A1850" t="s">
        <v>252</v>
      </c>
      <c r="B1850" s="7" t="s">
        <v>51</v>
      </c>
      <c r="C1850" s="7">
        <v>1</v>
      </c>
      <c r="D1850" s="7">
        <v>6</v>
      </c>
      <c r="E1850" s="7" t="s">
        <v>31</v>
      </c>
      <c r="J1850">
        <f t="shared" si="144"/>
        <v>63.617251162500004</v>
      </c>
      <c r="K1850">
        <v>5.31</v>
      </c>
      <c r="M1850">
        <f t="shared" si="141"/>
        <v>0</v>
      </c>
      <c r="N1850">
        <f t="shared" si="143"/>
        <v>-5.31</v>
      </c>
    </row>
    <row r="1851" spans="1:14" x14ac:dyDescent="0.3">
      <c r="A1851" t="s">
        <v>252</v>
      </c>
      <c r="B1851" t="s">
        <v>51</v>
      </c>
      <c r="C1851">
        <v>1</v>
      </c>
      <c r="D1851">
        <v>12</v>
      </c>
      <c r="E1851" t="s">
        <v>64</v>
      </c>
      <c r="J1851">
        <f t="shared" si="144"/>
        <v>63.617251162500004</v>
      </c>
      <c r="K1851">
        <v>5.31</v>
      </c>
      <c r="M1851">
        <f t="shared" si="141"/>
        <v>0</v>
      </c>
      <c r="N1851">
        <f t="shared" si="143"/>
        <v>-5.31</v>
      </c>
    </row>
    <row r="1852" spans="1:14" x14ac:dyDescent="0.3">
      <c r="A1852" t="s">
        <v>252</v>
      </c>
      <c r="B1852" t="s">
        <v>51</v>
      </c>
      <c r="C1852">
        <v>1</v>
      </c>
      <c r="D1852">
        <v>12</v>
      </c>
      <c r="E1852" t="s">
        <v>30</v>
      </c>
      <c r="J1852">
        <f t="shared" si="144"/>
        <v>63.617251162500004</v>
      </c>
      <c r="K1852">
        <v>5.31</v>
      </c>
      <c r="M1852">
        <f t="shared" si="141"/>
        <v>0</v>
      </c>
      <c r="N1852">
        <f t="shared" si="143"/>
        <v>-5.31</v>
      </c>
    </row>
    <row r="1853" spans="1:14" x14ac:dyDescent="0.3">
      <c r="A1853" t="s">
        <v>252</v>
      </c>
      <c r="B1853" t="s">
        <v>51</v>
      </c>
      <c r="C1853">
        <v>1</v>
      </c>
      <c r="D1853">
        <v>12</v>
      </c>
      <c r="E1853" t="s">
        <v>31</v>
      </c>
      <c r="J1853">
        <f t="shared" si="144"/>
        <v>63.617251162500004</v>
      </c>
      <c r="K1853">
        <v>5.31</v>
      </c>
      <c r="M1853">
        <f t="shared" si="141"/>
        <v>0</v>
      </c>
      <c r="N1853">
        <f t="shared" si="143"/>
        <v>-5.31</v>
      </c>
    </row>
    <row r="1854" spans="1:14" x14ac:dyDescent="0.3">
      <c r="A1854" t="s">
        <v>252</v>
      </c>
      <c r="B1854" t="s">
        <v>51</v>
      </c>
      <c r="C1854">
        <v>1</v>
      </c>
      <c r="D1854">
        <v>18</v>
      </c>
      <c r="E1854" t="s">
        <v>64</v>
      </c>
      <c r="J1854">
        <f t="shared" si="144"/>
        <v>63.617251162500004</v>
      </c>
      <c r="K1854">
        <v>5.31</v>
      </c>
      <c r="M1854">
        <f t="shared" si="141"/>
        <v>0</v>
      </c>
      <c r="N1854">
        <f t="shared" si="143"/>
        <v>-5.31</v>
      </c>
    </row>
    <row r="1855" spans="1:14" x14ac:dyDescent="0.3">
      <c r="A1855" t="s">
        <v>252</v>
      </c>
      <c r="B1855" t="s">
        <v>51</v>
      </c>
      <c r="C1855">
        <v>1</v>
      </c>
      <c r="D1855">
        <v>18</v>
      </c>
      <c r="E1855" t="s">
        <v>30</v>
      </c>
      <c r="J1855">
        <f t="shared" si="144"/>
        <v>63.617251162500004</v>
      </c>
      <c r="K1855">
        <v>5.31</v>
      </c>
      <c r="M1855">
        <f t="shared" si="141"/>
        <v>0</v>
      </c>
      <c r="N1855">
        <f t="shared" si="143"/>
        <v>-5.31</v>
      </c>
    </row>
    <row r="1856" spans="1:14" x14ac:dyDescent="0.3">
      <c r="A1856" t="s">
        <v>252</v>
      </c>
      <c r="B1856" t="s">
        <v>51</v>
      </c>
      <c r="C1856">
        <v>1</v>
      </c>
      <c r="D1856">
        <v>18</v>
      </c>
      <c r="E1856" t="s">
        <v>31</v>
      </c>
      <c r="J1856">
        <f t="shared" si="144"/>
        <v>63.617251162500004</v>
      </c>
      <c r="K1856">
        <v>5.31</v>
      </c>
      <c r="M1856">
        <f t="shared" si="141"/>
        <v>0</v>
      </c>
      <c r="N1856">
        <f t="shared" si="143"/>
        <v>-5.31</v>
      </c>
    </row>
    <row r="1857" spans="1:14" x14ac:dyDescent="0.3">
      <c r="A1857" t="s">
        <v>252</v>
      </c>
      <c r="B1857" t="s">
        <v>51</v>
      </c>
      <c r="C1857">
        <v>1</v>
      </c>
      <c r="D1857">
        <v>24</v>
      </c>
      <c r="E1857" t="s">
        <v>28</v>
      </c>
      <c r="J1857">
        <f t="shared" si="144"/>
        <v>63.617251162500004</v>
      </c>
      <c r="K1857">
        <v>5.31</v>
      </c>
      <c r="M1857">
        <f t="shared" si="141"/>
        <v>0</v>
      </c>
      <c r="N1857">
        <f t="shared" si="143"/>
        <v>-5.31</v>
      </c>
    </row>
    <row r="1858" spans="1:14" x14ac:dyDescent="0.3">
      <c r="A1858" t="s">
        <v>252</v>
      </c>
      <c r="B1858" t="s">
        <v>51</v>
      </c>
      <c r="C1858">
        <v>1</v>
      </c>
      <c r="D1858">
        <v>24</v>
      </c>
      <c r="E1858" t="s">
        <v>30</v>
      </c>
      <c r="J1858">
        <f t="shared" si="144"/>
        <v>63.617251162500004</v>
      </c>
      <c r="K1858">
        <v>5.31</v>
      </c>
      <c r="M1858">
        <f t="shared" si="141"/>
        <v>0</v>
      </c>
      <c r="N1858">
        <f t="shared" si="143"/>
        <v>-5.31</v>
      </c>
    </row>
    <row r="1859" spans="1:14" x14ac:dyDescent="0.3">
      <c r="A1859" t="s">
        <v>252</v>
      </c>
      <c r="B1859" s="7" t="s">
        <v>51</v>
      </c>
      <c r="C1859" s="7">
        <v>1</v>
      </c>
      <c r="D1859" s="7">
        <v>24</v>
      </c>
      <c r="E1859" s="7" t="s">
        <v>31</v>
      </c>
      <c r="J1859">
        <f t="shared" si="144"/>
        <v>63.617251162500004</v>
      </c>
      <c r="K1859">
        <v>5.31</v>
      </c>
      <c r="M1859">
        <f t="shared" si="141"/>
        <v>0</v>
      </c>
      <c r="N1859">
        <f t="shared" ref="N1859:N1922" si="145">L1859*J1859-K1859</f>
        <v>-5.31</v>
      </c>
    </row>
    <row r="1860" spans="1:14" x14ac:dyDescent="0.3">
      <c r="A1860" t="s">
        <v>252</v>
      </c>
      <c r="B1860" t="s">
        <v>51</v>
      </c>
      <c r="C1860">
        <v>1</v>
      </c>
      <c r="D1860">
        <v>48</v>
      </c>
      <c r="E1860" t="s">
        <v>64</v>
      </c>
      <c r="J1860">
        <f t="shared" si="144"/>
        <v>63.617251162500004</v>
      </c>
      <c r="K1860">
        <v>5.31</v>
      </c>
      <c r="M1860">
        <f t="shared" ref="M1860:M1923" si="146">L1860*F1860</f>
        <v>0</v>
      </c>
      <c r="N1860">
        <f t="shared" si="145"/>
        <v>-5.31</v>
      </c>
    </row>
    <row r="1861" spans="1:14" x14ac:dyDescent="0.3">
      <c r="A1861" t="s">
        <v>252</v>
      </c>
      <c r="B1861" t="s">
        <v>51</v>
      </c>
      <c r="C1861">
        <v>1</v>
      </c>
      <c r="D1861">
        <v>48</v>
      </c>
      <c r="E1861" t="s">
        <v>30</v>
      </c>
      <c r="J1861">
        <f t="shared" si="144"/>
        <v>63.617251162500004</v>
      </c>
      <c r="K1861">
        <v>5.31</v>
      </c>
      <c r="M1861">
        <f t="shared" si="146"/>
        <v>0</v>
      </c>
      <c r="N1861">
        <f t="shared" si="145"/>
        <v>-5.31</v>
      </c>
    </row>
    <row r="1862" spans="1:14" x14ac:dyDescent="0.3">
      <c r="A1862" t="s">
        <v>252</v>
      </c>
      <c r="B1862" t="s">
        <v>51</v>
      </c>
      <c r="C1862">
        <v>1</v>
      </c>
      <c r="D1862">
        <v>48</v>
      </c>
      <c r="E1862" t="s">
        <v>31</v>
      </c>
      <c r="J1862">
        <f t="shared" si="144"/>
        <v>63.617251162500004</v>
      </c>
      <c r="K1862">
        <v>5.31</v>
      </c>
      <c r="M1862">
        <f t="shared" si="146"/>
        <v>0</v>
      </c>
      <c r="N1862">
        <f t="shared" si="145"/>
        <v>-5.31</v>
      </c>
    </row>
    <row r="1863" spans="1:14" x14ac:dyDescent="0.3">
      <c r="A1863" t="s">
        <v>252</v>
      </c>
      <c r="B1863" t="s">
        <v>51</v>
      </c>
      <c r="C1863">
        <v>2</v>
      </c>
      <c r="D1863">
        <v>0.5</v>
      </c>
      <c r="E1863" t="s">
        <v>64</v>
      </c>
      <c r="J1863">
        <f t="shared" si="144"/>
        <v>63.617251162500004</v>
      </c>
      <c r="K1863">
        <v>5.31</v>
      </c>
      <c r="M1863">
        <f t="shared" si="146"/>
        <v>0</v>
      </c>
      <c r="N1863">
        <f t="shared" si="145"/>
        <v>-5.31</v>
      </c>
    </row>
    <row r="1864" spans="1:14" x14ac:dyDescent="0.3">
      <c r="A1864" t="s">
        <v>252</v>
      </c>
      <c r="B1864" t="s">
        <v>51</v>
      </c>
      <c r="C1864">
        <v>2</v>
      </c>
      <c r="D1864">
        <v>0.5</v>
      </c>
      <c r="E1864" t="s">
        <v>30</v>
      </c>
      <c r="J1864">
        <f t="shared" si="144"/>
        <v>63.617251162500004</v>
      </c>
      <c r="K1864">
        <v>5.31</v>
      </c>
      <c r="M1864">
        <f t="shared" si="146"/>
        <v>0</v>
      </c>
      <c r="N1864">
        <f t="shared" si="145"/>
        <v>-5.31</v>
      </c>
    </row>
    <row r="1865" spans="1:14" x14ac:dyDescent="0.3">
      <c r="A1865" t="s">
        <v>252</v>
      </c>
      <c r="B1865" t="s">
        <v>51</v>
      </c>
      <c r="C1865">
        <v>2</v>
      </c>
      <c r="D1865">
        <v>0.5</v>
      </c>
      <c r="E1865" t="s">
        <v>31</v>
      </c>
      <c r="J1865">
        <f t="shared" si="144"/>
        <v>63.617251162500004</v>
      </c>
      <c r="K1865">
        <v>5.31</v>
      </c>
      <c r="M1865">
        <f t="shared" si="146"/>
        <v>0</v>
      </c>
      <c r="N1865">
        <f t="shared" si="145"/>
        <v>-5.31</v>
      </c>
    </row>
    <row r="1866" spans="1:14" x14ac:dyDescent="0.3">
      <c r="A1866" t="s">
        <v>252</v>
      </c>
      <c r="B1866" s="7" t="s">
        <v>51</v>
      </c>
      <c r="C1866" s="7">
        <v>2</v>
      </c>
      <c r="D1866" s="7">
        <v>2</v>
      </c>
      <c r="E1866" s="7" t="s">
        <v>64</v>
      </c>
      <c r="J1866">
        <f t="shared" si="144"/>
        <v>63.617251162500004</v>
      </c>
      <c r="K1866">
        <v>5.31</v>
      </c>
      <c r="M1866">
        <f t="shared" si="146"/>
        <v>0</v>
      </c>
      <c r="N1866">
        <f t="shared" si="145"/>
        <v>-5.31</v>
      </c>
    </row>
    <row r="1867" spans="1:14" x14ac:dyDescent="0.3">
      <c r="A1867" t="s">
        <v>252</v>
      </c>
      <c r="B1867" s="7" t="s">
        <v>51</v>
      </c>
      <c r="C1867" s="7">
        <v>2</v>
      </c>
      <c r="D1867" s="7">
        <v>2</v>
      </c>
      <c r="E1867" s="7" t="s">
        <v>30</v>
      </c>
      <c r="J1867">
        <f t="shared" si="144"/>
        <v>63.617251162500004</v>
      </c>
      <c r="K1867">
        <v>5.31</v>
      </c>
      <c r="M1867">
        <f t="shared" si="146"/>
        <v>0</v>
      </c>
      <c r="N1867">
        <f t="shared" si="145"/>
        <v>-5.31</v>
      </c>
    </row>
    <row r="1868" spans="1:14" x14ac:dyDescent="0.3">
      <c r="A1868" t="s">
        <v>252</v>
      </c>
      <c r="B1868" s="7" t="s">
        <v>51</v>
      </c>
      <c r="C1868" s="7">
        <v>2</v>
      </c>
      <c r="D1868" s="7">
        <v>2</v>
      </c>
      <c r="E1868" s="7" t="s">
        <v>31</v>
      </c>
      <c r="J1868">
        <f t="shared" si="144"/>
        <v>63.617251162500004</v>
      </c>
      <c r="K1868">
        <v>5.31</v>
      </c>
      <c r="M1868">
        <f t="shared" si="146"/>
        <v>0</v>
      </c>
      <c r="N1868">
        <f t="shared" si="145"/>
        <v>-5.31</v>
      </c>
    </row>
    <row r="1869" spans="1:14" x14ac:dyDescent="0.3">
      <c r="A1869" t="s">
        <v>252</v>
      </c>
      <c r="B1869" s="7" t="s">
        <v>51</v>
      </c>
      <c r="C1869" s="7">
        <v>2</v>
      </c>
      <c r="D1869" s="7">
        <v>6</v>
      </c>
      <c r="E1869" s="7" t="s">
        <v>64</v>
      </c>
      <c r="J1869">
        <f t="shared" si="144"/>
        <v>63.617251162500004</v>
      </c>
      <c r="K1869">
        <v>5.31</v>
      </c>
      <c r="M1869">
        <f t="shared" si="146"/>
        <v>0</v>
      </c>
      <c r="N1869">
        <f t="shared" si="145"/>
        <v>-5.31</v>
      </c>
    </row>
    <row r="1870" spans="1:14" x14ac:dyDescent="0.3">
      <c r="A1870" t="s">
        <v>252</v>
      </c>
      <c r="B1870" s="7" t="s">
        <v>51</v>
      </c>
      <c r="C1870" s="7">
        <v>2</v>
      </c>
      <c r="D1870" s="7">
        <v>6</v>
      </c>
      <c r="E1870" s="7" t="s">
        <v>30</v>
      </c>
      <c r="J1870">
        <f t="shared" si="144"/>
        <v>63.617251162500004</v>
      </c>
      <c r="K1870">
        <v>5.31</v>
      </c>
      <c r="M1870">
        <f t="shared" si="146"/>
        <v>0</v>
      </c>
      <c r="N1870">
        <f t="shared" si="145"/>
        <v>-5.31</v>
      </c>
    </row>
    <row r="1871" spans="1:14" x14ac:dyDescent="0.3">
      <c r="A1871" t="s">
        <v>252</v>
      </c>
      <c r="B1871" s="7" t="s">
        <v>51</v>
      </c>
      <c r="C1871" s="7">
        <v>2</v>
      </c>
      <c r="D1871" s="7">
        <v>6</v>
      </c>
      <c r="E1871" s="7" t="s">
        <v>31</v>
      </c>
      <c r="J1871">
        <f t="shared" si="144"/>
        <v>63.617251162500004</v>
      </c>
      <c r="K1871">
        <v>5.31</v>
      </c>
      <c r="M1871">
        <f t="shared" si="146"/>
        <v>0</v>
      </c>
      <c r="N1871">
        <f t="shared" si="145"/>
        <v>-5.31</v>
      </c>
    </row>
    <row r="1872" spans="1:14" x14ac:dyDescent="0.3">
      <c r="A1872" t="s">
        <v>252</v>
      </c>
      <c r="B1872" t="s">
        <v>51</v>
      </c>
      <c r="C1872">
        <v>2</v>
      </c>
      <c r="D1872">
        <v>12</v>
      </c>
      <c r="E1872" t="s">
        <v>64</v>
      </c>
      <c r="J1872">
        <f t="shared" si="144"/>
        <v>63.617251162500004</v>
      </c>
      <c r="K1872">
        <v>5.31</v>
      </c>
      <c r="M1872">
        <f t="shared" si="146"/>
        <v>0</v>
      </c>
      <c r="N1872">
        <f t="shared" si="145"/>
        <v>-5.31</v>
      </c>
    </row>
    <row r="1873" spans="1:14" x14ac:dyDescent="0.3">
      <c r="A1873" t="s">
        <v>252</v>
      </c>
      <c r="B1873" t="s">
        <v>51</v>
      </c>
      <c r="C1873">
        <v>2</v>
      </c>
      <c r="D1873">
        <v>12</v>
      </c>
      <c r="E1873" t="s">
        <v>30</v>
      </c>
      <c r="J1873">
        <f t="shared" si="144"/>
        <v>63.617251162500004</v>
      </c>
      <c r="K1873">
        <v>5.31</v>
      </c>
      <c r="M1873">
        <f t="shared" si="146"/>
        <v>0</v>
      </c>
      <c r="N1873">
        <f t="shared" si="145"/>
        <v>-5.31</v>
      </c>
    </row>
    <row r="1874" spans="1:14" x14ac:dyDescent="0.3">
      <c r="A1874" t="s">
        <v>252</v>
      </c>
      <c r="B1874" t="s">
        <v>51</v>
      </c>
      <c r="C1874">
        <v>2</v>
      </c>
      <c r="D1874">
        <v>12</v>
      </c>
      <c r="E1874" t="s">
        <v>31</v>
      </c>
      <c r="J1874">
        <f t="shared" si="144"/>
        <v>63.617251162500004</v>
      </c>
      <c r="K1874">
        <v>5.31</v>
      </c>
      <c r="M1874">
        <f t="shared" si="146"/>
        <v>0</v>
      </c>
      <c r="N1874">
        <f t="shared" si="145"/>
        <v>-5.31</v>
      </c>
    </row>
    <row r="1875" spans="1:14" x14ac:dyDescent="0.3">
      <c r="A1875" t="s">
        <v>252</v>
      </c>
      <c r="B1875" t="s">
        <v>51</v>
      </c>
      <c r="C1875">
        <v>2</v>
      </c>
      <c r="D1875">
        <v>18</v>
      </c>
      <c r="E1875" t="s">
        <v>64</v>
      </c>
      <c r="J1875">
        <f t="shared" si="144"/>
        <v>63.617251162500004</v>
      </c>
      <c r="K1875">
        <v>5.31</v>
      </c>
      <c r="M1875">
        <f t="shared" si="146"/>
        <v>0</v>
      </c>
      <c r="N1875">
        <f t="shared" si="145"/>
        <v>-5.31</v>
      </c>
    </row>
    <row r="1876" spans="1:14" x14ac:dyDescent="0.3">
      <c r="A1876" t="s">
        <v>252</v>
      </c>
      <c r="B1876" t="s">
        <v>51</v>
      </c>
      <c r="C1876">
        <v>2</v>
      </c>
      <c r="D1876">
        <v>18</v>
      </c>
      <c r="E1876" t="s">
        <v>30</v>
      </c>
      <c r="J1876">
        <f t="shared" si="144"/>
        <v>63.617251162500004</v>
      </c>
      <c r="K1876">
        <v>5.31</v>
      </c>
      <c r="M1876">
        <f t="shared" si="146"/>
        <v>0</v>
      </c>
      <c r="N1876">
        <f t="shared" si="145"/>
        <v>-5.31</v>
      </c>
    </row>
    <row r="1877" spans="1:14" x14ac:dyDescent="0.3">
      <c r="A1877" t="s">
        <v>252</v>
      </c>
      <c r="B1877" t="s">
        <v>51</v>
      </c>
      <c r="C1877">
        <v>2</v>
      </c>
      <c r="D1877">
        <v>18</v>
      </c>
      <c r="E1877" t="s">
        <v>31</v>
      </c>
      <c r="J1877">
        <f t="shared" si="144"/>
        <v>63.617251162500004</v>
      </c>
      <c r="K1877">
        <v>5.31</v>
      </c>
      <c r="M1877">
        <f t="shared" si="146"/>
        <v>0</v>
      </c>
      <c r="N1877">
        <f t="shared" si="145"/>
        <v>-5.31</v>
      </c>
    </row>
    <row r="1878" spans="1:14" x14ac:dyDescent="0.3">
      <c r="A1878" t="s">
        <v>252</v>
      </c>
      <c r="B1878" t="s">
        <v>51</v>
      </c>
      <c r="C1878">
        <v>2</v>
      </c>
      <c r="D1878">
        <v>24</v>
      </c>
      <c r="E1878" t="s">
        <v>28</v>
      </c>
      <c r="J1878">
        <f t="shared" si="144"/>
        <v>63.617251162500004</v>
      </c>
      <c r="K1878">
        <v>5.31</v>
      </c>
      <c r="M1878">
        <f t="shared" si="146"/>
        <v>0</v>
      </c>
      <c r="N1878">
        <f t="shared" si="145"/>
        <v>-5.31</v>
      </c>
    </row>
    <row r="1879" spans="1:14" x14ac:dyDescent="0.3">
      <c r="A1879" t="s">
        <v>252</v>
      </c>
      <c r="B1879" t="s">
        <v>51</v>
      </c>
      <c r="C1879">
        <v>2</v>
      </c>
      <c r="D1879">
        <v>24</v>
      </c>
      <c r="E1879" t="s">
        <v>30</v>
      </c>
      <c r="J1879">
        <f t="shared" si="144"/>
        <v>63.617251162500004</v>
      </c>
      <c r="K1879">
        <v>5.31</v>
      </c>
      <c r="M1879">
        <f t="shared" si="146"/>
        <v>0</v>
      </c>
      <c r="N1879">
        <f t="shared" si="145"/>
        <v>-5.31</v>
      </c>
    </row>
    <row r="1880" spans="1:14" x14ac:dyDescent="0.3">
      <c r="A1880" t="s">
        <v>252</v>
      </c>
      <c r="B1880" t="s">
        <v>51</v>
      </c>
      <c r="C1880">
        <v>2</v>
      </c>
      <c r="D1880">
        <v>24</v>
      </c>
      <c r="E1880" t="s">
        <v>31</v>
      </c>
      <c r="J1880">
        <f t="shared" si="144"/>
        <v>63.617251162500004</v>
      </c>
      <c r="K1880">
        <v>5.31</v>
      </c>
      <c r="M1880">
        <f t="shared" si="146"/>
        <v>0</v>
      </c>
      <c r="N1880">
        <f t="shared" si="145"/>
        <v>-5.31</v>
      </c>
    </row>
    <row r="1881" spans="1:14" x14ac:dyDescent="0.3">
      <c r="A1881" t="s">
        <v>252</v>
      </c>
      <c r="B1881" t="s">
        <v>51</v>
      </c>
      <c r="C1881">
        <v>2</v>
      </c>
      <c r="D1881">
        <v>48</v>
      </c>
      <c r="E1881" t="s">
        <v>64</v>
      </c>
      <c r="J1881">
        <f t="shared" si="144"/>
        <v>63.617251162500004</v>
      </c>
      <c r="K1881">
        <v>5.31</v>
      </c>
      <c r="M1881">
        <f t="shared" si="146"/>
        <v>0</v>
      </c>
      <c r="N1881">
        <f t="shared" si="145"/>
        <v>-5.31</v>
      </c>
    </row>
    <row r="1882" spans="1:14" x14ac:dyDescent="0.3">
      <c r="A1882" t="s">
        <v>252</v>
      </c>
      <c r="B1882" t="s">
        <v>51</v>
      </c>
      <c r="C1882">
        <v>2</v>
      </c>
      <c r="D1882">
        <v>48</v>
      </c>
      <c r="E1882" t="s">
        <v>30</v>
      </c>
      <c r="J1882">
        <f t="shared" si="144"/>
        <v>63.617251162500004</v>
      </c>
      <c r="K1882">
        <v>5.31</v>
      </c>
      <c r="M1882">
        <f t="shared" si="146"/>
        <v>0</v>
      </c>
      <c r="N1882">
        <f t="shared" si="145"/>
        <v>-5.31</v>
      </c>
    </row>
    <row r="1883" spans="1:14" x14ac:dyDescent="0.3">
      <c r="A1883" t="s">
        <v>252</v>
      </c>
      <c r="B1883" t="s">
        <v>51</v>
      </c>
      <c r="C1883">
        <v>2</v>
      </c>
      <c r="D1883">
        <v>48</v>
      </c>
      <c r="E1883" t="s">
        <v>31</v>
      </c>
      <c r="J1883">
        <f t="shared" si="144"/>
        <v>63.617251162500004</v>
      </c>
      <c r="K1883">
        <v>5.31</v>
      </c>
      <c r="M1883">
        <f t="shared" si="146"/>
        <v>0</v>
      </c>
      <c r="N1883">
        <f t="shared" si="145"/>
        <v>-5.31</v>
      </c>
    </row>
    <row r="1884" spans="1:14" x14ac:dyDescent="0.3">
      <c r="A1884" t="s">
        <v>252</v>
      </c>
      <c r="B1884" s="7" t="s">
        <v>51</v>
      </c>
      <c r="C1884" s="7"/>
      <c r="D1884" s="7"/>
      <c r="E1884" s="7" t="s">
        <v>67</v>
      </c>
      <c r="J1884">
        <f t="shared" si="144"/>
        <v>63.617251162500004</v>
      </c>
      <c r="K1884">
        <v>5.31</v>
      </c>
      <c r="M1884">
        <f t="shared" si="146"/>
        <v>0</v>
      </c>
      <c r="N1884">
        <f t="shared" si="145"/>
        <v>-5.31</v>
      </c>
    </row>
    <row r="1885" spans="1:14" x14ac:dyDescent="0.3">
      <c r="A1885" t="s">
        <v>252</v>
      </c>
      <c r="B1885" s="7" t="s">
        <v>51</v>
      </c>
      <c r="C1885" s="7"/>
      <c r="D1885" s="7"/>
      <c r="E1885" s="7" t="s">
        <v>68</v>
      </c>
      <c r="J1885">
        <f t="shared" si="144"/>
        <v>63.617251162500004</v>
      </c>
      <c r="K1885">
        <v>5.31</v>
      </c>
      <c r="M1885">
        <f t="shared" si="146"/>
        <v>0</v>
      </c>
      <c r="N1885">
        <f t="shared" si="145"/>
        <v>-5.31</v>
      </c>
    </row>
    <row r="1886" spans="1:14" x14ac:dyDescent="0.3">
      <c r="A1886" t="s">
        <v>252</v>
      </c>
      <c r="B1886" s="7" t="s">
        <v>51</v>
      </c>
      <c r="C1886" s="7"/>
      <c r="D1886" s="7"/>
      <c r="E1886" s="7" t="s">
        <v>69</v>
      </c>
      <c r="J1886">
        <f t="shared" si="144"/>
        <v>63.617251162500004</v>
      </c>
      <c r="K1886">
        <v>5.31</v>
      </c>
      <c r="M1886">
        <f t="shared" si="146"/>
        <v>0</v>
      </c>
      <c r="N1886">
        <f t="shared" si="145"/>
        <v>-5.31</v>
      </c>
    </row>
    <row r="1887" spans="1:14" x14ac:dyDescent="0.3">
      <c r="A1887" t="s">
        <v>252</v>
      </c>
      <c r="B1887" s="7" t="s">
        <v>51</v>
      </c>
      <c r="C1887" s="7"/>
      <c r="D1887" s="7"/>
      <c r="E1887" s="7" t="s">
        <v>70</v>
      </c>
      <c r="J1887">
        <f t="shared" si="144"/>
        <v>63.617251162500004</v>
      </c>
      <c r="K1887">
        <v>5.31</v>
      </c>
      <c r="M1887">
        <f t="shared" si="146"/>
        <v>0</v>
      </c>
      <c r="N1887">
        <f t="shared" si="145"/>
        <v>-5.31</v>
      </c>
    </row>
    <row r="1888" spans="1:14" x14ac:dyDescent="0.3">
      <c r="A1888" t="s">
        <v>252</v>
      </c>
      <c r="B1888" s="7" t="s">
        <v>54</v>
      </c>
      <c r="C1888" s="7">
        <v>1</v>
      </c>
      <c r="D1888" s="7">
        <v>0.5</v>
      </c>
      <c r="E1888" s="7" t="s">
        <v>64</v>
      </c>
      <c r="J1888">
        <f t="shared" si="144"/>
        <v>63.617251162500004</v>
      </c>
      <c r="K1888">
        <v>5.31</v>
      </c>
      <c r="M1888">
        <f t="shared" si="146"/>
        <v>0</v>
      </c>
      <c r="N1888">
        <f t="shared" si="145"/>
        <v>-5.31</v>
      </c>
    </row>
    <row r="1889" spans="1:14" x14ac:dyDescent="0.3">
      <c r="A1889" t="s">
        <v>252</v>
      </c>
      <c r="B1889" s="7" t="s">
        <v>54</v>
      </c>
      <c r="C1889" s="7">
        <v>1</v>
      </c>
      <c r="D1889" s="7">
        <v>0.5</v>
      </c>
      <c r="E1889" s="7" t="s">
        <v>30</v>
      </c>
      <c r="J1889">
        <f t="shared" si="144"/>
        <v>63.617251162500004</v>
      </c>
      <c r="K1889">
        <v>5.31</v>
      </c>
      <c r="M1889">
        <f t="shared" si="146"/>
        <v>0</v>
      </c>
      <c r="N1889">
        <f t="shared" si="145"/>
        <v>-5.31</v>
      </c>
    </row>
    <row r="1890" spans="1:14" x14ac:dyDescent="0.3">
      <c r="A1890" t="s">
        <v>252</v>
      </c>
      <c r="B1890" s="7" t="s">
        <v>54</v>
      </c>
      <c r="C1890" s="7">
        <v>1</v>
      </c>
      <c r="D1890" s="7">
        <v>0.5</v>
      </c>
      <c r="E1890" s="7" t="s">
        <v>31</v>
      </c>
      <c r="J1890">
        <f t="shared" si="144"/>
        <v>63.617251162500004</v>
      </c>
      <c r="K1890">
        <v>5.31</v>
      </c>
      <c r="M1890">
        <f t="shared" si="146"/>
        <v>0</v>
      </c>
      <c r="N1890">
        <f t="shared" si="145"/>
        <v>-5.31</v>
      </c>
    </row>
    <row r="1891" spans="1:14" x14ac:dyDescent="0.3">
      <c r="A1891" t="s">
        <v>252</v>
      </c>
      <c r="B1891" s="7" t="s">
        <v>54</v>
      </c>
      <c r="C1891" s="7">
        <v>1</v>
      </c>
      <c r="D1891" s="7">
        <v>2</v>
      </c>
      <c r="E1891" s="7" t="s">
        <v>64</v>
      </c>
      <c r="J1891">
        <f t="shared" si="144"/>
        <v>63.617251162500004</v>
      </c>
      <c r="K1891">
        <v>5.31</v>
      </c>
      <c r="M1891">
        <f t="shared" si="146"/>
        <v>0</v>
      </c>
      <c r="N1891">
        <f t="shared" si="145"/>
        <v>-5.31</v>
      </c>
    </row>
    <row r="1892" spans="1:14" x14ac:dyDescent="0.3">
      <c r="A1892" t="s">
        <v>252</v>
      </c>
      <c r="B1892" s="7" t="s">
        <v>54</v>
      </c>
      <c r="C1892" s="7">
        <v>1</v>
      </c>
      <c r="D1892" s="7">
        <v>2</v>
      </c>
      <c r="E1892" s="7" t="s">
        <v>30</v>
      </c>
      <c r="J1892">
        <f t="shared" si="144"/>
        <v>63.617251162500004</v>
      </c>
      <c r="K1892">
        <v>5.31</v>
      </c>
      <c r="M1892">
        <f t="shared" si="146"/>
        <v>0</v>
      </c>
      <c r="N1892">
        <f t="shared" si="145"/>
        <v>-5.31</v>
      </c>
    </row>
    <row r="1893" spans="1:14" x14ac:dyDescent="0.3">
      <c r="A1893" t="s">
        <v>252</v>
      </c>
      <c r="B1893" s="7" t="s">
        <v>54</v>
      </c>
      <c r="C1893" s="7">
        <v>1</v>
      </c>
      <c r="D1893" s="7">
        <v>2</v>
      </c>
      <c r="E1893" s="7" t="s">
        <v>31</v>
      </c>
      <c r="J1893">
        <f t="shared" si="144"/>
        <v>63.617251162500004</v>
      </c>
      <c r="K1893">
        <v>5.31</v>
      </c>
      <c r="M1893">
        <f t="shared" si="146"/>
        <v>0</v>
      </c>
      <c r="N1893">
        <f t="shared" si="145"/>
        <v>-5.31</v>
      </c>
    </row>
    <row r="1894" spans="1:14" x14ac:dyDescent="0.3">
      <c r="A1894" t="s">
        <v>252</v>
      </c>
      <c r="B1894" s="7" t="s">
        <v>54</v>
      </c>
      <c r="C1894" s="7">
        <v>1</v>
      </c>
      <c r="D1894" s="7">
        <v>6</v>
      </c>
      <c r="E1894" s="7" t="s">
        <v>64</v>
      </c>
      <c r="J1894">
        <f t="shared" si="144"/>
        <v>63.617251162500004</v>
      </c>
      <c r="K1894">
        <v>5.31</v>
      </c>
      <c r="M1894">
        <f t="shared" si="146"/>
        <v>0</v>
      </c>
      <c r="N1894">
        <f t="shared" si="145"/>
        <v>-5.31</v>
      </c>
    </row>
    <row r="1895" spans="1:14" x14ac:dyDescent="0.3">
      <c r="A1895" t="s">
        <v>252</v>
      </c>
      <c r="B1895" s="7" t="s">
        <v>54</v>
      </c>
      <c r="C1895" s="7">
        <v>1</v>
      </c>
      <c r="D1895" s="7">
        <v>6</v>
      </c>
      <c r="E1895" s="7" t="s">
        <v>30</v>
      </c>
      <c r="J1895">
        <f t="shared" si="144"/>
        <v>63.617251162500004</v>
      </c>
      <c r="K1895">
        <v>5.31</v>
      </c>
      <c r="M1895">
        <f t="shared" si="146"/>
        <v>0</v>
      </c>
      <c r="N1895">
        <f t="shared" si="145"/>
        <v>-5.31</v>
      </c>
    </row>
    <row r="1896" spans="1:14" x14ac:dyDescent="0.3">
      <c r="A1896" t="s">
        <v>252</v>
      </c>
      <c r="B1896" s="7" t="s">
        <v>54</v>
      </c>
      <c r="C1896" s="7">
        <v>1</v>
      </c>
      <c r="D1896" s="7">
        <v>6</v>
      </c>
      <c r="E1896" s="7" t="s">
        <v>31</v>
      </c>
      <c r="J1896">
        <f t="shared" si="144"/>
        <v>63.617251162500004</v>
      </c>
      <c r="K1896">
        <v>5.31</v>
      </c>
      <c r="M1896">
        <f t="shared" si="146"/>
        <v>0</v>
      </c>
      <c r="N1896">
        <f t="shared" si="145"/>
        <v>-5.31</v>
      </c>
    </row>
    <row r="1897" spans="1:14" x14ac:dyDescent="0.3">
      <c r="A1897" t="s">
        <v>252</v>
      </c>
      <c r="B1897" s="7" t="s">
        <v>54</v>
      </c>
      <c r="C1897" s="7">
        <v>1</v>
      </c>
      <c r="D1897" s="7">
        <v>12</v>
      </c>
      <c r="E1897" s="7" t="s">
        <v>64</v>
      </c>
      <c r="J1897">
        <f t="shared" si="144"/>
        <v>63.617251162500004</v>
      </c>
      <c r="K1897">
        <v>5.31</v>
      </c>
      <c r="M1897">
        <f t="shared" si="146"/>
        <v>0</v>
      </c>
      <c r="N1897">
        <f t="shared" si="145"/>
        <v>-5.31</v>
      </c>
    </row>
    <row r="1898" spans="1:14" x14ac:dyDescent="0.3">
      <c r="A1898" t="s">
        <v>252</v>
      </c>
      <c r="B1898" s="7" t="s">
        <v>54</v>
      </c>
      <c r="C1898" s="7">
        <v>1</v>
      </c>
      <c r="D1898" s="7">
        <v>12</v>
      </c>
      <c r="E1898" s="7" t="s">
        <v>30</v>
      </c>
      <c r="J1898">
        <f t="shared" si="144"/>
        <v>63.617251162500004</v>
      </c>
      <c r="K1898">
        <v>5.31</v>
      </c>
      <c r="M1898">
        <f t="shared" si="146"/>
        <v>0</v>
      </c>
      <c r="N1898">
        <f t="shared" si="145"/>
        <v>-5.31</v>
      </c>
    </row>
    <row r="1899" spans="1:14" x14ac:dyDescent="0.3">
      <c r="A1899" t="s">
        <v>252</v>
      </c>
      <c r="B1899" s="7" t="s">
        <v>54</v>
      </c>
      <c r="C1899" s="7">
        <v>1</v>
      </c>
      <c r="D1899" s="7">
        <v>12</v>
      </c>
      <c r="E1899" s="7" t="s">
        <v>31</v>
      </c>
      <c r="J1899">
        <f t="shared" si="144"/>
        <v>63.617251162500004</v>
      </c>
      <c r="K1899">
        <v>5.31</v>
      </c>
      <c r="M1899">
        <f t="shared" si="146"/>
        <v>0</v>
      </c>
      <c r="N1899">
        <f t="shared" si="145"/>
        <v>-5.31</v>
      </c>
    </row>
    <row r="1900" spans="1:14" x14ac:dyDescent="0.3">
      <c r="A1900" t="s">
        <v>252</v>
      </c>
      <c r="B1900" s="7" t="s">
        <v>54</v>
      </c>
      <c r="C1900" s="7">
        <v>1</v>
      </c>
      <c r="D1900" s="7">
        <v>18</v>
      </c>
      <c r="E1900" s="7" t="s">
        <v>64</v>
      </c>
      <c r="J1900">
        <f t="shared" ref="J1900:J1963" si="147">4.5*4.5*3.14159265</f>
        <v>63.617251162500004</v>
      </c>
      <c r="K1900">
        <v>5.31</v>
      </c>
      <c r="M1900">
        <f t="shared" si="146"/>
        <v>0</v>
      </c>
      <c r="N1900">
        <f t="shared" si="145"/>
        <v>-5.31</v>
      </c>
    </row>
    <row r="1901" spans="1:14" x14ac:dyDescent="0.3">
      <c r="A1901" t="s">
        <v>252</v>
      </c>
      <c r="B1901" s="7" t="s">
        <v>54</v>
      </c>
      <c r="C1901" s="7">
        <v>1</v>
      </c>
      <c r="D1901" s="7">
        <v>18</v>
      </c>
      <c r="E1901" s="7" t="s">
        <v>30</v>
      </c>
      <c r="J1901">
        <f t="shared" si="147"/>
        <v>63.617251162500004</v>
      </c>
      <c r="K1901">
        <v>5.31</v>
      </c>
      <c r="M1901">
        <f t="shared" si="146"/>
        <v>0</v>
      </c>
      <c r="N1901">
        <f t="shared" si="145"/>
        <v>-5.31</v>
      </c>
    </row>
    <row r="1902" spans="1:14" x14ac:dyDescent="0.3">
      <c r="A1902" t="s">
        <v>252</v>
      </c>
      <c r="B1902" s="7" t="s">
        <v>54</v>
      </c>
      <c r="C1902" s="7">
        <v>1</v>
      </c>
      <c r="D1902" s="7">
        <v>18</v>
      </c>
      <c r="E1902" s="7" t="s">
        <v>31</v>
      </c>
      <c r="J1902">
        <f t="shared" si="147"/>
        <v>63.617251162500004</v>
      </c>
      <c r="K1902">
        <v>5.31</v>
      </c>
      <c r="M1902">
        <f t="shared" si="146"/>
        <v>0</v>
      </c>
      <c r="N1902">
        <f t="shared" si="145"/>
        <v>-5.31</v>
      </c>
    </row>
    <row r="1903" spans="1:14" x14ac:dyDescent="0.3">
      <c r="A1903" t="s">
        <v>252</v>
      </c>
      <c r="B1903" s="7" t="s">
        <v>54</v>
      </c>
      <c r="C1903" s="7">
        <v>1</v>
      </c>
      <c r="D1903" s="7">
        <v>24</v>
      </c>
      <c r="E1903" s="7" t="s">
        <v>28</v>
      </c>
      <c r="J1903">
        <f t="shared" si="147"/>
        <v>63.617251162500004</v>
      </c>
      <c r="K1903">
        <v>5.31</v>
      </c>
      <c r="M1903">
        <f t="shared" si="146"/>
        <v>0</v>
      </c>
      <c r="N1903">
        <f t="shared" si="145"/>
        <v>-5.31</v>
      </c>
    </row>
    <row r="1904" spans="1:14" x14ac:dyDescent="0.3">
      <c r="A1904" t="s">
        <v>252</v>
      </c>
      <c r="B1904" s="7" t="s">
        <v>54</v>
      </c>
      <c r="C1904" s="7">
        <v>1</v>
      </c>
      <c r="D1904" s="7">
        <v>24</v>
      </c>
      <c r="E1904" s="7" t="s">
        <v>30</v>
      </c>
      <c r="J1904">
        <f t="shared" si="147"/>
        <v>63.617251162500004</v>
      </c>
      <c r="K1904">
        <v>5.31</v>
      </c>
      <c r="M1904">
        <f t="shared" si="146"/>
        <v>0</v>
      </c>
      <c r="N1904">
        <f t="shared" si="145"/>
        <v>-5.31</v>
      </c>
    </row>
    <row r="1905" spans="1:14" x14ac:dyDescent="0.3">
      <c r="A1905" t="s">
        <v>252</v>
      </c>
      <c r="B1905" s="7" t="s">
        <v>54</v>
      </c>
      <c r="C1905" s="7">
        <v>1</v>
      </c>
      <c r="D1905" s="7">
        <v>24</v>
      </c>
      <c r="E1905" s="7" t="s">
        <v>31</v>
      </c>
      <c r="J1905">
        <f t="shared" si="147"/>
        <v>63.617251162500004</v>
      </c>
      <c r="K1905">
        <v>5.31</v>
      </c>
      <c r="M1905">
        <f t="shared" si="146"/>
        <v>0</v>
      </c>
      <c r="N1905">
        <f t="shared" si="145"/>
        <v>-5.31</v>
      </c>
    </row>
    <row r="1906" spans="1:14" x14ac:dyDescent="0.3">
      <c r="A1906" t="s">
        <v>252</v>
      </c>
      <c r="B1906" s="7" t="s">
        <v>54</v>
      </c>
      <c r="C1906" s="7">
        <v>1</v>
      </c>
      <c r="D1906" s="7">
        <v>48</v>
      </c>
      <c r="E1906" s="7" t="s">
        <v>64</v>
      </c>
      <c r="J1906">
        <f t="shared" si="147"/>
        <v>63.617251162500004</v>
      </c>
      <c r="K1906">
        <v>5.31</v>
      </c>
      <c r="M1906">
        <f t="shared" si="146"/>
        <v>0</v>
      </c>
      <c r="N1906">
        <f t="shared" si="145"/>
        <v>-5.31</v>
      </c>
    </row>
    <row r="1907" spans="1:14" x14ac:dyDescent="0.3">
      <c r="A1907" t="s">
        <v>252</v>
      </c>
      <c r="B1907" s="7" t="s">
        <v>54</v>
      </c>
      <c r="C1907" s="7">
        <v>1</v>
      </c>
      <c r="D1907" s="7">
        <v>48</v>
      </c>
      <c r="E1907" s="7" t="s">
        <v>30</v>
      </c>
      <c r="J1907">
        <f t="shared" si="147"/>
        <v>63.617251162500004</v>
      </c>
      <c r="K1907">
        <v>5.31</v>
      </c>
      <c r="M1907">
        <f t="shared" si="146"/>
        <v>0</v>
      </c>
      <c r="N1907">
        <f t="shared" si="145"/>
        <v>-5.31</v>
      </c>
    </row>
    <row r="1908" spans="1:14" x14ac:dyDescent="0.3">
      <c r="A1908" t="s">
        <v>252</v>
      </c>
      <c r="B1908" s="7" t="s">
        <v>54</v>
      </c>
      <c r="C1908" s="7">
        <v>1</v>
      </c>
      <c r="D1908" s="7">
        <v>48</v>
      </c>
      <c r="E1908" s="7" t="s">
        <v>31</v>
      </c>
      <c r="J1908">
        <f t="shared" si="147"/>
        <v>63.617251162500004</v>
      </c>
      <c r="K1908">
        <v>5.31</v>
      </c>
      <c r="M1908">
        <f t="shared" si="146"/>
        <v>0</v>
      </c>
      <c r="N1908">
        <f t="shared" si="145"/>
        <v>-5.31</v>
      </c>
    </row>
    <row r="1909" spans="1:14" x14ac:dyDescent="0.3">
      <c r="A1909" t="s">
        <v>252</v>
      </c>
      <c r="B1909" t="s">
        <v>54</v>
      </c>
      <c r="C1909">
        <v>2</v>
      </c>
      <c r="D1909">
        <v>0.5</v>
      </c>
      <c r="E1909" t="s">
        <v>64</v>
      </c>
      <c r="J1909">
        <f t="shared" si="147"/>
        <v>63.617251162500004</v>
      </c>
      <c r="K1909">
        <v>5.31</v>
      </c>
      <c r="M1909">
        <f t="shared" si="146"/>
        <v>0</v>
      </c>
      <c r="N1909">
        <f t="shared" si="145"/>
        <v>-5.31</v>
      </c>
    </row>
    <row r="1910" spans="1:14" x14ac:dyDescent="0.3">
      <c r="A1910" t="s">
        <v>252</v>
      </c>
      <c r="B1910" t="s">
        <v>54</v>
      </c>
      <c r="C1910">
        <v>2</v>
      </c>
      <c r="D1910">
        <v>0.5</v>
      </c>
      <c r="E1910" t="s">
        <v>30</v>
      </c>
      <c r="J1910">
        <f t="shared" si="147"/>
        <v>63.617251162500004</v>
      </c>
      <c r="K1910">
        <v>5.31</v>
      </c>
      <c r="M1910">
        <f t="shared" si="146"/>
        <v>0</v>
      </c>
      <c r="N1910">
        <f t="shared" si="145"/>
        <v>-5.31</v>
      </c>
    </row>
    <row r="1911" spans="1:14" x14ac:dyDescent="0.3">
      <c r="A1911" t="s">
        <v>252</v>
      </c>
      <c r="B1911" t="s">
        <v>54</v>
      </c>
      <c r="C1911">
        <v>2</v>
      </c>
      <c r="D1911">
        <v>0.5</v>
      </c>
      <c r="E1911" t="s">
        <v>31</v>
      </c>
      <c r="J1911">
        <f t="shared" si="147"/>
        <v>63.617251162500004</v>
      </c>
      <c r="K1911">
        <v>5.31</v>
      </c>
      <c r="M1911">
        <f t="shared" si="146"/>
        <v>0</v>
      </c>
      <c r="N1911">
        <f t="shared" si="145"/>
        <v>-5.31</v>
      </c>
    </row>
    <row r="1912" spans="1:14" x14ac:dyDescent="0.3">
      <c r="A1912" t="s">
        <v>252</v>
      </c>
      <c r="B1912" t="s">
        <v>54</v>
      </c>
      <c r="C1912">
        <v>2</v>
      </c>
      <c r="D1912">
        <v>2</v>
      </c>
      <c r="E1912" t="s">
        <v>64</v>
      </c>
      <c r="J1912">
        <f t="shared" si="147"/>
        <v>63.617251162500004</v>
      </c>
      <c r="K1912">
        <v>5.31</v>
      </c>
      <c r="M1912">
        <f t="shared" si="146"/>
        <v>0</v>
      </c>
      <c r="N1912">
        <f t="shared" si="145"/>
        <v>-5.31</v>
      </c>
    </row>
    <row r="1913" spans="1:14" x14ac:dyDescent="0.3">
      <c r="A1913" t="s">
        <v>252</v>
      </c>
      <c r="B1913" t="s">
        <v>54</v>
      </c>
      <c r="C1913">
        <v>2</v>
      </c>
      <c r="D1913">
        <v>2</v>
      </c>
      <c r="E1913" t="s">
        <v>30</v>
      </c>
      <c r="J1913">
        <f t="shared" si="147"/>
        <v>63.617251162500004</v>
      </c>
      <c r="K1913">
        <v>5.31</v>
      </c>
      <c r="M1913">
        <f t="shared" si="146"/>
        <v>0</v>
      </c>
      <c r="N1913">
        <f t="shared" si="145"/>
        <v>-5.31</v>
      </c>
    </row>
    <row r="1914" spans="1:14" x14ac:dyDescent="0.3">
      <c r="A1914" t="s">
        <v>252</v>
      </c>
      <c r="B1914" t="s">
        <v>54</v>
      </c>
      <c r="C1914">
        <v>2</v>
      </c>
      <c r="D1914">
        <v>2</v>
      </c>
      <c r="E1914" t="s">
        <v>31</v>
      </c>
      <c r="J1914">
        <f t="shared" si="147"/>
        <v>63.617251162500004</v>
      </c>
      <c r="K1914">
        <v>5.31</v>
      </c>
      <c r="M1914">
        <f t="shared" si="146"/>
        <v>0</v>
      </c>
      <c r="N1914">
        <f t="shared" si="145"/>
        <v>-5.31</v>
      </c>
    </row>
    <row r="1915" spans="1:14" x14ac:dyDescent="0.3">
      <c r="A1915" t="s">
        <v>252</v>
      </c>
      <c r="B1915" t="s">
        <v>54</v>
      </c>
      <c r="C1915">
        <v>2</v>
      </c>
      <c r="D1915">
        <v>6</v>
      </c>
      <c r="E1915" t="s">
        <v>64</v>
      </c>
      <c r="J1915">
        <f t="shared" si="147"/>
        <v>63.617251162500004</v>
      </c>
      <c r="K1915">
        <v>5.31</v>
      </c>
      <c r="M1915">
        <f t="shared" si="146"/>
        <v>0</v>
      </c>
      <c r="N1915">
        <f t="shared" si="145"/>
        <v>-5.31</v>
      </c>
    </row>
    <row r="1916" spans="1:14" x14ac:dyDescent="0.3">
      <c r="A1916" t="s">
        <v>252</v>
      </c>
      <c r="B1916" t="s">
        <v>54</v>
      </c>
      <c r="C1916">
        <v>2</v>
      </c>
      <c r="D1916">
        <v>6</v>
      </c>
      <c r="E1916" t="s">
        <v>30</v>
      </c>
      <c r="J1916">
        <f t="shared" si="147"/>
        <v>63.617251162500004</v>
      </c>
      <c r="K1916">
        <v>5.31</v>
      </c>
      <c r="M1916">
        <f t="shared" si="146"/>
        <v>0</v>
      </c>
      <c r="N1916">
        <f t="shared" si="145"/>
        <v>-5.31</v>
      </c>
    </row>
    <row r="1917" spans="1:14" x14ac:dyDescent="0.3">
      <c r="A1917" t="s">
        <v>252</v>
      </c>
      <c r="B1917" t="s">
        <v>54</v>
      </c>
      <c r="C1917">
        <v>2</v>
      </c>
      <c r="D1917">
        <v>6</v>
      </c>
      <c r="E1917" t="s">
        <v>31</v>
      </c>
      <c r="J1917">
        <f t="shared" si="147"/>
        <v>63.617251162500004</v>
      </c>
      <c r="K1917">
        <v>5.31</v>
      </c>
      <c r="M1917">
        <f t="shared" si="146"/>
        <v>0</v>
      </c>
      <c r="N1917">
        <f t="shared" si="145"/>
        <v>-5.31</v>
      </c>
    </row>
    <row r="1918" spans="1:14" x14ac:dyDescent="0.3">
      <c r="A1918" t="s">
        <v>252</v>
      </c>
      <c r="B1918" t="s">
        <v>54</v>
      </c>
      <c r="C1918">
        <v>2</v>
      </c>
      <c r="D1918">
        <v>12</v>
      </c>
      <c r="E1918" t="s">
        <v>64</v>
      </c>
      <c r="J1918">
        <f t="shared" si="147"/>
        <v>63.617251162500004</v>
      </c>
      <c r="K1918">
        <v>5.31</v>
      </c>
      <c r="M1918">
        <f t="shared" si="146"/>
        <v>0</v>
      </c>
      <c r="N1918">
        <f t="shared" si="145"/>
        <v>-5.31</v>
      </c>
    </row>
    <row r="1919" spans="1:14" x14ac:dyDescent="0.3">
      <c r="A1919" t="s">
        <v>252</v>
      </c>
      <c r="B1919" t="s">
        <v>54</v>
      </c>
      <c r="C1919">
        <v>2</v>
      </c>
      <c r="D1919">
        <v>12</v>
      </c>
      <c r="E1919" t="s">
        <v>30</v>
      </c>
      <c r="J1919">
        <f t="shared" si="147"/>
        <v>63.617251162500004</v>
      </c>
      <c r="K1919">
        <v>5.31</v>
      </c>
      <c r="M1919">
        <f t="shared" si="146"/>
        <v>0</v>
      </c>
      <c r="N1919">
        <f t="shared" si="145"/>
        <v>-5.31</v>
      </c>
    </row>
    <row r="1920" spans="1:14" x14ac:dyDescent="0.3">
      <c r="A1920" t="s">
        <v>252</v>
      </c>
      <c r="B1920" t="s">
        <v>54</v>
      </c>
      <c r="C1920">
        <v>2</v>
      </c>
      <c r="D1920">
        <v>12</v>
      </c>
      <c r="E1920" t="s">
        <v>31</v>
      </c>
      <c r="J1920">
        <f t="shared" si="147"/>
        <v>63.617251162500004</v>
      </c>
      <c r="K1920">
        <v>5.31</v>
      </c>
      <c r="M1920">
        <f t="shared" si="146"/>
        <v>0</v>
      </c>
      <c r="N1920">
        <f t="shared" si="145"/>
        <v>-5.31</v>
      </c>
    </row>
    <row r="1921" spans="1:14" x14ac:dyDescent="0.3">
      <c r="A1921" t="s">
        <v>252</v>
      </c>
      <c r="B1921" t="s">
        <v>54</v>
      </c>
      <c r="C1921">
        <v>2</v>
      </c>
      <c r="D1921">
        <v>18</v>
      </c>
      <c r="E1921" t="s">
        <v>64</v>
      </c>
      <c r="J1921">
        <f t="shared" si="147"/>
        <v>63.617251162500004</v>
      </c>
      <c r="K1921">
        <v>5.31</v>
      </c>
      <c r="M1921">
        <f t="shared" si="146"/>
        <v>0</v>
      </c>
      <c r="N1921">
        <f t="shared" si="145"/>
        <v>-5.31</v>
      </c>
    </row>
    <row r="1922" spans="1:14" x14ac:dyDescent="0.3">
      <c r="A1922" t="s">
        <v>252</v>
      </c>
      <c r="B1922" t="s">
        <v>54</v>
      </c>
      <c r="C1922">
        <v>2</v>
      </c>
      <c r="D1922">
        <v>18</v>
      </c>
      <c r="E1922" t="s">
        <v>30</v>
      </c>
      <c r="J1922">
        <f t="shared" si="147"/>
        <v>63.617251162500004</v>
      </c>
      <c r="K1922">
        <v>5.31</v>
      </c>
      <c r="M1922">
        <f t="shared" si="146"/>
        <v>0</v>
      </c>
      <c r="N1922">
        <f t="shared" si="145"/>
        <v>-5.31</v>
      </c>
    </row>
    <row r="1923" spans="1:14" x14ac:dyDescent="0.3">
      <c r="A1923" t="s">
        <v>252</v>
      </c>
      <c r="B1923" t="s">
        <v>54</v>
      </c>
      <c r="C1923">
        <v>2</v>
      </c>
      <c r="D1923">
        <v>18</v>
      </c>
      <c r="E1923" t="s">
        <v>31</v>
      </c>
      <c r="J1923">
        <f t="shared" si="147"/>
        <v>63.617251162500004</v>
      </c>
      <c r="K1923">
        <v>5.31</v>
      </c>
      <c r="M1923">
        <f t="shared" si="146"/>
        <v>0</v>
      </c>
      <c r="N1923">
        <f t="shared" ref="N1923:N1986" si="148">L1923*J1923-K1923</f>
        <v>-5.31</v>
      </c>
    </row>
    <row r="1924" spans="1:14" x14ac:dyDescent="0.3">
      <c r="A1924" t="s">
        <v>252</v>
      </c>
      <c r="B1924" t="s">
        <v>54</v>
      </c>
      <c r="C1924">
        <v>2</v>
      </c>
      <c r="D1924">
        <v>24</v>
      </c>
      <c r="E1924" t="s">
        <v>28</v>
      </c>
      <c r="J1924">
        <f t="shared" si="147"/>
        <v>63.617251162500004</v>
      </c>
      <c r="K1924">
        <v>5.31</v>
      </c>
      <c r="M1924">
        <f t="shared" ref="M1924:M1987" si="149">L1924*F1924</f>
        <v>0</v>
      </c>
      <c r="N1924">
        <f t="shared" si="148"/>
        <v>-5.31</v>
      </c>
    </row>
    <row r="1925" spans="1:14" x14ac:dyDescent="0.3">
      <c r="A1925" t="s">
        <v>252</v>
      </c>
      <c r="B1925" t="s">
        <v>54</v>
      </c>
      <c r="C1925">
        <v>2</v>
      </c>
      <c r="D1925">
        <v>24</v>
      </c>
      <c r="E1925" t="s">
        <v>30</v>
      </c>
      <c r="J1925">
        <f t="shared" si="147"/>
        <v>63.617251162500004</v>
      </c>
      <c r="K1925">
        <v>5.31</v>
      </c>
      <c r="M1925">
        <f t="shared" si="149"/>
        <v>0</v>
      </c>
      <c r="N1925">
        <f t="shared" si="148"/>
        <v>-5.31</v>
      </c>
    </row>
    <row r="1926" spans="1:14" x14ac:dyDescent="0.3">
      <c r="A1926" t="s">
        <v>252</v>
      </c>
      <c r="B1926" t="s">
        <v>54</v>
      </c>
      <c r="C1926">
        <v>2</v>
      </c>
      <c r="D1926">
        <v>24</v>
      </c>
      <c r="E1926" t="s">
        <v>31</v>
      </c>
      <c r="J1926">
        <f t="shared" si="147"/>
        <v>63.617251162500004</v>
      </c>
      <c r="K1926">
        <v>5.31</v>
      </c>
      <c r="M1926">
        <f t="shared" si="149"/>
        <v>0</v>
      </c>
      <c r="N1926">
        <f t="shared" si="148"/>
        <v>-5.31</v>
      </c>
    </row>
    <row r="1927" spans="1:14" x14ac:dyDescent="0.3">
      <c r="A1927" t="s">
        <v>252</v>
      </c>
      <c r="B1927" t="s">
        <v>54</v>
      </c>
      <c r="C1927">
        <v>2</v>
      </c>
      <c r="D1927">
        <v>48</v>
      </c>
      <c r="E1927" t="s">
        <v>64</v>
      </c>
      <c r="J1927">
        <f t="shared" si="147"/>
        <v>63.617251162500004</v>
      </c>
      <c r="K1927">
        <v>5.31</v>
      </c>
      <c r="M1927">
        <f t="shared" si="149"/>
        <v>0</v>
      </c>
      <c r="N1927">
        <f t="shared" si="148"/>
        <v>-5.31</v>
      </c>
    </row>
    <row r="1928" spans="1:14" x14ac:dyDescent="0.3">
      <c r="A1928" t="s">
        <v>252</v>
      </c>
      <c r="B1928" t="s">
        <v>54</v>
      </c>
      <c r="C1928">
        <v>2</v>
      </c>
      <c r="D1928">
        <v>48</v>
      </c>
      <c r="E1928" t="s">
        <v>30</v>
      </c>
      <c r="J1928">
        <f t="shared" si="147"/>
        <v>63.617251162500004</v>
      </c>
      <c r="K1928">
        <v>5.31</v>
      </c>
      <c r="M1928">
        <f t="shared" si="149"/>
        <v>0</v>
      </c>
      <c r="N1928">
        <f t="shared" si="148"/>
        <v>-5.31</v>
      </c>
    </row>
    <row r="1929" spans="1:14" x14ac:dyDescent="0.3">
      <c r="A1929" t="s">
        <v>252</v>
      </c>
      <c r="B1929" t="s">
        <v>54</v>
      </c>
      <c r="C1929">
        <v>2</v>
      </c>
      <c r="D1929">
        <v>48</v>
      </c>
      <c r="E1929" t="s">
        <v>31</v>
      </c>
      <c r="J1929">
        <f t="shared" si="147"/>
        <v>63.617251162500004</v>
      </c>
      <c r="K1929">
        <v>5.31</v>
      </c>
      <c r="M1929">
        <f t="shared" si="149"/>
        <v>0</v>
      </c>
      <c r="N1929">
        <f t="shared" si="148"/>
        <v>-5.31</v>
      </c>
    </row>
    <row r="1930" spans="1:14" x14ac:dyDescent="0.3">
      <c r="A1930" t="s">
        <v>252</v>
      </c>
      <c r="B1930" t="s">
        <v>54</v>
      </c>
      <c r="E1930" t="s">
        <v>67</v>
      </c>
      <c r="J1930">
        <f t="shared" si="147"/>
        <v>63.617251162500004</v>
      </c>
      <c r="K1930">
        <v>5.31</v>
      </c>
      <c r="M1930">
        <f t="shared" si="149"/>
        <v>0</v>
      </c>
      <c r="N1930">
        <f t="shared" si="148"/>
        <v>-5.31</v>
      </c>
    </row>
    <row r="1931" spans="1:14" x14ac:dyDescent="0.3">
      <c r="A1931" t="s">
        <v>252</v>
      </c>
      <c r="B1931" t="s">
        <v>54</v>
      </c>
      <c r="E1931" t="s">
        <v>68</v>
      </c>
      <c r="J1931">
        <f t="shared" si="147"/>
        <v>63.617251162500004</v>
      </c>
      <c r="K1931">
        <v>5.31</v>
      </c>
      <c r="M1931">
        <f t="shared" si="149"/>
        <v>0</v>
      </c>
      <c r="N1931">
        <f t="shared" si="148"/>
        <v>-5.31</v>
      </c>
    </row>
    <row r="1932" spans="1:14" x14ac:dyDescent="0.3">
      <c r="A1932" t="s">
        <v>252</v>
      </c>
      <c r="B1932" t="s">
        <v>54</v>
      </c>
      <c r="E1932" t="s">
        <v>69</v>
      </c>
      <c r="J1932">
        <f t="shared" si="147"/>
        <v>63.617251162500004</v>
      </c>
      <c r="K1932">
        <v>5.31</v>
      </c>
      <c r="M1932">
        <f t="shared" si="149"/>
        <v>0</v>
      </c>
      <c r="N1932">
        <f t="shared" si="148"/>
        <v>-5.31</v>
      </c>
    </row>
    <row r="1933" spans="1:14" x14ac:dyDescent="0.3">
      <c r="A1933" t="s">
        <v>252</v>
      </c>
      <c r="B1933" t="s">
        <v>54</v>
      </c>
      <c r="E1933" t="s">
        <v>70</v>
      </c>
      <c r="J1933">
        <f t="shared" si="147"/>
        <v>63.617251162500004</v>
      </c>
      <c r="K1933">
        <v>5.31</v>
      </c>
      <c r="M1933">
        <f t="shared" si="149"/>
        <v>0</v>
      </c>
      <c r="N1933">
        <f t="shared" si="148"/>
        <v>-5.31</v>
      </c>
    </row>
    <row r="1934" spans="1:14" x14ac:dyDescent="0.3">
      <c r="A1934" t="s">
        <v>252</v>
      </c>
      <c r="B1934" t="s">
        <v>57</v>
      </c>
      <c r="C1934">
        <v>1</v>
      </c>
      <c r="D1934">
        <v>0.5</v>
      </c>
      <c r="E1934" t="s">
        <v>64</v>
      </c>
      <c r="J1934">
        <f t="shared" si="147"/>
        <v>63.617251162500004</v>
      </c>
      <c r="K1934">
        <v>5.31</v>
      </c>
      <c r="M1934">
        <f t="shared" si="149"/>
        <v>0</v>
      </c>
      <c r="N1934">
        <f t="shared" si="148"/>
        <v>-5.31</v>
      </c>
    </row>
    <row r="1935" spans="1:14" x14ac:dyDescent="0.3">
      <c r="A1935" t="s">
        <v>252</v>
      </c>
      <c r="B1935" t="s">
        <v>57</v>
      </c>
      <c r="C1935">
        <v>1</v>
      </c>
      <c r="D1935">
        <v>0.5</v>
      </c>
      <c r="E1935" t="s">
        <v>30</v>
      </c>
      <c r="J1935">
        <f t="shared" si="147"/>
        <v>63.617251162500004</v>
      </c>
      <c r="K1935">
        <v>5.31</v>
      </c>
      <c r="M1935">
        <f t="shared" si="149"/>
        <v>0</v>
      </c>
      <c r="N1935">
        <f t="shared" si="148"/>
        <v>-5.31</v>
      </c>
    </row>
    <row r="1936" spans="1:14" x14ac:dyDescent="0.3">
      <c r="A1936" t="s">
        <v>252</v>
      </c>
      <c r="B1936" t="s">
        <v>57</v>
      </c>
      <c r="C1936">
        <v>1</v>
      </c>
      <c r="D1936">
        <v>0.5</v>
      </c>
      <c r="E1936" t="s">
        <v>31</v>
      </c>
      <c r="J1936">
        <f t="shared" si="147"/>
        <v>63.617251162500004</v>
      </c>
      <c r="K1936">
        <v>5.31</v>
      </c>
      <c r="M1936">
        <f t="shared" si="149"/>
        <v>0</v>
      </c>
      <c r="N1936">
        <f t="shared" si="148"/>
        <v>-5.31</v>
      </c>
    </row>
    <row r="1937" spans="1:14" x14ac:dyDescent="0.3">
      <c r="A1937" t="s">
        <v>252</v>
      </c>
      <c r="B1937" t="s">
        <v>57</v>
      </c>
      <c r="C1937">
        <v>1</v>
      </c>
      <c r="D1937">
        <v>2</v>
      </c>
      <c r="E1937" t="s">
        <v>64</v>
      </c>
      <c r="J1937">
        <f t="shared" si="147"/>
        <v>63.617251162500004</v>
      </c>
      <c r="K1937">
        <v>5.31</v>
      </c>
      <c r="M1937">
        <f t="shared" si="149"/>
        <v>0</v>
      </c>
      <c r="N1937">
        <f t="shared" si="148"/>
        <v>-5.31</v>
      </c>
    </row>
    <row r="1938" spans="1:14" x14ac:dyDescent="0.3">
      <c r="A1938" t="s">
        <v>252</v>
      </c>
      <c r="B1938" t="s">
        <v>57</v>
      </c>
      <c r="C1938">
        <v>1</v>
      </c>
      <c r="D1938">
        <v>2</v>
      </c>
      <c r="E1938" t="s">
        <v>30</v>
      </c>
      <c r="J1938">
        <f t="shared" si="147"/>
        <v>63.617251162500004</v>
      </c>
      <c r="K1938">
        <v>5.31</v>
      </c>
      <c r="M1938">
        <f t="shared" si="149"/>
        <v>0</v>
      </c>
      <c r="N1938">
        <f t="shared" si="148"/>
        <v>-5.31</v>
      </c>
    </row>
    <row r="1939" spans="1:14" x14ac:dyDescent="0.3">
      <c r="A1939" t="s">
        <v>252</v>
      </c>
      <c r="B1939" t="s">
        <v>57</v>
      </c>
      <c r="C1939">
        <v>1</v>
      </c>
      <c r="D1939">
        <v>2</v>
      </c>
      <c r="E1939" t="s">
        <v>31</v>
      </c>
      <c r="J1939">
        <f t="shared" si="147"/>
        <v>63.617251162500004</v>
      </c>
      <c r="K1939">
        <v>5.31</v>
      </c>
      <c r="M1939">
        <f t="shared" si="149"/>
        <v>0</v>
      </c>
      <c r="N1939">
        <f t="shared" si="148"/>
        <v>-5.31</v>
      </c>
    </row>
    <row r="1940" spans="1:14" x14ac:dyDescent="0.3">
      <c r="A1940" t="s">
        <v>252</v>
      </c>
      <c r="B1940" t="s">
        <v>57</v>
      </c>
      <c r="C1940">
        <v>1</v>
      </c>
      <c r="D1940">
        <v>6</v>
      </c>
      <c r="E1940" t="s">
        <v>64</v>
      </c>
      <c r="J1940">
        <f t="shared" si="147"/>
        <v>63.617251162500004</v>
      </c>
      <c r="K1940">
        <v>5.31</v>
      </c>
      <c r="M1940">
        <f t="shared" si="149"/>
        <v>0</v>
      </c>
      <c r="N1940">
        <f t="shared" si="148"/>
        <v>-5.31</v>
      </c>
    </row>
    <row r="1941" spans="1:14" x14ac:dyDescent="0.3">
      <c r="A1941" t="s">
        <v>252</v>
      </c>
      <c r="B1941" t="s">
        <v>57</v>
      </c>
      <c r="C1941">
        <v>1</v>
      </c>
      <c r="D1941">
        <v>6</v>
      </c>
      <c r="E1941" t="s">
        <v>30</v>
      </c>
      <c r="J1941">
        <f t="shared" si="147"/>
        <v>63.617251162500004</v>
      </c>
      <c r="K1941">
        <v>5.31</v>
      </c>
      <c r="M1941">
        <f t="shared" si="149"/>
        <v>0</v>
      </c>
      <c r="N1941">
        <f t="shared" si="148"/>
        <v>-5.31</v>
      </c>
    </row>
    <row r="1942" spans="1:14" x14ac:dyDescent="0.3">
      <c r="A1942" t="s">
        <v>252</v>
      </c>
      <c r="B1942" t="s">
        <v>57</v>
      </c>
      <c r="C1942">
        <v>1</v>
      </c>
      <c r="D1942">
        <v>6</v>
      </c>
      <c r="E1942" t="s">
        <v>31</v>
      </c>
      <c r="J1942">
        <f t="shared" si="147"/>
        <v>63.617251162500004</v>
      </c>
      <c r="K1942">
        <v>5.31</v>
      </c>
      <c r="M1942">
        <f t="shared" si="149"/>
        <v>0</v>
      </c>
      <c r="N1942">
        <f t="shared" si="148"/>
        <v>-5.31</v>
      </c>
    </row>
    <row r="1943" spans="1:14" x14ac:dyDescent="0.3">
      <c r="A1943" t="s">
        <v>252</v>
      </c>
      <c r="B1943" t="s">
        <v>57</v>
      </c>
      <c r="C1943">
        <v>1</v>
      </c>
      <c r="D1943">
        <v>12</v>
      </c>
      <c r="E1943" t="s">
        <v>64</v>
      </c>
      <c r="J1943">
        <f t="shared" si="147"/>
        <v>63.617251162500004</v>
      </c>
      <c r="K1943">
        <v>5.31</v>
      </c>
      <c r="M1943">
        <f t="shared" si="149"/>
        <v>0</v>
      </c>
      <c r="N1943">
        <f t="shared" si="148"/>
        <v>-5.31</v>
      </c>
    </row>
    <row r="1944" spans="1:14" x14ac:dyDescent="0.3">
      <c r="A1944" t="s">
        <v>252</v>
      </c>
      <c r="B1944" t="s">
        <v>57</v>
      </c>
      <c r="C1944">
        <v>1</v>
      </c>
      <c r="D1944">
        <v>12</v>
      </c>
      <c r="E1944" t="s">
        <v>30</v>
      </c>
      <c r="J1944">
        <f t="shared" si="147"/>
        <v>63.617251162500004</v>
      </c>
      <c r="K1944">
        <v>5.31</v>
      </c>
      <c r="M1944">
        <f t="shared" si="149"/>
        <v>0</v>
      </c>
      <c r="N1944">
        <f t="shared" si="148"/>
        <v>-5.31</v>
      </c>
    </row>
    <row r="1945" spans="1:14" x14ac:dyDescent="0.3">
      <c r="A1945" t="s">
        <v>252</v>
      </c>
      <c r="B1945" t="s">
        <v>57</v>
      </c>
      <c r="C1945">
        <v>1</v>
      </c>
      <c r="D1945">
        <v>12</v>
      </c>
      <c r="E1945" t="s">
        <v>31</v>
      </c>
      <c r="J1945">
        <f t="shared" si="147"/>
        <v>63.617251162500004</v>
      </c>
      <c r="K1945">
        <v>5.31</v>
      </c>
      <c r="M1945">
        <f t="shared" si="149"/>
        <v>0</v>
      </c>
      <c r="N1945">
        <f t="shared" si="148"/>
        <v>-5.31</v>
      </c>
    </row>
    <row r="1946" spans="1:14" x14ac:dyDescent="0.3">
      <c r="A1946" t="s">
        <v>252</v>
      </c>
      <c r="B1946" t="s">
        <v>57</v>
      </c>
      <c r="C1946">
        <v>1</v>
      </c>
      <c r="D1946">
        <v>18</v>
      </c>
      <c r="E1946" t="s">
        <v>64</v>
      </c>
      <c r="J1946">
        <f t="shared" si="147"/>
        <v>63.617251162500004</v>
      </c>
      <c r="K1946">
        <v>5.31</v>
      </c>
      <c r="M1946">
        <f t="shared" si="149"/>
        <v>0</v>
      </c>
      <c r="N1946">
        <f t="shared" si="148"/>
        <v>-5.31</v>
      </c>
    </row>
    <row r="1947" spans="1:14" x14ac:dyDescent="0.3">
      <c r="A1947" t="s">
        <v>252</v>
      </c>
      <c r="B1947" t="s">
        <v>57</v>
      </c>
      <c r="C1947">
        <v>1</v>
      </c>
      <c r="D1947">
        <v>18</v>
      </c>
      <c r="E1947" t="s">
        <v>30</v>
      </c>
      <c r="J1947">
        <f t="shared" si="147"/>
        <v>63.617251162500004</v>
      </c>
      <c r="K1947">
        <v>5.31</v>
      </c>
      <c r="M1947">
        <f t="shared" si="149"/>
        <v>0</v>
      </c>
      <c r="N1947">
        <f t="shared" si="148"/>
        <v>-5.31</v>
      </c>
    </row>
    <row r="1948" spans="1:14" x14ac:dyDescent="0.3">
      <c r="A1948" t="s">
        <v>252</v>
      </c>
      <c r="B1948" t="s">
        <v>57</v>
      </c>
      <c r="C1948">
        <v>1</v>
      </c>
      <c r="D1948">
        <v>18</v>
      </c>
      <c r="E1948" t="s">
        <v>31</v>
      </c>
      <c r="J1948">
        <f t="shared" si="147"/>
        <v>63.617251162500004</v>
      </c>
      <c r="K1948">
        <v>5.31</v>
      </c>
      <c r="M1948">
        <f t="shared" si="149"/>
        <v>0</v>
      </c>
      <c r="N1948">
        <f t="shared" si="148"/>
        <v>-5.31</v>
      </c>
    </row>
    <row r="1949" spans="1:14" x14ac:dyDescent="0.3">
      <c r="A1949" t="s">
        <v>252</v>
      </c>
      <c r="B1949" t="s">
        <v>57</v>
      </c>
      <c r="C1949">
        <v>1</v>
      </c>
      <c r="D1949">
        <v>24</v>
      </c>
      <c r="E1949" t="s">
        <v>28</v>
      </c>
      <c r="J1949">
        <f t="shared" si="147"/>
        <v>63.617251162500004</v>
      </c>
      <c r="K1949">
        <v>5.31</v>
      </c>
      <c r="M1949">
        <f t="shared" si="149"/>
        <v>0</v>
      </c>
      <c r="N1949">
        <f t="shared" si="148"/>
        <v>-5.31</v>
      </c>
    </row>
    <row r="1950" spans="1:14" x14ac:dyDescent="0.3">
      <c r="A1950" t="s">
        <v>252</v>
      </c>
      <c r="B1950" t="s">
        <v>57</v>
      </c>
      <c r="C1950">
        <v>1</v>
      </c>
      <c r="D1950">
        <v>24</v>
      </c>
      <c r="E1950" t="s">
        <v>30</v>
      </c>
      <c r="J1950">
        <f t="shared" si="147"/>
        <v>63.617251162500004</v>
      </c>
      <c r="K1950">
        <v>5.31</v>
      </c>
      <c r="M1950">
        <f t="shared" si="149"/>
        <v>0</v>
      </c>
      <c r="N1950">
        <f t="shared" si="148"/>
        <v>-5.31</v>
      </c>
    </row>
    <row r="1951" spans="1:14" x14ac:dyDescent="0.3">
      <c r="A1951" t="s">
        <v>252</v>
      </c>
      <c r="B1951" t="s">
        <v>57</v>
      </c>
      <c r="C1951">
        <v>1</v>
      </c>
      <c r="D1951">
        <v>24</v>
      </c>
      <c r="E1951" t="s">
        <v>31</v>
      </c>
      <c r="J1951">
        <f t="shared" si="147"/>
        <v>63.617251162500004</v>
      </c>
      <c r="K1951">
        <v>5.31</v>
      </c>
      <c r="M1951">
        <f t="shared" si="149"/>
        <v>0</v>
      </c>
      <c r="N1951">
        <f t="shared" si="148"/>
        <v>-5.31</v>
      </c>
    </row>
    <row r="1952" spans="1:14" x14ac:dyDescent="0.3">
      <c r="A1952" t="s">
        <v>252</v>
      </c>
      <c r="B1952" t="s">
        <v>57</v>
      </c>
      <c r="C1952">
        <v>1</v>
      </c>
      <c r="D1952">
        <v>48</v>
      </c>
      <c r="E1952" t="s">
        <v>64</v>
      </c>
      <c r="J1952">
        <f t="shared" si="147"/>
        <v>63.617251162500004</v>
      </c>
      <c r="K1952">
        <v>5.31</v>
      </c>
      <c r="M1952">
        <f t="shared" si="149"/>
        <v>0</v>
      </c>
      <c r="N1952">
        <f t="shared" si="148"/>
        <v>-5.31</v>
      </c>
    </row>
    <row r="1953" spans="1:14" x14ac:dyDescent="0.3">
      <c r="A1953" t="s">
        <v>252</v>
      </c>
      <c r="B1953" t="s">
        <v>57</v>
      </c>
      <c r="C1953">
        <v>1</v>
      </c>
      <c r="D1953">
        <v>48</v>
      </c>
      <c r="E1953" t="s">
        <v>30</v>
      </c>
      <c r="J1953">
        <f t="shared" si="147"/>
        <v>63.617251162500004</v>
      </c>
      <c r="K1953">
        <v>5.31</v>
      </c>
      <c r="M1953">
        <f t="shared" si="149"/>
        <v>0</v>
      </c>
      <c r="N1953">
        <f t="shared" si="148"/>
        <v>-5.31</v>
      </c>
    </row>
    <row r="1954" spans="1:14" x14ac:dyDescent="0.3">
      <c r="A1954" t="s">
        <v>252</v>
      </c>
      <c r="B1954" t="s">
        <v>57</v>
      </c>
      <c r="C1954">
        <v>1</v>
      </c>
      <c r="D1954">
        <v>48</v>
      </c>
      <c r="E1954" t="s">
        <v>31</v>
      </c>
      <c r="J1954">
        <f t="shared" si="147"/>
        <v>63.617251162500004</v>
      </c>
      <c r="K1954">
        <v>5.31</v>
      </c>
      <c r="M1954">
        <f t="shared" si="149"/>
        <v>0</v>
      </c>
      <c r="N1954">
        <f t="shared" si="148"/>
        <v>-5.31</v>
      </c>
    </row>
    <row r="1955" spans="1:14" x14ac:dyDescent="0.3">
      <c r="A1955" t="s">
        <v>252</v>
      </c>
      <c r="B1955" t="s">
        <v>57</v>
      </c>
      <c r="C1955">
        <v>2</v>
      </c>
      <c r="D1955">
        <v>0.5</v>
      </c>
      <c r="E1955" t="s">
        <v>64</v>
      </c>
      <c r="J1955">
        <f t="shared" si="147"/>
        <v>63.617251162500004</v>
      </c>
      <c r="K1955">
        <v>5.31</v>
      </c>
      <c r="M1955">
        <f t="shared" si="149"/>
        <v>0</v>
      </c>
      <c r="N1955">
        <f t="shared" si="148"/>
        <v>-5.31</v>
      </c>
    </row>
    <row r="1956" spans="1:14" x14ac:dyDescent="0.3">
      <c r="A1956" t="s">
        <v>252</v>
      </c>
      <c r="B1956" t="s">
        <v>57</v>
      </c>
      <c r="C1956">
        <v>2</v>
      </c>
      <c r="D1956">
        <v>0.5</v>
      </c>
      <c r="E1956" t="s">
        <v>30</v>
      </c>
      <c r="J1956">
        <f t="shared" si="147"/>
        <v>63.617251162500004</v>
      </c>
      <c r="K1956">
        <v>5.31</v>
      </c>
      <c r="M1956">
        <f t="shared" si="149"/>
        <v>0</v>
      </c>
      <c r="N1956">
        <f t="shared" si="148"/>
        <v>-5.31</v>
      </c>
    </row>
    <row r="1957" spans="1:14" x14ac:dyDescent="0.3">
      <c r="A1957" t="s">
        <v>252</v>
      </c>
      <c r="B1957" t="s">
        <v>57</v>
      </c>
      <c r="C1957">
        <v>2</v>
      </c>
      <c r="D1957">
        <v>0.5</v>
      </c>
      <c r="E1957" t="s">
        <v>31</v>
      </c>
      <c r="J1957">
        <f t="shared" si="147"/>
        <v>63.617251162500004</v>
      </c>
      <c r="K1957">
        <v>5.31</v>
      </c>
      <c r="M1957">
        <f t="shared" si="149"/>
        <v>0</v>
      </c>
      <c r="N1957">
        <f t="shared" si="148"/>
        <v>-5.31</v>
      </c>
    </row>
    <row r="1958" spans="1:14" x14ac:dyDescent="0.3">
      <c r="A1958" t="s">
        <v>252</v>
      </c>
      <c r="B1958" t="s">
        <v>57</v>
      </c>
      <c r="C1958">
        <v>2</v>
      </c>
      <c r="D1958">
        <v>2</v>
      </c>
      <c r="E1958" t="s">
        <v>64</v>
      </c>
      <c r="J1958">
        <f t="shared" si="147"/>
        <v>63.617251162500004</v>
      </c>
      <c r="K1958">
        <v>5.31</v>
      </c>
      <c r="M1958">
        <f t="shared" si="149"/>
        <v>0</v>
      </c>
      <c r="N1958">
        <f t="shared" si="148"/>
        <v>-5.31</v>
      </c>
    </row>
    <row r="1959" spans="1:14" x14ac:dyDescent="0.3">
      <c r="A1959" t="s">
        <v>252</v>
      </c>
      <c r="B1959" t="s">
        <v>57</v>
      </c>
      <c r="C1959">
        <v>2</v>
      </c>
      <c r="D1959">
        <v>2</v>
      </c>
      <c r="E1959" t="s">
        <v>30</v>
      </c>
      <c r="J1959">
        <f t="shared" si="147"/>
        <v>63.617251162500004</v>
      </c>
      <c r="K1959">
        <v>5.31</v>
      </c>
      <c r="M1959">
        <f t="shared" si="149"/>
        <v>0</v>
      </c>
      <c r="N1959">
        <f t="shared" si="148"/>
        <v>-5.31</v>
      </c>
    </row>
    <row r="1960" spans="1:14" x14ac:dyDescent="0.3">
      <c r="A1960" t="s">
        <v>252</v>
      </c>
      <c r="B1960" t="s">
        <v>57</v>
      </c>
      <c r="C1960">
        <v>2</v>
      </c>
      <c r="D1960">
        <v>2</v>
      </c>
      <c r="E1960" t="s">
        <v>31</v>
      </c>
      <c r="J1960">
        <f t="shared" si="147"/>
        <v>63.617251162500004</v>
      </c>
      <c r="K1960">
        <v>5.31</v>
      </c>
      <c r="M1960">
        <f t="shared" si="149"/>
        <v>0</v>
      </c>
      <c r="N1960">
        <f t="shared" si="148"/>
        <v>-5.31</v>
      </c>
    </row>
    <row r="1961" spans="1:14" x14ac:dyDescent="0.3">
      <c r="A1961" t="s">
        <v>252</v>
      </c>
      <c r="B1961" t="s">
        <v>57</v>
      </c>
      <c r="C1961">
        <v>2</v>
      </c>
      <c r="D1961">
        <v>6</v>
      </c>
      <c r="E1961" t="s">
        <v>64</v>
      </c>
      <c r="J1961">
        <f t="shared" si="147"/>
        <v>63.617251162500004</v>
      </c>
      <c r="K1961">
        <v>5.31</v>
      </c>
      <c r="M1961">
        <f t="shared" si="149"/>
        <v>0</v>
      </c>
      <c r="N1961">
        <f t="shared" si="148"/>
        <v>-5.31</v>
      </c>
    </row>
    <row r="1962" spans="1:14" x14ac:dyDescent="0.3">
      <c r="A1962" t="s">
        <v>252</v>
      </c>
      <c r="B1962" t="s">
        <v>57</v>
      </c>
      <c r="C1962">
        <v>2</v>
      </c>
      <c r="D1962">
        <v>6</v>
      </c>
      <c r="E1962" t="s">
        <v>30</v>
      </c>
      <c r="J1962">
        <f t="shared" si="147"/>
        <v>63.617251162500004</v>
      </c>
      <c r="K1962">
        <v>5.31</v>
      </c>
      <c r="M1962">
        <f t="shared" si="149"/>
        <v>0</v>
      </c>
      <c r="N1962">
        <f t="shared" si="148"/>
        <v>-5.31</v>
      </c>
    </row>
    <row r="1963" spans="1:14" x14ac:dyDescent="0.3">
      <c r="A1963" t="s">
        <v>252</v>
      </c>
      <c r="B1963" t="s">
        <v>57</v>
      </c>
      <c r="C1963">
        <v>2</v>
      </c>
      <c r="D1963">
        <v>6</v>
      </c>
      <c r="E1963" t="s">
        <v>31</v>
      </c>
      <c r="J1963">
        <f t="shared" si="147"/>
        <v>63.617251162500004</v>
      </c>
      <c r="K1963">
        <v>5.31</v>
      </c>
      <c r="M1963">
        <f t="shared" si="149"/>
        <v>0</v>
      </c>
      <c r="N1963">
        <f t="shared" si="148"/>
        <v>-5.31</v>
      </c>
    </row>
    <row r="1964" spans="1:14" x14ac:dyDescent="0.3">
      <c r="A1964" t="s">
        <v>252</v>
      </c>
      <c r="B1964" t="s">
        <v>57</v>
      </c>
      <c r="C1964">
        <v>2</v>
      </c>
      <c r="D1964">
        <v>12</v>
      </c>
      <c r="E1964" t="s">
        <v>64</v>
      </c>
      <c r="J1964">
        <f t="shared" ref="J1964:J2027" si="150">4.5*4.5*3.14159265</f>
        <v>63.617251162500004</v>
      </c>
      <c r="K1964">
        <v>5.31</v>
      </c>
      <c r="M1964">
        <f t="shared" si="149"/>
        <v>0</v>
      </c>
      <c r="N1964">
        <f t="shared" si="148"/>
        <v>-5.31</v>
      </c>
    </row>
    <row r="1965" spans="1:14" x14ac:dyDescent="0.3">
      <c r="A1965" t="s">
        <v>252</v>
      </c>
      <c r="B1965" t="s">
        <v>57</v>
      </c>
      <c r="C1965">
        <v>2</v>
      </c>
      <c r="D1965">
        <v>12</v>
      </c>
      <c r="E1965" t="s">
        <v>30</v>
      </c>
      <c r="J1965">
        <f t="shared" si="150"/>
        <v>63.617251162500004</v>
      </c>
      <c r="K1965">
        <v>5.31</v>
      </c>
      <c r="M1965">
        <f t="shared" si="149"/>
        <v>0</v>
      </c>
      <c r="N1965">
        <f t="shared" si="148"/>
        <v>-5.31</v>
      </c>
    </row>
    <row r="1966" spans="1:14" x14ac:dyDescent="0.3">
      <c r="A1966" t="s">
        <v>252</v>
      </c>
      <c r="B1966" t="s">
        <v>57</v>
      </c>
      <c r="C1966">
        <v>2</v>
      </c>
      <c r="D1966">
        <v>12</v>
      </c>
      <c r="E1966" t="s">
        <v>31</v>
      </c>
      <c r="J1966">
        <f t="shared" si="150"/>
        <v>63.617251162500004</v>
      </c>
      <c r="K1966">
        <v>5.31</v>
      </c>
      <c r="M1966">
        <f t="shared" si="149"/>
        <v>0</v>
      </c>
      <c r="N1966">
        <f t="shared" si="148"/>
        <v>-5.31</v>
      </c>
    </row>
    <row r="1967" spans="1:14" x14ac:dyDescent="0.3">
      <c r="A1967" t="s">
        <v>252</v>
      </c>
      <c r="B1967" t="s">
        <v>57</v>
      </c>
      <c r="C1967">
        <v>2</v>
      </c>
      <c r="D1967">
        <v>18</v>
      </c>
      <c r="E1967" t="s">
        <v>64</v>
      </c>
      <c r="J1967">
        <f t="shared" si="150"/>
        <v>63.617251162500004</v>
      </c>
      <c r="K1967">
        <v>5.31</v>
      </c>
      <c r="M1967">
        <f t="shared" si="149"/>
        <v>0</v>
      </c>
      <c r="N1967">
        <f t="shared" si="148"/>
        <v>-5.31</v>
      </c>
    </row>
    <row r="1968" spans="1:14" x14ac:dyDescent="0.3">
      <c r="A1968" t="s">
        <v>252</v>
      </c>
      <c r="B1968" t="s">
        <v>57</v>
      </c>
      <c r="C1968">
        <v>2</v>
      </c>
      <c r="D1968">
        <v>18</v>
      </c>
      <c r="E1968" t="s">
        <v>30</v>
      </c>
      <c r="J1968">
        <f t="shared" si="150"/>
        <v>63.617251162500004</v>
      </c>
      <c r="K1968">
        <v>5.31</v>
      </c>
      <c r="M1968">
        <f t="shared" si="149"/>
        <v>0</v>
      </c>
      <c r="N1968">
        <f t="shared" si="148"/>
        <v>-5.31</v>
      </c>
    </row>
    <row r="1969" spans="1:14" x14ac:dyDescent="0.3">
      <c r="A1969" t="s">
        <v>252</v>
      </c>
      <c r="B1969" t="s">
        <v>57</v>
      </c>
      <c r="C1969">
        <v>2</v>
      </c>
      <c r="D1969">
        <v>18</v>
      </c>
      <c r="E1969" t="s">
        <v>31</v>
      </c>
      <c r="J1969">
        <f t="shared" si="150"/>
        <v>63.617251162500004</v>
      </c>
      <c r="K1969">
        <v>5.31</v>
      </c>
      <c r="M1969">
        <f t="shared" si="149"/>
        <v>0</v>
      </c>
      <c r="N1969">
        <f t="shared" si="148"/>
        <v>-5.31</v>
      </c>
    </row>
    <row r="1970" spans="1:14" x14ac:dyDescent="0.3">
      <c r="A1970" t="s">
        <v>252</v>
      </c>
      <c r="B1970" t="s">
        <v>57</v>
      </c>
      <c r="C1970">
        <v>2</v>
      </c>
      <c r="D1970">
        <v>24</v>
      </c>
      <c r="E1970" t="s">
        <v>28</v>
      </c>
      <c r="J1970">
        <f t="shared" si="150"/>
        <v>63.617251162500004</v>
      </c>
      <c r="K1970">
        <v>5.31</v>
      </c>
      <c r="M1970">
        <f t="shared" si="149"/>
        <v>0</v>
      </c>
      <c r="N1970">
        <f t="shared" si="148"/>
        <v>-5.31</v>
      </c>
    </row>
    <row r="1971" spans="1:14" x14ac:dyDescent="0.3">
      <c r="A1971" t="s">
        <v>252</v>
      </c>
      <c r="B1971" t="s">
        <v>57</v>
      </c>
      <c r="C1971">
        <v>2</v>
      </c>
      <c r="D1971">
        <v>24</v>
      </c>
      <c r="E1971" t="s">
        <v>30</v>
      </c>
      <c r="J1971">
        <f t="shared" si="150"/>
        <v>63.617251162500004</v>
      </c>
      <c r="K1971">
        <v>5.31</v>
      </c>
      <c r="M1971">
        <f t="shared" si="149"/>
        <v>0</v>
      </c>
      <c r="N1971">
        <f t="shared" si="148"/>
        <v>-5.31</v>
      </c>
    </row>
    <row r="1972" spans="1:14" x14ac:dyDescent="0.3">
      <c r="A1972" t="s">
        <v>252</v>
      </c>
      <c r="B1972" t="s">
        <v>57</v>
      </c>
      <c r="C1972">
        <v>2</v>
      </c>
      <c r="D1972">
        <v>24</v>
      </c>
      <c r="E1972" t="s">
        <v>31</v>
      </c>
      <c r="J1972">
        <f t="shared" si="150"/>
        <v>63.617251162500004</v>
      </c>
      <c r="K1972">
        <v>5.31</v>
      </c>
      <c r="M1972">
        <f t="shared" si="149"/>
        <v>0</v>
      </c>
      <c r="N1972">
        <f t="shared" si="148"/>
        <v>-5.31</v>
      </c>
    </row>
    <row r="1973" spans="1:14" x14ac:dyDescent="0.3">
      <c r="A1973" t="s">
        <v>252</v>
      </c>
      <c r="B1973" t="s">
        <v>57</v>
      </c>
      <c r="C1973">
        <v>2</v>
      </c>
      <c r="D1973">
        <v>48</v>
      </c>
      <c r="E1973" t="s">
        <v>64</v>
      </c>
      <c r="J1973">
        <f t="shared" si="150"/>
        <v>63.617251162500004</v>
      </c>
      <c r="K1973">
        <v>5.31</v>
      </c>
      <c r="M1973">
        <f t="shared" si="149"/>
        <v>0</v>
      </c>
      <c r="N1973">
        <f t="shared" si="148"/>
        <v>-5.31</v>
      </c>
    </row>
    <row r="1974" spans="1:14" x14ac:dyDescent="0.3">
      <c r="A1974" t="s">
        <v>252</v>
      </c>
      <c r="B1974" t="s">
        <v>57</v>
      </c>
      <c r="C1974">
        <v>2</v>
      </c>
      <c r="D1974">
        <v>48</v>
      </c>
      <c r="E1974" t="s">
        <v>30</v>
      </c>
      <c r="J1974">
        <f t="shared" si="150"/>
        <v>63.617251162500004</v>
      </c>
      <c r="K1974">
        <v>5.31</v>
      </c>
      <c r="M1974">
        <f t="shared" si="149"/>
        <v>0</v>
      </c>
      <c r="N1974">
        <f t="shared" si="148"/>
        <v>-5.31</v>
      </c>
    </row>
    <row r="1975" spans="1:14" x14ac:dyDescent="0.3">
      <c r="A1975" t="s">
        <v>252</v>
      </c>
      <c r="B1975" t="s">
        <v>57</v>
      </c>
      <c r="C1975">
        <v>2</v>
      </c>
      <c r="D1975">
        <v>48</v>
      </c>
      <c r="E1975" t="s">
        <v>31</v>
      </c>
      <c r="J1975">
        <f t="shared" si="150"/>
        <v>63.617251162500004</v>
      </c>
      <c r="K1975">
        <v>5.31</v>
      </c>
      <c r="M1975">
        <f t="shared" si="149"/>
        <v>0</v>
      </c>
      <c r="N1975">
        <f t="shared" si="148"/>
        <v>-5.31</v>
      </c>
    </row>
    <row r="1976" spans="1:14" x14ac:dyDescent="0.3">
      <c r="A1976" t="s">
        <v>252</v>
      </c>
      <c r="B1976" t="s">
        <v>57</v>
      </c>
      <c r="E1976" t="s">
        <v>67</v>
      </c>
      <c r="J1976">
        <f t="shared" si="150"/>
        <v>63.617251162500004</v>
      </c>
      <c r="K1976">
        <v>5.31</v>
      </c>
      <c r="M1976">
        <f t="shared" si="149"/>
        <v>0</v>
      </c>
      <c r="N1976">
        <f t="shared" si="148"/>
        <v>-5.31</v>
      </c>
    </row>
    <row r="1977" spans="1:14" x14ac:dyDescent="0.3">
      <c r="A1977" t="s">
        <v>252</v>
      </c>
      <c r="B1977" t="s">
        <v>57</v>
      </c>
      <c r="E1977" t="s">
        <v>68</v>
      </c>
      <c r="J1977">
        <f t="shared" si="150"/>
        <v>63.617251162500004</v>
      </c>
      <c r="K1977">
        <v>5.31</v>
      </c>
      <c r="M1977">
        <f t="shared" si="149"/>
        <v>0</v>
      </c>
      <c r="N1977">
        <f t="shared" si="148"/>
        <v>-5.31</v>
      </c>
    </row>
    <row r="1978" spans="1:14" x14ac:dyDescent="0.3">
      <c r="A1978" t="s">
        <v>252</v>
      </c>
      <c r="B1978" t="s">
        <v>57</v>
      </c>
      <c r="E1978" t="s">
        <v>69</v>
      </c>
      <c r="J1978">
        <f t="shared" si="150"/>
        <v>63.617251162500004</v>
      </c>
      <c r="K1978">
        <v>5.31</v>
      </c>
      <c r="M1978">
        <f t="shared" si="149"/>
        <v>0</v>
      </c>
      <c r="N1978">
        <f t="shared" si="148"/>
        <v>-5.31</v>
      </c>
    </row>
    <row r="1979" spans="1:14" x14ac:dyDescent="0.3">
      <c r="A1979" t="s">
        <v>252</v>
      </c>
      <c r="B1979" t="s">
        <v>57</v>
      </c>
      <c r="E1979" t="s">
        <v>70</v>
      </c>
      <c r="J1979">
        <f t="shared" si="150"/>
        <v>63.617251162500004</v>
      </c>
      <c r="K1979">
        <v>5.31</v>
      </c>
      <c r="M1979">
        <f t="shared" si="149"/>
        <v>0</v>
      </c>
      <c r="N1979">
        <f t="shared" si="148"/>
        <v>-5.31</v>
      </c>
    </row>
    <row r="1980" spans="1:14" x14ac:dyDescent="0.3">
      <c r="A1980" t="s">
        <v>253</v>
      </c>
      <c r="B1980" t="s">
        <v>61</v>
      </c>
      <c r="C1980">
        <v>1</v>
      </c>
      <c r="D1980">
        <v>0.5</v>
      </c>
      <c r="E1980" t="s">
        <v>28</v>
      </c>
      <c r="J1980">
        <f t="shared" si="150"/>
        <v>63.617251162500004</v>
      </c>
      <c r="K1980">
        <v>5.31</v>
      </c>
      <c r="M1980">
        <f t="shared" si="149"/>
        <v>0</v>
      </c>
      <c r="N1980">
        <f t="shared" si="148"/>
        <v>-5.31</v>
      </c>
    </row>
    <row r="1981" spans="1:14" x14ac:dyDescent="0.3">
      <c r="A1981" t="s">
        <v>253</v>
      </c>
      <c r="B1981" t="s">
        <v>61</v>
      </c>
      <c r="C1981">
        <v>1</v>
      </c>
      <c r="D1981">
        <v>0.5</v>
      </c>
      <c r="E1981" t="s">
        <v>30</v>
      </c>
      <c r="J1981">
        <f t="shared" si="150"/>
        <v>63.617251162500004</v>
      </c>
      <c r="K1981">
        <v>5.31</v>
      </c>
      <c r="M1981">
        <f t="shared" si="149"/>
        <v>0</v>
      </c>
      <c r="N1981">
        <f t="shared" si="148"/>
        <v>-5.31</v>
      </c>
    </row>
    <row r="1982" spans="1:14" x14ac:dyDescent="0.3">
      <c r="A1982" t="s">
        <v>253</v>
      </c>
      <c r="B1982" t="s">
        <v>61</v>
      </c>
      <c r="C1982">
        <v>1</v>
      </c>
      <c r="D1982">
        <v>0.5</v>
      </c>
      <c r="E1982" t="s">
        <v>31</v>
      </c>
      <c r="J1982">
        <f t="shared" si="150"/>
        <v>63.617251162500004</v>
      </c>
      <c r="K1982">
        <v>5.31</v>
      </c>
      <c r="M1982">
        <f t="shared" si="149"/>
        <v>0</v>
      </c>
      <c r="N1982">
        <f t="shared" si="148"/>
        <v>-5.31</v>
      </c>
    </row>
    <row r="1983" spans="1:14" x14ac:dyDescent="0.3">
      <c r="A1983" t="s">
        <v>253</v>
      </c>
      <c r="B1983" t="s">
        <v>61</v>
      </c>
      <c r="C1983">
        <v>1</v>
      </c>
      <c r="D1983">
        <v>2</v>
      </c>
      <c r="E1983" t="s">
        <v>28</v>
      </c>
      <c r="J1983">
        <f t="shared" si="150"/>
        <v>63.617251162500004</v>
      </c>
      <c r="K1983">
        <v>5.31</v>
      </c>
      <c r="M1983">
        <f t="shared" si="149"/>
        <v>0</v>
      </c>
      <c r="N1983">
        <f t="shared" si="148"/>
        <v>-5.31</v>
      </c>
    </row>
    <row r="1984" spans="1:14" x14ac:dyDescent="0.3">
      <c r="A1984" t="s">
        <v>253</v>
      </c>
      <c r="B1984" t="s">
        <v>61</v>
      </c>
      <c r="C1984">
        <v>1</v>
      </c>
      <c r="D1984">
        <v>2</v>
      </c>
      <c r="E1984" t="s">
        <v>30</v>
      </c>
      <c r="J1984">
        <f t="shared" si="150"/>
        <v>63.617251162500004</v>
      </c>
      <c r="K1984">
        <v>5.31</v>
      </c>
      <c r="M1984">
        <f t="shared" si="149"/>
        <v>0</v>
      </c>
      <c r="N1984">
        <f t="shared" si="148"/>
        <v>-5.31</v>
      </c>
    </row>
    <row r="1985" spans="1:14" x14ac:dyDescent="0.3">
      <c r="A1985" t="s">
        <v>253</v>
      </c>
      <c r="B1985" t="s">
        <v>61</v>
      </c>
      <c r="C1985">
        <v>1</v>
      </c>
      <c r="D1985">
        <v>2</v>
      </c>
      <c r="E1985" t="s">
        <v>31</v>
      </c>
      <c r="J1985">
        <f t="shared" si="150"/>
        <v>63.617251162500004</v>
      </c>
      <c r="K1985">
        <v>5.31</v>
      </c>
      <c r="M1985">
        <f t="shared" si="149"/>
        <v>0</v>
      </c>
      <c r="N1985">
        <f t="shared" si="148"/>
        <v>-5.31</v>
      </c>
    </row>
    <row r="1986" spans="1:14" x14ac:dyDescent="0.3">
      <c r="A1986" t="s">
        <v>253</v>
      </c>
      <c r="B1986" t="s">
        <v>61</v>
      </c>
      <c r="C1986">
        <v>1</v>
      </c>
      <c r="D1986">
        <v>6</v>
      </c>
      <c r="E1986" t="s">
        <v>28</v>
      </c>
      <c r="J1986">
        <f t="shared" si="150"/>
        <v>63.617251162500004</v>
      </c>
      <c r="K1986">
        <v>5.31</v>
      </c>
      <c r="M1986">
        <f t="shared" si="149"/>
        <v>0</v>
      </c>
      <c r="N1986">
        <f t="shared" si="148"/>
        <v>-5.31</v>
      </c>
    </row>
    <row r="1987" spans="1:14" x14ac:dyDescent="0.3">
      <c r="A1987" t="s">
        <v>253</v>
      </c>
      <c r="B1987" t="s">
        <v>61</v>
      </c>
      <c r="C1987">
        <v>1</v>
      </c>
      <c r="D1987">
        <v>6</v>
      </c>
      <c r="E1987" t="s">
        <v>30</v>
      </c>
      <c r="J1987">
        <f t="shared" si="150"/>
        <v>63.617251162500004</v>
      </c>
      <c r="K1987">
        <v>5.31</v>
      </c>
      <c r="M1987">
        <f t="shared" si="149"/>
        <v>0</v>
      </c>
      <c r="N1987">
        <f t="shared" ref="N1987:N2050" si="151">L1987*J1987-K1987</f>
        <v>-5.31</v>
      </c>
    </row>
    <row r="1988" spans="1:14" x14ac:dyDescent="0.3">
      <c r="A1988" t="s">
        <v>253</v>
      </c>
      <c r="B1988" t="s">
        <v>61</v>
      </c>
      <c r="C1988">
        <v>1</v>
      </c>
      <c r="D1988">
        <v>6</v>
      </c>
      <c r="E1988" t="s">
        <v>31</v>
      </c>
      <c r="J1988">
        <f t="shared" si="150"/>
        <v>63.617251162500004</v>
      </c>
      <c r="K1988">
        <v>5.31</v>
      </c>
      <c r="M1988">
        <f t="shared" ref="M1988:M2051" si="152">L1988*F1988</f>
        <v>0</v>
      </c>
      <c r="N1988">
        <f t="shared" si="151"/>
        <v>-5.31</v>
      </c>
    </row>
    <row r="1989" spans="1:14" x14ac:dyDescent="0.3">
      <c r="A1989" t="s">
        <v>253</v>
      </c>
      <c r="B1989" t="s">
        <v>61</v>
      </c>
      <c r="C1989">
        <v>1</v>
      </c>
      <c r="D1989">
        <v>12</v>
      </c>
      <c r="E1989" t="s">
        <v>28</v>
      </c>
      <c r="J1989">
        <f t="shared" si="150"/>
        <v>63.617251162500004</v>
      </c>
      <c r="K1989">
        <v>5.31</v>
      </c>
      <c r="M1989">
        <f t="shared" si="152"/>
        <v>0</v>
      </c>
      <c r="N1989">
        <f t="shared" si="151"/>
        <v>-5.31</v>
      </c>
    </row>
    <row r="1990" spans="1:14" x14ac:dyDescent="0.3">
      <c r="A1990" t="s">
        <v>253</v>
      </c>
      <c r="B1990" t="s">
        <v>61</v>
      </c>
      <c r="C1990">
        <v>1</v>
      </c>
      <c r="D1990">
        <v>12</v>
      </c>
      <c r="E1990" t="s">
        <v>30</v>
      </c>
      <c r="J1990">
        <f t="shared" si="150"/>
        <v>63.617251162500004</v>
      </c>
      <c r="K1990">
        <v>5.31</v>
      </c>
      <c r="M1990">
        <f t="shared" si="152"/>
        <v>0</v>
      </c>
      <c r="N1990">
        <f t="shared" si="151"/>
        <v>-5.31</v>
      </c>
    </row>
    <row r="1991" spans="1:14" x14ac:dyDescent="0.3">
      <c r="A1991" t="s">
        <v>253</v>
      </c>
      <c r="B1991" t="s">
        <v>61</v>
      </c>
      <c r="C1991">
        <v>1</v>
      </c>
      <c r="D1991">
        <v>12</v>
      </c>
      <c r="E1991" t="s">
        <v>31</v>
      </c>
      <c r="J1991">
        <f t="shared" si="150"/>
        <v>63.617251162500004</v>
      </c>
      <c r="K1991">
        <v>5.31</v>
      </c>
      <c r="M1991">
        <f t="shared" si="152"/>
        <v>0</v>
      </c>
      <c r="N1991">
        <f t="shared" si="151"/>
        <v>-5.31</v>
      </c>
    </row>
    <row r="1992" spans="1:14" x14ac:dyDescent="0.3">
      <c r="A1992" t="s">
        <v>253</v>
      </c>
      <c r="B1992" t="s">
        <v>61</v>
      </c>
      <c r="C1992">
        <v>1</v>
      </c>
      <c r="D1992">
        <v>18</v>
      </c>
      <c r="E1992" t="s">
        <v>28</v>
      </c>
      <c r="J1992">
        <f t="shared" si="150"/>
        <v>63.617251162500004</v>
      </c>
      <c r="K1992">
        <v>5.31</v>
      </c>
      <c r="M1992">
        <f t="shared" si="152"/>
        <v>0</v>
      </c>
      <c r="N1992">
        <f t="shared" si="151"/>
        <v>-5.31</v>
      </c>
    </row>
    <row r="1993" spans="1:14" x14ac:dyDescent="0.3">
      <c r="A1993" t="s">
        <v>253</v>
      </c>
      <c r="B1993" t="s">
        <v>61</v>
      </c>
      <c r="C1993">
        <v>1</v>
      </c>
      <c r="D1993">
        <v>18</v>
      </c>
      <c r="E1993" t="s">
        <v>30</v>
      </c>
      <c r="J1993">
        <f t="shared" si="150"/>
        <v>63.617251162500004</v>
      </c>
      <c r="K1993">
        <v>5.31</v>
      </c>
      <c r="M1993">
        <f t="shared" si="152"/>
        <v>0</v>
      </c>
      <c r="N1993">
        <f t="shared" si="151"/>
        <v>-5.31</v>
      </c>
    </row>
    <row r="1994" spans="1:14" x14ac:dyDescent="0.3">
      <c r="A1994" t="s">
        <v>253</v>
      </c>
      <c r="B1994" t="s">
        <v>61</v>
      </c>
      <c r="C1994">
        <v>1</v>
      </c>
      <c r="D1994">
        <v>18</v>
      </c>
      <c r="E1994" t="s">
        <v>62</v>
      </c>
      <c r="J1994">
        <f t="shared" si="150"/>
        <v>63.617251162500004</v>
      </c>
      <c r="K1994">
        <v>5.31</v>
      </c>
      <c r="M1994">
        <f t="shared" si="152"/>
        <v>0</v>
      </c>
      <c r="N1994">
        <f t="shared" si="151"/>
        <v>-5.31</v>
      </c>
    </row>
    <row r="1995" spans="1:14" x14ac:dyDescent="0.3">
      <c r="A1995" t="s">
        <v>253</v>
      </c>
      <c r="B1995" t="s">
        <v>61</v>
      </c>
      <c r="C1995">
        <v>1</v>
      </c>
      <c r="D1995">
        <v>24</v>
      </c>
      <c r="E1995" t="s">
        <v>28</v>
      </c>
      <c r="J1995">
        <f t="shared" si="150"/>
        <v>63.617251162500004</v>
      </c>
      <c r="K1995">
        <v>5.31</v>
      </c>
      <c r="M1995">
        <f t="shared" si="152"/>
        <v>0</v>
      </c>
      <c r="N1995">
        <f t="shared" si="151"/>
        <v>-5.31</v>
      </c>
    </row>
    <row r="1996" spans="1:14" x14ac:dyDescent="0.3">
      <c r="A1996" t="s">
        <v>253</v>
      </c>
      <c r="B1996" t="s">
        <v>61</v>
      </c>
      <c r="C1996">
        <v>1</v>
      </c>
      <c r="D1996">
        <v>24</v>
      </c>
      <c r="E1996" t="s">
        <v>30</v>
      </c>
      <c r="J1996">
        <f t="shared" si="150"/>
        <v>63.617251162500004</v>
      </c>
      <c r="K1996">
        <v>5.31</v>
      </c>
      <c r="M1996">
        <f t="shared" si="152"/>
        <v>0</v>
      </c>
      <c r="N1996">
        <f t="shared" si="151"/>
        <v>-5.31</v>
      </c>
    </row>
    <row r="1997" spans="1:14" x14ac:dyDescent="0.3">
      <c r="A1997" t="s">
        <v>253</v>
      </c>
      <c r="B1997" t="s">
        <v>61</v>
      </c>
      <c r="C1997">
        <v>1</v>
      </c>
      <c r="D1997">
        <v>24</v>
      </c>
      <c r="E1997" t="s">
        <v>31</v>
      </c>
      <c r="J1997">
        <f t="shared" si="150"/>
        <v>63.617251162500004</v>
      </c>
      <c r="K1997">
        <v>5.31</v>
      </c>
      <c r="M1997">
        <f t="shared" si="152"/>
        <v>0</v>
      </c>
      <c r="N1997">
        <f t="shared" si="151"/>
        <v>-5.31</v>
      </c>
    </row>
    <row r="1998" spans="1:14" x14ac:dyDescent="0.3">
      <c r="A1998" t="s">
        <v>253</v>
      </c>
      <c r="B1998" t="s">
        <v>61</v>
      </c>
      <c r="C1998">
        <v>1</v>
      </c>
      <c r="D1998">
        <v>48</v>
      </c>
      <c r="E1998" t="s">
        <v>28</v>
      </c>
      <c r="J1998">
        <f t="shared" si="150"/>
        <v>63.617251162500004</v>
      </c>
      <c r="K1998">
        <v>5.31</v>
      </c>
      <c r="M1998">
        <f t="shared" si="152"/>
        <v>0</v>
      </c>
      <c r="N1998">
        <f t="shared" si="151"/>
        <v>-5.31</v>
      </c>
    </row>
    <row r="1999" spans="1:14" x14ac:dyDescent="0.3">
      <c r="A1999" t="s">
        <v>253</v>
      </c>
      <c r="B1999" t="s">
        <v>61</v>
      </c>
      <c r="C1999">
        <v>1</v>
      </c>
      <c r="D1999">
        <v>48</v>
      </c>
      <c r="E1999" t="s">
        <v>30</v>
      </c>
      <c r="J1999">
        <f t="shared" si="150"/>
        <v>63.617251162500004</v>
      </c>
      <c r="K1999">
        <v>5.31</v>
      </c>
      <c r="M1999">
        <f t="shared" si="152"/>
        <v>0</v>
      </c>
      <c r="N1999">
        <f t="shared" si="151"/>
        <v>-5.31</v>
      </c>
    </row>
    <row r="2000" spans="1:14" x14ac:dyDescent="0.3">
      <c r="A2000" t="s">
        <v>253</v>
      </c>
      <c r="B2000" t="s">
        <v>61</v>
      </c>
      <c r="C2000">
        <v>1</v>
      </c>
      <c r="D2000">
        <v>48</v>
      </c>
      <c r="E2000" t="s">
        <v>31</v>
      </c>
      <c r="J2000">
        <f t="shared" si="150"/>
        <v>63.617251162500004</v>
      </c>
      <c r="K2000">
        <v>5.31</v>
      </c>
      <c r="M2000">
        <f t="shared" si="152"/>
        <v>0</v>
      </c>
      <c r="N2000">
        <f t="shared" si="151"/>
        <v>-5.31</v>
      </c>
    </row>
    <row r="2001" spans="1:14" x14ac:dyDescent="0.3">
      <c r="A2001" t="s">
        <v>253</v>
      </c>
      <c r="B2001" t="s">
        <v>61</v>
      </c>
      <c r="C2001">
        <v>2</v>
      </c>
      <c r="D2001">
        <v>0.5</v>
      </c>
      <c r="E2001" t="s">
        <v>28</v>
      </c>
      <c r="J2001">
        <f t="shared" si="150"/>
        <v>63.617251162500004</v>
      </c>
      <c r="K2001">
        <v>5.31</v>
      </c>
      <c r="M2001">
        <f t="shared" si="152"/>
        <v>0</v>
      </c>
      <c r="N2001">
        <f t="shared" si="151"/>
        <v>-5.31</v>
      </c>
    </row>
    <row r="2002" spans="1:14" x14ac:dyDescent="0.3">
      <c r="A2002" t="s">
        <v>253</v>
      </c>
      <c r="B2002" t="s">
        <v>61</v>
      </c>
      <c r="C2002">
        <v>2</v>
      </c>
      <c r="D2002">
        <v>0.5</v>
      </c>
      <c r="E2002" t="s">
        <v>30</v>
      </c>
      <c r="J2002">
        <f t="shared" si="150"/>
        <v>63.617251162500004</v>
      </c>
      <c r="K2002">
        <v>5.31</v>
      </c>
      <c r="M2002">
        <f t="shared" si="152"/>
        <v>0</v>
      </c>
      <c r="N2002">
        <f t="shared" si="151"/>
        <v>-5.31</v>
      </c>
    </row>
    <row r="2003" spans="1:14" x14ac:dyDescent="0.3">
      <c r="A2003" t="s">
        <v>253</v>
      </c>
      <c r="B2003" t="s">
        <v>61</v>
      </c>
      <c r="C2003">
        <v>2</v>
      </c>
      <c r="D2003">
        <v>0.5</v>
      </c>
      <c r="E2003" t="s">
        <v>31</v>
      </c>
      <c r="J2003">
        <f t="shared" si="150"/>
        <v>63.617251162500004</v>
      </c>
      <c r="K2003">
        <v>5.31</v>
      </c>
      <c r="M2003">
        <f t="shared" si="152"/>
        <v>0</v>
      </c>
      <c r="N2003">
        <f t="shared" si="151"/>
        <v>-5.31</v>
      </c>
    </row>
    <row r="2004" spans="1:14" x14ac:dyDescent="0.3">
      <c r="A2004" t="s">
        <v>253</v>
      </c>
      <c r="B2004" t="s">
        <v>61</v>
      </c>
      <c r="C2004">
        <v>2</v>
      </c>
      <c r="D2004">
        <v>2</v>
      </c>
      <c r="E2004" t="s">
        <v>28</v>
      </c>
      <c r="J2004">
        <f t="shared" si="150"/>
        <v>63.617251162500004</v>
      </c>
      <c r="K2004">
        <v>5.31</v>
      </c>
      <c r="M2004">
        <f t="shared" si="152"/>
        <v>0</v>
      </c>
      <c r="N2004">
        <f t="shared" si="151"/>
        <v>-5.31</v>
      </c>
    </row>
    <row r="2005" spans="1:14" x14ac:dyDescent="0.3">
      <c r="A2005" t="s">
        <v>253</v>
      </c>
      <c r="B2005" t="s">
        <v>61</v>
      </c>
      <c r="C2005">
        <v>2</v>
      </c>
      <c r="D2005">
        <v>2</v>
      </c>
      <c r="E2005" t="s">
        <v>30</v>
      </c>
      <c r="J2005">
        <f t="shared" si="150"/>
        <v>63.617251162500004</v>
      </c>
      <c r="K2005">
        <v>5.31</v>
      </c>
      <c r="M2005">
        <f t="shared" si="152"/>
        <v>0</v>
      </c>
      <c r="N2005">
        <f t="shared" si="151"/>
        <v>-5.31</v>
      </c>
    </row>
    <row r="2006" spans="1:14" x14ac:dyDescent="0.3">
      <c r="A2006" t="s">
        <v>253</v>
      </c>
      <c r="B2006" t="s">
        <v>61</v>
      </c>
      <c r="C2006">
        <v>2</v>
      </c>
      <c r="D2006">
        <v>2</v>
      </c>
      <c r="E2006" t="s">
        <v>31</v>
      </c>
      <c r="J2006">
        <f t="shared" si="150"/>
        <v>63.617251162500004</v>
      </c>
      <c r="K2006">
        <v>5.31</v>
      </c>
      <c r="M2006">
        <f t="shared" si="152"/>
        <v>0</v>
      </c>
      <c r="N2006">
        <f t="shared" si="151"/>
        <v>-5.31</v>
      </c>
    </row>
    <row r="2007" spans="1:14" x14ac:dyDescent="0.3">
      <c r="A2007" t="s">
        <v>253</v>
      </c>
      <c r="B2007" t="s">
        <v>61</v>
      </c>
      <c r="C2007">
        <v>2</v>
      </c>
      <c r="D2007">
        <v>6</v>
      </c>
      <c r="E2007" t="s">
        <v>28</v>
      </c>
      <c r="J2007">
        <f t="shared" si="150"/>
        <v>63.617251162500004</v>
      </c>
      <c r="K2007">
        <v>5.31</v>
      </c>
      <c r="M2007">
        <f t="shared" si="152"/>
        <v>0</v>
      </c>
      <c r="N2007">
        <f t="shared" si="151"/>
        <v>-5.31</v>
      </c>
    </row>
    <row r="2008" spans="1:14" x14ac:dyDescent="0.3">
      <c r="A2008" t="s">
        <v>253</v>
      </c>
      <c r="B2008" t="s">
        <v>61</v>
      </c>
      <c r="C2008">
        <v>2</v>
      </c>
      <c r="D2008">
        <v>6</v>
      </c>
      <c r="E2008" t="s">
        <v>30</v>
      </c>
      <c r="J2008">
        <f t="shared" si="150"/>
        <v>63.617251162500004</v>
      </c>
      <c r="K2008">
        <v>5.31</v>
      </c>
      <c r="M2008">
        <f t="shared" si="152"/>
        <v>0</v>
      </c>
      <c r="N2008">
        <f t="shared" si="151"/>
        <v>-5.31</v>
      </c>
    </row>
    <row r="2009" spans="1:14" x14ac:dyDescent="0.3">
      <c r="A2009" t="s">
        <v>253</v>
      </c>
      <c r="B2009" t="s">
        <v>61</v>
      </c>
      <c r="C2009">
        <v>2</v>
      </c>
      <c r="D2009">
        <v>6</v>
      </c>
      <c r="E2009" t="s">
        <v>31</v>
      </c>
      <c r="J2009">
        <f t="shared" si="150"/>
        <v>63.617251162500004</v>
      </c>
      <c r="K2009">
        <v>5.31</v>
      </c>
      <c r="M2009">
        <f t="shared" si="152"/>
        <v>0</v>
      </c>
      <c r="N2009">
        <f t="shared" si="151"/>
        <v>-5.31</v>
      </c>
    </row>
    <row r="2010" spans="1:14" x14ac:dyDescent="0.3">
      <c r="A2010" t="s">
        <v>253</v>
      </c>
      <c r="B2010" t="s">
        <v>61</v>
      </c>
      <c r="C2010">
        <v>2</v>
      </c>
      <c r="D2010">
        <v>12</v>
      </c>
      <c r="E2010" t="s">
        <v>28</v>
      </c>
      <c r="J2010">
        <f t="shared" si="150"/>
        <v>63.617251162500004</v>
      </c>
      <c r="K2010">
        <v>5.31</v>
      </c>
      <c r="M2010">
        <f t="shared" si="152"/>
        <v>0</v>
      </c>
      <c r="N2010">
        <f t="shared" si="151"/>
        <v>-5.31</v>
      </c>
    </row>
    <row r="2011" spans="1:14" x14ac:dyDescent="0.3">
      <c r="A2011" t="s">
        <v>253</v>
      </c>
      <c r="B2011" t="s">
        <v>61</v>
      </c>
      <c r="C2011">
        <v>2</v>
      </c>
      <c r="D2011">
        <v>12</v>
      </c>
      <c r="E2011" t="s">
        <v>30</v>
      </c>
      <c r="J2011">
        <f t="shared" si="150"/>
        <v>63.617251162500004</v>
      </c>
      <c r="K2011">
        <v>5.31</v>
      </c>
      <c r="M2011">
        <f t="shared" si="152"/>
        <v>0</v>
      </c>
      <c r="N2011">
        <f t="shared" si="151"/>
        <v>-5.31</v>
      </c>
    </row>
    <row r="2012" spans="1:14" x14ac:dyDescent="0.3">
      <c r="A2012" t="s">
        <v>253</v>
      </c>
      <c r="B2012" t="s">
        <v>61</v>
      </c>
      <c r="C2012">
        <v>2</v>
      </c>
      <c r="D2012">
        <v>12</v>
      </c>
      <c r="E2012" t="s">
        <v>31</v>
      </c>
      <c r="J2012">
        <f t="shared" si="150"/>
        <v>63.617251162500004</v>
      </c>
      <c r="K2012">
        <v>5.31</v>
      </c>
      <c r="M2012">
        <f t="shared" si="152"/>
        <v>0</v>
      </c>
      <c r="N2012">
        <f t="shared" si="151"/>
        <v>-5.31</v>
      </c>
    </row>
    <row r="2013" spans="1:14" x14ac:dyDescent="0.3">
      <c r="A2013" t="s">
        <v>253</v>
      </c>
      <c r="B2013" t="s">
        <v>61</v>
      </c>
      <c r="C2013">
        <v>2</v>
      </c>
      <c r="D2013">
        <v>18</v>
      </c>
      <c r="E2013" t="s">
        <v>64</v>
      </c>
      <c r="J2013">
        <f t="shared" si="150"/>
        <v>63.617251162500004</v>
      </c>
      <c r="K2013">
        <v>5.31</v>
      </c>
      <c r="M2013">
        <f t="shared" si="152"/>
        <v>0</v>
      </c>
      <c r="N2013">
        <f t="shared" si="151"/>
        <v>-5.31</v>
      </c>
    </row>
    <row r="2014" spans="1:14" x14ac:dyDescent="0.3">
      <c r="A2014" t="s">
        <v>253</v>
      </c>
      <c r="B2014" t="s">
        <v>61</v>
      </c>
      <c r="C2014">
        <v>2</v>
      </c>
      <c r="D2014">
        <v>18</v>
      </c>
      <c r="E2014" t="s">
        <v>30</v>
      </c>
      <c r="J2014">
        <f t="shared" si="150"/>
        <v>63.617251162500004</v>
      </c>
      <c r="K2014">
        <v>5.31</v>
      </c>
      <c r="M2014">
        <f t="shared" si="152"/>
        <v>0</v>
      </c>
      <c r="N2014">
        <f t="shared" si="151"/>
        <v>-5.31</v>
      </c>
    </row>
    <row r="2015" spans="1:14" x14ac:dyDescent="0.3">
      <c r="A2015" t="s">
        <v>253</v>
      </c>
      <c r="B2015" t="s">
        <v>61</v>
      </c>
      <c r="C2015">
        <v>2</v>
      </c>
      <c r="D2015">
        <v>18</v>
      </c>
      <c r="E2015" t="s">
        <v>31</v>
      </c>
      <c r="J2015">
        <f t="shared" si="150"/>
        <v>63.617251162500004</v>
      </c>
      <c r="K2015">
        <v>5.31</v>
      </c>
      <c r="M2015">
        <f t="shared" si="152"/>
        <v>0</v>
      </c>
      <c r="N2015">
        <f t="shared" si="151"/>
        <v>-5.31</v>
      </c>
    </row>
    <row r="2016" spans="1:14" x14ac:dyDescent="0.3">
      <c r="A2016" t="s">
        <v>253</v>
      </c>
      <c r="B2016" t="s">
        <v>61</v>
      </c>
      <c r="C2016">
        <v>2</v>
      </c>
      <c r="D2016">
        <v>24</v>
      </c>
      <c r="E2016" t="s">
        <v>28</v>
      </c>
      <c r="J2016">
        <f t="shared" si="150"/>
        <v>63.617251162500004</v>
      </c>
      <c r="K2016">
        <v>5.31</v>
      </c>
      <c r="M2016">
        <f t="shared" si="152"/>
        <v>0</v>
      </c>
      <c r="N2016">
        <f t="shared" si="151"/>
        <v>-5.31</v>
      </c>
    </row>
    <row r="2017" spans="1:14" x14ac:dyDescent="0.3">
      <c r="A2017" t="s">
        <v>253</v>
      </c>
      <c r="B2017" t="s">
        <v>61</v>
      </c>
      <c r="C2017">
        <v>2</v>
      </c>
      <c r="D2017">
        <v>24</v>
      </c>
      <c r="E2017" t="s">
        <v>30</v>
      </c>
      <c r="J2017">
        <f t="shared" si="150"/>
        <v>63.617251162500004</v>
      </c>
      <c r="K2017">
        <v>5.31</v>
      </c>
      <c r="M2017">
        <f t="shared" si="152"/>
        <v>0</v>
      </c>
      <c r="N2017">
        <f t="shared" si="151"/>
        <v>-5.31</v>
      </c>
    </row>
    <row r="2018" spans="1:14" x14ac:dyDescent="0.3">
      <c r="A2018" t="s">
        <v>253</v>
      </c>
      <c r="B2018" t="s">
        <v>61</v>
      </c>
      <c r="C2018">
        <v>2</v>
      </c>
      <c r="D2018">
        <v>24</v>
      </c>
      <c r="E2018" t="s">
        <v>31</v>
      </c>
      <c r="J2018">
        <f t="shared" si="150"/>
        <v>63.617251162500004</v>
      </c>
      <c r="K2018">
        <v>5.31</v>
      </c>
      <c r="M2018">
        <f t="shared" si="152"/>
        <v>0</v>
      </c>
      <c r="N2018">
        <f t="shared" si="151"/>
        <v>-5.31</v>
      </c>
    </row>
    <row r="2019" spans="1:14" x14ac:dyDescent="0.3">
      <c r="A2019" t="s">
        <v>253</v>
      </c>
      <c r="B2019" t="s">
        <v>61</v>
      </c>
      <c r="C2019">
        <v>2</v>
      </c>
      <c r="D2019">
        <v>48</v>
      </c>
      <c r="E2019" t="s">
        <v>28</v>
      </c>
      <c r="J2019">
        <f t="shared" si="150"/>
        <v>63.617251162500004</v>
      </c>
      <c r="K2019">
        <v>5.31</v>
      </c>
      <c r="M2019">
        <f t="shared" si="152"/>
        <v>0</v>
      </c>
      <c r="N2019">
        <f t="shared" si="151"/>
        <v>-5.31</v>
      </c>
    </row>
    <row r="2020" spans="1:14" x14ac:dyDescent="0.3">
      <c r="A2020" t="s">
        <v>253</v>
      </c>
      <c r="B2020" t="s">
        <v>61</v>
      </c>
      <c r="C2020">
        <v>2</v>
      </c>
      <c r="D2020">
        <v>48</v>
      </c>
      <c r="E2020" t="s">
        <v>30</v>
      </c>
      <c r="J2020">
        <f t="shared" si="150"/>
        <v>63.617251162500004</v>
      </c>
      <c r="K2020">
        <v>5.31</v>
      </c>
      <c r="M2020">
        <f t="shared" si="152"/>
        <v>0</v>
      </c>
      <c r="N2020">
        <f t="shared" si="151"/>
        <v>-5.31</v>
      </c>
    </row>
    <row r="2021" spans="1:14" x14ac:dyDescent="0.3">
      <c r="A2021" t="s">
        <v>253</v>
      </c>
      <c r="B2021" t="s">
        <v>61</v>
      </c>
      <c r="C2021">
        <v>2</v>
      </c>
      <c r="D2021">
        <v>48</v>
      </c>
      <c r="E2021" t="s">
        <v>31</v>
      </c>
      <c r="J2021">
        <f t="shared" si="150"/>
        <v>63.617251162500004</v>
      </c>
      <c r="K2021">
        <v>5.31</v>
      </c>
      <c r="M2021">
        <f t="shared" si="152"/>
        <v>0</v>
      </c>
      <c r="N2021">
        <f t="shared" si="151"/>
        <v>-5.31</v>
      </c>
    </row>
    <row r="2022" spans="1:14" x14ac:dyDescent="0.3">
      <c r="A2022" t="s">
        <v>253</v>
      </c>
      <c r="B2022" t="s">
        <v>61</v>
      </c>
      <c r="E2022" t="s">
        <v>36</v>
      </c>
      <c r="J2022">
        <f t="shared" si="150"/>
        <v>63.617251162500004</v>
      </c>
      <c r="K2022">
        <v>5.31</v>
      </c>
      <c r="M2022">
        <f t="shared" si="152"/>
        <v>0</v>
      </c>
      <c r="N2022">
        <f t="shared" si="151"/>
        <v>-5.31</v>
      </c>
    </row>
    <row r="2023" spans="1:14" x14ac:dyDescent="0.3">
      <c r="A2023" t="s">
        <v>253</v>
      </c>
      <c r="B2023" t="s">
        <v>61</v>
      </c>
      <c r="E2023" t="s">
        <v>39</v>
      </c>
      <c r="J2023">
        <f t="shared" si="150"/>
        <v>63.617251162500004</v>
      </c>
      <c r="K2023">
        <v>5.31</v>
      </c>
      <c r="M2023">
        <f t="shared" si="152"/>
        <v>0</v>
      </c>
      <c r="N2023">
        <f t="shared" si="151"/>
        <v>-5.31</v>
      </c>
    </row>
    <row r="2024" spans="1:14" x14ac:dyDescent="0.3">
      <c r="A2024" t="s">
        <v>253</v>
      </c>
      <c r="B2024" t="s">
        <v>61</v>
      </c>
      <c r="E2024" t="s">
        <v>41</v>
      </c>
      <c r="J2024">
        <f t="shared" si="150"/>
        <v>63.617251162500004</v>
      </c>
      <c r="K2024">
        <v>5.31</v>
      </c>
      <c r="M2024">
        <f t="shared" si="152"/>
        <v>0</v>
      </c>
      <c r="N2024">
        <f t="shared" si="151"/>
        <v>-5.31</v>
      </c>
    </row>
    <row r="2025" spans="1:14" x14ac:dyDescent="0.3">
      <c r="A2025" t="s">
        <v>253</v>
      </c>
      <c r="B2025" t="s">
        <v>61</v>
      </c>
      <c r="E2025" t="s">
        <v>43</v>
      </c>
      <c r="J2025">
        <f t="shared" si="150"/>
        <v>63.617251162500004</v>
      </c>
      <c r="K2025">
        <v>5.31</v>
      </c>
      <c r="M2025">
        <f t="shared" si="152"/>
        <v>0</v>
      </c>
      <c r="N2025">
        <f t="shared" si="151"/>
        <v>-5.31</v>
      </c>
    </row>
    <row r="2026" spans="1:14" x14ac:dyDescent="0.3">
      <c r="A2026" t="s">
        <v>253</v>
      </c>
      <c r="B2026" t="s">
        <v>51</v>
      </c>
      <c r="C2026">
        <v>1</v>
      </c>
      <c r="D2026">
        <v>0.5</v>
      </c>
      <c r="E2026" t="s">
        <v>64</v>
      </c>
      <c r="J2026">
        <f t="shared" si="150"/>
        <v>63.617251162500004</v>
      </c>
      <c r="K2026">
        <v>5.31</v>
      </c>
      <c r="M2026">
        <f t="shared" si="152"/>
        <v>0</v>
      </c>
      <c r="N2026">
        <f t="shared" si="151"/>
        <v>-5.31</v>
      </c>
    </row>
    <row r="2027" spans="1:14" x14ac:dyDescent="0.3">
      <c r="A2027" t="s">
        <v>253</v>
      </c>
      <c r="B2027" t="s">
        <v>51</v>
      </c>
      <c r="C2027">
        <v>1</v>
      </c>
      <c r="D2027">
        <v>0.5</v>
      </c>
      <c r="E2027" t="s">
        <v>30</v>
      </c>
      <c r="J2027">
        <f t="shared" si="150"/>
        <v>63.617251162500004</v>
      </c>
      <c r="K2027">
        <v>5.31</v>
      </c>
      <c r="M2027">
        <f t="shared" si="152"/>
        <v>0</v>
      </c>
      <c r="N2027">
        <f t="shared" si="151"/>
        <v>-5.31</v>
      </c>
    </row>
    <row r="2028" spans="1:14" x14ac:dyDescent="0.3">
      <c r="A2028" t="s">
        <v>253</v>
      </c>
      <c r="B2028" t="s">
        <v>51</v>
      </c>
      <c r="C2028">
        <v>1</v>
      </c>
      <c r="D2028">
        <v>0.5</v>
      </c>
      <c r="E2028" t="s">
        <v>31</v>
      </c>
      <c r="J2028">
        <f t="shared" ref="J2028:J2091" si="153">4.5*4.5*3.14159265</f>
        <v>63.617251162500004</v>
      </c>
      <c r="K2028">
        <v>5.31</v>
      </c>
      <c r="M2028">
        <f t="shared" si="152"/>
        <v>0</v>
      </c>
      <c r="N2028">
        <f t="shared" si="151"/>
        <v>-5.31</v>
      </c>
    </row>
    <row r="2029" spans="1:14" x14ac:dyDescent="0.3">
      <c r="A2029" t="s">
        <v>253</v>
      </c>
      <c r="B2029" s="7" t="s">
        <v>51</v>
      </c>
      <c r="C2029" s="7">
        <v>1</v>
      </c>
      <c r="D2029" s="7">
        <v>2</v>
      </c>
      <c r="E2029" s="7" t="s">
        <v>64</v>
      </c>
      <c r="J2029">
        <f t="shared" si="153"/>
        <v>63.617251162500004</v>
      </c>
      <c r="K2029">
        <v>5.31</v>
      </c>
      <c r="M2029">
        <f t="shared" si="152"/>
        <v>0</v>
      </c>
      <c r="N2029">
        <f t="shared" si="151"/>
        <v>-5.31</v>
      </c>
    </row>
    <row r="2030" spans="1:14" x14ac:dyDescent="0.3">
      <c r="A2030" t="s">
        <v>253</v>
      </c>
      <c r="B2030" s="7" t="s">
        <v>51</v>
      </c>
      <c r="C2030" s="7">
        <v>1</v>
      </c>
      <c r="D2030" s="7">
        <v>2</v>
      </c>
      <c r="E2030" s="7" t="s">
        <v>30</v>
      </c>
      <c r="J2030">
        <f t="shared" si="153"/>
        <v>63.617251162500004</v>
      </c>
      <c r="K2030">
        <v>5.31</v>
      </c>
      <c r="M2030">
        <f t="shared" si="152"/>
        <v>0</v>
      </c>
      <c r="N2030">
        <f t="shared" si="151"/>
        <v>-5.31</v>
      </c>
    </row>
    <row r="2031" spans="1:14" x14ac:dyDescent="0.3">
      <c r="A2031" t="s">
        <v>253</v>
      </c>
      <c r="B2031" s="7" t="s">
        <v>51</v>
      </c>
      <c r="C2031" s="7">
        <v>1</v>
      </c>
      <c r="D2031" s="7">
        <v>2</v>
      </c>
      <c r="E2031" s="7" t="s">
        <v>31</v>
      </c>
      <c r="J2031">
        <f t="shared" si="153"/>
        <v>63.617251162500004</v>
      </c>
      <c r="K2031">
        <v>5.31</v>
      </c>
      <c r="M2031">
        <f t="shared" si="152"/>
        <v>0</v>
      </c>
      <c r="N2031">
        <f t="shared" si="151"/>
        <v>-5.31</v>
      </c>
    </row>
    <row r="2032" spans="1:14" x14ac:dyDescent="0.3">
      <c r="A2032" t="s">
        <v>253</v>
      </c>
      <c r="B2032" s="7" t="s">
        <v>51</v>
      </c>
      <c r="C2032" s="7">
        <v>1</v>
      </c>
      <c r="D2032" s="7">
        <v>6</v>
      </c>
      <c r="E2032" s="7" t="s">
        <v>64</v>
      </c>
      <c r="J2032">
        <f t="shared" si="153"/>
        <v>63.617251162500004</v>
      </c>
      <c r="K2032">
        <v>5.31</v>
      </c>
      <c r="M2032">
        <f t="shared" si="152"/>
        <v>0</v>
      </c>
      <c r="N2032">
        <f t="shared" si="151"/>
        <v>-5.31</v>
      </c>
    </row>
    <row r="2033" spans="1:14" x14ac:dyDescent="0.3">
      <c r="A2033" t="s">
        <v>253</v>
      </c>
      <c r="B2033" s="7" t="s">
        <v>51</v>
      </c>
      <c r="C2033" s="7">
        <v>1</v>
      </c>
      <c r="D2033" s="7">
        <v>6</v>
      </c>
      <c r="E2033" s="7" t="s">
        <v>30</v>
      </c>
      <c r="J2033">
        <f t="shared" si="153"/>
        <v>63.617251162500004</v>
      </c>
      <c r="K2033">
        <v>5.31</v>
      </c>
      <c r="M2033">
        <f t="shared" si="152"/>
        <v>0</v>
      </c>
      <c r="N2033">
        <f t="shared" si="151"/>
        <v>-5.31</v>
      </c>
    </row>
    <row r="2034" spans="1:14" x14ac:dyDescent="0.3">
      <c r="A2034" t="s">
        <v>253</v>
      </c>
      <c r="B2034" s="7" t="s">
        <v>51</v>
      </c>
      <c r="C2034" s="7">
        <v>1</v>
      </c>
      <c r="D2034" s="7">
        <v>6</v>
      </c>
      <c r="E2034" s="7" t="s">
        <v>31</v>
      </c>
      <c r="J2034">
        <f t="shared" si="153"/>
        <v>63.617251162500004</v>
      </c>
      <c r="K2034">
        <v>5.31</v>
      </c>
      <c r="M2034">
        <f t="shared" si="152"/>
        <v>0</v>
      </c>
      <c r="N2034">
        <f t="shared" si="151"/>
        <v>-5.31</v>
      </c>
    </row>
    <row r="2035" spans="1:14" x14ac:dyDescent="0.3">
      <c r="A2035" t="s">
        <v>253</v>
      </c>
      <c r="B2035" t="s">
        <v>51</v>
      </c>
      <c r="C2035">
        <v>1</v>
      </c>
      <c r="D2035">
        <v>12</v>
      </c>
      <c r="E2035" t="s">
        <v>64</v>
      </c>
      <c r="J2035">
        <f t="shared" si="153"/>
        <v>63.617251162500004</v>
      </c>
      <c r="K2035">
        <v>5.31</v>
      </c>
      <c r="M2035">
        <f t="shared" si="152"/>
        <v>0</v>
      </c>
      <c r="N2035">
        <f t="shared" si="151"/>
        <v>-5.31</v>
      </c>
    </row>
    <row r="2036" spans="1:14" x14ac:dyDescent="0.3">
      <c r="A2036" t="s">
        <v>253</v>
      </c>
      <c r="B2036" t="s">
        <v>51</v>
      </c>
      <c r="C2036">
        <v>1</v>
      </c>
      <c r="D2036">
        <v>12</v>
      </c>
      <c r="E2036" t="s">
        <v>30</v>
      </c>
      <c r="J2036">
        <f t="shared" si="153"/>
        <v>63.617251162500004</v>
      </c>
      <c r="K2036">
        <v>5.31</v>
      </c>
      <c r="M2036">
        <f t="shared" si="152"/>
        <v>0</v>
      </c>
      <c r="N2036">
        <f t="shared" si="151"/>
        <v>-5.31</v>
      </c>
    </row>
    <row r="2037" spans="1:14" x14ac:dyDescent="0.3">
      <c r="A2037" t="s">
        <v>253</v>
      </c>
      <c r="B2037" t="s">
        <v>51</v>
      </c>
      <c r="C2037">
        <v>1</v>
      </c>
      <c r="D2037">
        <v>12</v>
      </c>
      <c r="E2037" t="s">
        <v>31</v>
      </c>
      <c r="J2037">
        <f t="shared" si="153"/>
        <v>63.617251162500004</v>
      </c>
      <c r="K2037">
        <v>5.31</v>
      </c>
      <c r="M2037">
        <f t="shared" si="152"/>
        <v>0</v>
      </c>
      <c r="N2037">
        <f t="shared" si="151"/>
        <v>-5.31</v>
      </c>
    </row>
    <row r="2038" spans="1:14" x14ac:dyDescent="0.3">
      <c r="A2038" t="s">
        <v>253</v>
      </c>
      <c r="B2038" t="s">
        <v>51</v>
      </c>
      <c r="C2038">
        <v>1</v>
      </c>
      <c r="D2038">
        <v>18</v>
      </c>
      <c r="E2038" t="s">
        <v>64</v>
      </c>
      <c r="J2038">
        <f t="shared" si="153"/>
        <v>63.617251162500004</v>
      </c>
      <c r="K2038">
        <v>5.31</v>
      </c>
      <c r="M2038">
        <f t="shared" si="152"/>
        <v>0</v>
      </c>
      <c r="N2038">
        <f t="shared" si="151"/>
        <v>-5.31</v>
      </c>
    </row>
    <row r="2039" spans="1:14" x14ac:dyDescent="0.3">
      <c r="A2039" t="s">
        <v>253</v>
      </c>
      <c r="B2039" t="s">
        <v>51</v>
      </c>
      <c r="C2039">
        <v>1</v>
      </c>
      <c r="D2039">
        <v>18</v>
      </c>
      <c r="E2039" t="s">
        <v>30</v>
      </c>
      <c r="J2039">
        <f t="shared" si="153"/>
        <v>63.617251162500004</v>
      </c>
      <c r="K2039">
        <v>5.31</v>
      </c>
      <c r="M2039">
        <f t="shared" si="152"/>
        <v>0</v>
      </c>
      <c r="N2039">
        <f t="shared" si="151"/>
        <v>-5.31</v>
      </c>
    </row>
    <row r="2040" spans="1:14" x14ac:dyDescent="0.3">
      <c r="A2040" t="s">
        <v>253</v>
      </c>
      <c r="B2040" t="s">
        <v>51</v>
      </c>
      <c r="C2040">
        <v>1</v>
      </c>
      <c r="D2040">
        <v>18</v>
      </c>
      <c r="E2040" t="s">
        <v>31</v>
      </c>
      <c r="J2040">
        <f t="shared" si="153"/>
        <v>63.617251162500004</v>
      </c>
      <c r="K2040">
        <v>5.31</v>
      </c>
      <c r="M2040">
        <f t="shared" si="152"/>
        <v>0</v>
      </c>
      <c r="N2040">
        <f t="shared" si="151"/>
        <v>-5.31</v>
      </c>
    </row>
    <row r="2041" spans="1:14" x14ac:dyDescent="0.3">
      <c r="A2041" t="s">
        <v>253</v>
      </c>
      <c r="B2041" t="s">
        <v>51</v>
      </c>
      <c r="C2041">
        <v>1</v>
      </c>
      <c r="D2041">
        <v>24</v>
      </c>
      <c r="E2041" t="s">
        <v>28</v>
      </c>
      <c r="J2041">
        <f t="shared" si="153"/>
        <v>63.617251162500004</v>
      </c>
      <c r="K2041">
        <v>5.31</v>
      </c>
      <c r="M2041">
        <f t="shared" si="152"/>
        <v>0</v>
      </c>
      <c r="N2041">
        <f t="shared" si="151"/>
        <v>-5.31</v>
      </c>
    </row>
    <row r="2042" spans="1:14" x14ac:dyDescent="0.3">
      <c r="A2042" t="s">
        <v>253</v>
      </c>
      <c r="B2042" t="s">
        <v>51</v>
      </c>
      <c r="C2042">
        <v>1</v>
      </c>
      <c r="D2042">
        <v>24</v>
      </c>
      <c r="E2042" t="s">
        <v>30</v>
      </c>
      <c r="J2042">
        <f t="shared" si="153"/>
        <v>63.617251162500004</v>
      </c>
      <c r="K2042">
        <v>5.31</v>
      </c>
      <c r="M2042">
        <f t="shared" si="152"/>
        <v>0</v>
      </c>
      <c r="N2042">
        <f t="shared" si="151"/>
        <v>-5.31</v>
      </c>
    </row>
    <row r="2043" spans="1:14" x14ac:dyDescent="0.3">
      <c r="A2043" t="s">
        <v>253</v>
      </c>
      <c r="B2043" s="7" t="s">
        <v>51</v>
      </c>
      <c r="C2043" s="7">
        <v>1</v>
      </c>
      <c r="D2043" s="7">
        <v>24</v>
      </c>
      <c r="E2043" s="7" t="s">
        <v>31</v>
      </c>
      <c r="J2043">
        <f t="shared" si="153"/>
        <v>63.617251162500004</v>
      </c>
      <c r="K2043">
        <v>5.31</v>
      </c>
      <c r="M2043">
        <f t="shared" si="152"/>
        <v>0</v>
      </c>
      <c r="N2043">
        <f t="shared" si="151"/>
        <v>-5.31</v>
      </c>
    </row>
    <row r="2044" spans="1:14" x14ac:dyDescent="0.3">
      <c r="A2044" t="s">
        <v>253</v>
      </c>
      <c r="B2044" t="s">
        <v>51</v>
      </c>
      <c r="C2044">
        <v>1</v>
      </c>
      <c r="D2044">
        <v>48</v>
      </c>
      <c r="E2044" t="s">
        <v>64</v>
      </c>
      <c r="J2044">
        <f t="shared" si="153"/>
        <v>63.617251162500004</v>
      </c>
      <c r="K2044">
        <v>5.31</v>
      </c>
      <c r="M2044">
        <f t="shared" si="152"/>
        <v>0</v>
      </c>
      <c r="N2044">
        <f t="shared" si="151"/>
        <v>-5.31</v>
      </c>
    </row>
    <row r="2045" spans="1:14" x14ac:dyDescent="0.3">
      <c r="A2045" t="s">
        <v>253</v>
      </c>
      <c r="B2045" t="s">
        <v>51</v>
      </c>
      <c r="C2045">
        <v>1</v>
      </c>
      <c r="D2045">
        <v>48</v>
      </c>
      <c r="E2045" t="s">
        <v>30</v>
      </c>
      <c r="J2045">
        <f t="shared" si="153"/>
        <v>63.617251162500004</v>
      </c>
      <c r="K2045">
        <v>5.31</v>
      </c>
      <c r="M2045">
        <f t="shared" si="152"/>
        <v>0</v>
      </c>
      <c r="N2045">
        <f t="shared" si="151"/>
        <v>-5.31</v>
      </c>
    </row>
    <row r="2046" spans="1:14" x14ac:dyDescent="0.3">
      <c r="A2046" t="s">
        <v>253</v>
      </c>
      <c r="B2046" t="s">
        <v>51</v>
      </c>
      <c r="C2046">
        <v>1</v>
      </c>
      <c r="D2046">
        <v>48</v>
      </c>
      <c r="E2046" t="s">
        <v>31</v>
      </c>
      <c r="J2046">
        <f t="shared" si="153"/>
        <v>63.617251162500004</v>
      </c>
      <c r="K2046">
        <v>5.31</v>
      </c>
      <c r="M2046">
        <f t="shared" si="152"/>
        <v>0</v>
      </c>
      <c r="N2046">
        <f t="shared" si="151"/>
        <v>-5.31</v>
      </c>
    </row>
    <row r="2047" spans="1:14" x14ac:dyDescent="0.3">
      <c r="A2047" t="s">
        <v>253</v>
      </c>
      <c r="B2047" t="s">
        <v>51</v>
      </c>
      <c r="C2047">
        <v>2</v>
      </c>
      <c r="D2047">
        <v>0.5</v>
      </c>
      <c r="E2047" t="s">
        <v>64</v>
      </c>
      <c r="J2047">
        <f t="shared" si="153"/>
        <v>63.617251162500004</v>
      </c>
      <c r="K2047">
        <v>5.31</v>
      </c>
      <c r="M2047">
        <f t="shared" si="152"/>
        <v>0</v>
      </c>
      <c r="N2047">
        <f t="shared" si="151"/>
        <v>-5.31</v>
      </c>
    </row>
    <row r="2048" spans="1:14" x14ac:dyDescent="0.3">
      <c r="A2048" t="s">
        <v>253</v>
      </c>
      <c r="B2048" t="s">
        <v>51</v>
      </c>
      <c r="C2048">
        <v>2</v>
      </c>
      <c r="D2048">
        <v>0.5</v>
      </c>
      <c r="E2048" t="s">
        <v>30</v>
      </c>
      <c r="J2048">
        <f t="shared" si="153"/>
        <v>63.617251162500004</v>
      </c>
      <c r="K2048">
        <v>5.31</v>
      </c>
      <c r="M2048">
        <f t="shared" si="152"/>
        <v>0</v>
      </c>
      <c r="N2048">
        <f t="shared" si="151"/>
        <v>-5.31</v>
      </c>
    </row>
    <row r="2049" spans="1:14" x14ac:dyDescent="0.3">
      <c r="A2049" t="s">
        <v>253</v>
      </c>
      <c r="B2049" t="s">
        <v>51</v>
      </c>
      <c r="C2049">
        <v>2</v>
      </c>
      <c r="D2049">
        <v>0.5</v>
      </c>
      <c r="E2049" t="s">
        <v>31</v>
      </c>
      <c r="J2049">
        <f t="shared" si="153"/>
        <v>63.617251162500004</v>
      </c>
      <c r="K2049">
        <v>5.31</v>
      </c>
      <c r="M2049">
        <f t="shared" si="152"/>
        <v>0</v>
      </c>
      <c r="N2049">
        <f t="shared" si="151"/>
        <v>-5.31</v>
      </c>
    </row>
    <row r="2050" spans="1:14" x14ac:dyDescent="0.3">
      <c r="A2050" t="s">
        <v>253</v>
      </c>
      <c r="B2050" s="7" t="s">
        <v>51</v>
      </c>
      <c r="C2050" s="7">
        <v>2</v>
      </c>
      <c r="D2050" s="7">
        <v>2</v>
      </c>
      <c r="E2050" s="7" t="s">
        <v>64</v>
      </c>
      <c r="J2050">
        <f t="shared" si="153"/>
        <v>63.617251162500004</v>
      </c>
      <c r="K2050">
        <v>5.31</v>
      </c>
      <c r="M2050">
        <f t="shared" si="152"/>
        <v>0</v>
      </c>
      <c r="N2050">
        <f t="shared" si="151"/>
        <v>-5.31</v>
      </c>
    </row>
    <row r="2051" spans="1:14" x14ac:dyDescent="0.3">
      <c r="A2051" t="s">
        <v>253</v>
      </c>
      <c r="B2051" s="7" t="s">
        <v>51</v>
      </c>
      <c r="C2051" s="7">
        <v>2</v>
      </c>
      <c r="D2051" s="7">
        <v>2</v>
      </c>
      <c r="E2051" s="7" t="s">
        <v>30</v>
      </c>
      <c r="J2051">
        <f t="shared" si="153"/>
        <v>63.617251162500004</v>
      </c>
      <c r="K2051">
        <v>5.31</v>
      </c>
      <c r="M2051">
        <f t="shared" si="152"/>
        <v>0</v>
      </c>
      <c r="N2051">
        <f t="shared" ref="N2051:N2114" si="154">L2051*J2051-K2051</f>
        <v>-5.31</v>
      </c>
    </row>
    <row r="2052" spans="1:14" x14ac:dyDescent="0.3">
      <c r="A2052" t="s">
        <v>253</v>
      </c>
      <c r="B2052" s="7" t="s">
        <v>51</v>
      </c>
      <c r="C2052" s="7">
        <v>2</v>
      </c>
      <c r="D2052" s="7">
        <v>2</v>
      </c>
      <c r="E2052" s="7" t="s">
        <v>31</v>
      </c>
      <c r="J2052">
        <f t="shared" si="153"/>
        <v>63.617251162500004</v>
      </c>
      <c r="K2052">
        <v>5.31</v>
      </c>
      <c r="M2052">
        <f t="shared" ref="M2052:M2115" si="155">L2052*F2052</f>
        <v>0</v>
      </c>
      <c r="N2052">
        <f t="shared" si="154"/>
        <v>-5.31</v>
      </c>
    </row>
    <row r="2053" spans="1:14" x14ac:dyDescent="0.3">
      <c r="A2053" t="s">
        <v>253</v>
      </c>
      <c r="B2053" s="7" t="s">
        <v>51</v>
      </c>
      <c r="C2053" s="7">
        <v>2</v>
      </c>
      <c r="D2053" s="7">
        <v>6</v>
      </c>
      <c r="E2053" s="7" t="s">
        <v>64</v>
      </c>
      <c r="J2053">
        <f t="shared" si="153"/>
        <v>63.617251162500004</v>
      </c>
      <c r="K2053">
        <v>5.31</v>
      </c>
      <c r="M2053">
        <f t="shared" si="155"/>
        <v>0</v>
      </c>
      <c r="N2053">
        <f t="shared" si="154"/>
        <v>-5.31</v>
      </c>
    </row>
    <row r="2054" spans="1:14" x14ac:dyDescent="0.3">
      <c r="A2054" t="s">
        <v>253</v>
      </c>
      <c r="B2054" s="7" t="s">
        <v>51</v>
      </c>
      <c r="C2054" s="7">
        <v>2</v>
      </c>
      <c r="D2054" s="7">
        <v>6</v>
      </c>
      <c r="E2054" s="7" t="s">
        <v>30</v>
      </c>
      <c r="J2054">
        <f t="shared" si="153"/>
        <v>63.617251162500004</v>
      </c>
      <c r="K2054">
        <v>5.31</v>
      </c>
      <c r="M2054">
        <f t="shared" si="155"/>
        <v>0</v>
      </c>
      <c r="N2054">
        <f t="shared" si="154"/>
        <v>-5.31</v>
      </c>
    </row>
    <row r="2055" spans="1:14" x14ac:dyDescent="0.3">
      <c r="A2055" t="s">
        <v>253</v>
      </c>
      <c r="B2055" s="7" t="s">
        <v>51</v>
      </c>
      <c r="C2055" s="7">
        <v>2</v>
      </c>
      <c r="D2055" s="7">
        <v>6</v>
      </c>
      <c r="E2055" s="7" t="s">
        <v>31</v>
      </c>
      <c r="J2055">
        <f t="shared" si="153"/>
        <v>63.617251162500004</v>
      </c>
      <c r="K2055">
        <v>5.31</v>
      </c>
      <c r="M2055">
        <f t="shared" si="155"/>
        <v>0</v>
      </c>
      <c r="N2055">
        <f t="shared" si="154"/>
        <v>-5.31</v>
      </c>
    </row>
    <row r="2056" spans="1:14" x14ac:dyDescent="0.3">
      <c r="A2056" t="s">
        <v>253</v>
      </c>
      <c r="B2056" t="s">
        <v>51</v>
      </c>
      <c r="C2056">
        <v>2</v>
      </c>
      <c r="D2056">
        <v>12</v>
      </c>
      <c r="E2056" t="s">
        <v>64</v>
      </c>
      <c r="J2056">
        <f t="shared" si="153"/>
        <v>63.617251162500004</v>
      </c>
      <c r="K2056">
        <v>5.31</v>
      </c>
      <c r="M2056">
        <f t="shared" si="155"/>
        <v>0</v>
      </c>
      <c r="N2056">
        <f t="shared" si="154"/>
        <v>-5.31</v>
      </c>
    </row>
    <row r="2057" spans="1:14" x14ac:dyDescent="0.3">
      <c r="A2057" t="s">
        <v>253</v>
      </c>
      <c r="B2057" t="s">
        <v>51</v>
      </c>
      <c r="C2057">
        <v>2</v>
      </c>
      <c r="D2057">
        <v>12</v>
      </c>
      <c r="E2057" t="s">
        <v>30</v>
      </c>
      <c r="J2057">
        <f t="shared" si="153"/>
        <v>63.617251162500004</v>
      </c>
      <c r="K2057">
        <v>5.31</v>
      </c>
      <c r="M2057">
        <f t="shared" si="155"/>
        <v>0</v>
      </c>
      <c r="N2057">
        <f t="shared" si="154"/>
        <v>-5.31</v>
      </c>
    </row>
    <row r="2058" spans="1:14" x14ac:dyDescent="0.3">
      <c r="A2058" t="s">
        <v>253</v>
      </c>
      <c r="B2058" t="s">
        <v>51</v>
      </c>
      <c r="C2058">
        <v>2</v>
      </c>
      <c r="D2058">
        <v>12</v>
      </c>
      <c r="E2058" t="s">
        <v>31</v>
      </c>
      <c r="J2058">
        <f t="shared" si="153"/>
        <v>63.617251162500004</v>
      </c>
      <c r="K2058">
        <v>5.31</v>
      </c>
      <c r="M2058">
        <f t="shared" si="155"/>
        <v>0</v>
      </c>
      <c r="N2058">
        <f t="shared" si="154"/>
        <v>-5.31</v>
      </c>
    </row>
    <row r="2059" spans="1:14" x14ac:dyDescent="0.3">
      <c r="A2059" t="s">
        <v>253</v>
      </c>
      <c r="B2059" t="s">
        <v>51</v>
      </c>
      <c r="C2059">
        <v>2</v>
      </c>
      <c r="D2059">
        <v>18</v>
      </c>
      <c r="E2059" t="s">
        <v>64</v>
      </c>
      <c r="J2059">
        <f t="shared" si="153"/>
        <v>63.617251162500004</v>
      </c>
      <c r="K2059">
        <v>5.31</v>
      </c>
      <c r="M2059">
        <f t="shared" si="155"/>
        <v>0</v>
      </c>
      <c r="N2059">
        <f t="shared" si="154"/>
        <v>-5.31</v>
      </c>
    </row>
    <row r="2060" spans="1:14" x14ac:dyDescent="0.3">
      <c r="A2060" t="s">
        <v>253</v>
      </c>
      <c r="B2060" t="s">
        <v>51</v>
      </c>
      <c r="C2060">
        <v>2</v>
      </c>
      <c r="D2060">
        <v>18</v>
      </c>
      <c r="E2060" t="s">
        <v>30</v>
      </c>
      <c r="J2060">
        <f t="shared" si="153"/>
        <v>63.617251162500004</v>
      </c>
      <c r="K2060">
        <v>5.31</v>
      </c>
      <c r="M2060">
        <f t="shared" si="155"/>
        <v>0</v>
      </c>
      <c r="N2060">
        <f t="shared" si="154"/>
        <v>-5.31</v>
      </c>
    </row>
    <row r="2061" spans="1:14" x14ac:dyDescent="0.3">
      <c r="A2061" t="s">
        <v>253</v>
      </c>
      <c r="B2061" t="s">
        <v>51</v>
      </c>
      <c r="C2061">
        <v>2</v>
      </c>
      <c r="D2061">
        <v>18</v>
      </c>
      <c r="E2061" t="s">
        <v>31</v>
      </c>
      <c r="J2061">
        <f t="shared" si="153"/>
        <v>63.617251162500004</v>
      </c>
      <c r="K2061">
        <v>5.31</v>
      </c>
      <c r="M2061">
        <f t="shared" si="155"/>
        <v>0</v>
      </c>
      <c r="N2061">
        <f t="shared" si="154"/>
        <v>-5.31</v>
      </c>
    </row>
    <row r="2062" spans="1:14" x14ac:dyDescent="0.3">
      <c r="A2062" t="s">
        <v>253</v>
      </c>
      <c r="B2062" t="s">
        <v>51</v>
      </c>
      <c r="C2062">
        <v>2</v>
      </c>
      <c r="D2062">
        <v>24</v>
      </c>
      <c r="E2062" t="s">
        <v>28</v>
      </c>
      <c r="J2062">
        <f t="shared" si="153"/>
        <v>63.617251162500004</v>
      </c>
      <c r="K2062">
        <v>5.31</v>
      </c>
      <c r="M2062">
        <f t="shared" si="155"/>
        <v>0</v>
      </c>
      <c r="N2062">
        <f t="shared" si="154"/>
        <v>-5.31</v>
      </c>
    </row>
    <row r="2063" spans="1:14" x14ac:dyDescent="0.3">
      <c r="A2063" t="s">
        <v>253</v>
      </c>
      <c r="B2063" t="s">
        <v>51</v>
      </c>
      <c r="C2063">
        <v>2</v>
      </c>
      <c r="D2063">
        <v>24</v>
      </c>
      <c r="E2063" t="s">
        <v>30</v>
      </c>
      <c r="J2063">
        <f t="shared" si="153"/>
        <v>63.617251162500004</v>
      </c>
      <c r="K2063">
        <v>5.31</v>
      </c>
      <c r="M2063">
        <f t="shared" si="155"/>
        <v>0</v>
      </c>
      <c r="N2063">
        <f t="shared" si="154"/>
        <v>-5.31</v>
      </c>
    </row>
    <row r="2064" spans="1:14" x14ac:dyDescent="0.3">
      <c r="A2064" t="s">
        <v>253</v>
      </c>
      <c r="B2064" t="s">
        <v>51</v>
      </c>
      <c r="C2064">
        <v>2</v>
      </c>
      <c r="D2064">
        <v>24</v>
      </c>
      <c r="E2064" t="s">
        <v>31</v>
      </c>
      <c r="J2064">
        <f t="shared" si="153"/>
        <v>63.617251162500004</v>
      </c>
      <c r="K2064">
        <v>5.31</v>
      </c>
      <c r="M2064">
        <f t="shared" si="155"/>
        <v>0</v>
      </c>
      <c r="N2064">
        <f t="shared" si="154"/>
        <v>-5.31</v>
      </c>
    </row>
    <row r="2065" spans="1:14" x14ac:dyDescent="0.3">
      <c r="A2065" t="s">
        <v>253</v>
      </c>
      <c r="B2065" t="s">
        <v>51</v>
      </c>
      <c r="C2065">
        <v>2</v>
      </c>
      <c r="D2065">
        <v>48</v>
      </c>
      <c r="E2065" t="s">
        <v>64</v>
      </c>
      <c r="J2065">
        <f t="shared" si="153"/>
        <v>63.617251162500004</v>
      </c>
      <c r="K2065">
        <v>5.31</v>
      </c>
      <c r="M2065">
        <f t="shared" si="155"/>
        <v>0</v>
      </c>
      <c r="N2065">
        <f t="shared" si="154"/>
        <v>-5.31</v>
      </c>
    </row>
    <row r="2066" spans="1:14" x14ac:dyDescent="0.3">
      <c r="A2066" t="s">
        <v>253</v>
      </c>
      <c r="B2066" t="s">
        <v>51</v>
      </c>
      <c r="C2066">
        <v>2</v>
      </c>
      <c r="D2066">
        <v>48</v>
      </c>
      <c r="E2066" t="s">
        <v>30</v>
      </c>
      <c r="J2066">
        <f t="shared" si="153"/>
        <v>63.617251162500004</v>
      </c>
      <c r="K2066">
        <v>5.31</v>
      </c>
      <c r="M2066">
        <f t="shared" si="155"/>
        <v>0</v>
      </c>
      <c r="N2066">
        <f t="shared" si="154"/>
        <v>-5.31</v>
      </c>
    </row>
    <row r="2067" spans="1:14" x14ac:dyDescent="0.3">
      <c r="A2067" t="s">
        <v>253</v>
      </c>
      <c r="B2067" t="s">
        <v>51</v>
      </c>
      <c r="C2067">
        <v>2</v>
      </c>
      <c r="D2067">
        <v>48</v>
      </c>
      <c r="E2067" t="s">
        <v>31</v>
      </c>
      <c r="J2067">
        <f t="shared" si="153"/>
        <v>63.617251162500004</v>
      </c>
      <c r="K2067">
        <v>5.31</v>
      </c>
      <c r="M2067">
        <f t="shared" si="155"/>
        <v>0</v>
      </c>
      <c r="N2067">
        <f t="shared" si="154"/>
        <v>-5.31</v>
      </c>
    </row>
    <row r="2068" spans="1:14" x14ac:dyDescent="0.3">
      <c r="A2068" t="s">
        <v>253</v>
      </c>
      <c r="B2068" s="7" t="s">
        <v>51</v>
      </c>
      <c r="C2068" s="7"/>
      <c r="D2068" s="7"/>
      <c r="E2068" s="7" t="s">
        <v>67</v>
      </c>
      <c r="J2068">
        <f t="shared" si="153"/>
        <v>63.617251162500004</v>
      </c>
      <c r="K2068">
        <v>5.31</v>
      </c>
      <c r="M2068">
        <f t="shared" si="155"/>
        <v>0</v>
      </c>
      <c r="N2068">
        <f t="shared" si="154"/>
        <v>-5.31</v>
      </c>
    </row>
    <row r="2069" spans="1:14" x14ac:dyDescent="0.3">
      <c r="A2069" t="s">
        <v>253</v>
      </c>
      <c r="B2069" s="7" t="s">
        <v>51</v>
      </c>
      <c r="C2069" s="7"/>
      <c r="D2069" s="7"/>
      <c r="E2069" s="7" t="s">
        <v>68</v>
      </c>
      <c r="J2069">
        <f t="shared" si="153"/>
        <v>63.617251162500004</v>
      </c>
      <c r="K2069">
        <v>5.31</v>
      </c>
      <c r="M2069">
        <f t="shared" si="155"/>
        <v>0</v>
      </c>
      <c r="N2069">
        <f t="shared" si="154"/>
        <v>-5.31</v>
      </c>
    </row>
    <row r="2070" spans="1:14" x14ac:dyDescent="0.3">
      <c r="A2070" t="s">
        <v>253</v>
      </c>
      <c r="B2070" s="7" t="s">
        <v>51</v>
      </c>
      <c r="C2070" s="7"/>
      <c r="D2070" s="7"/>
      <c r="E2070" s="7" t="s">
        <v>69</v>
      </c>
      <c r="J2070">
        <f t="shared" si="153"/>
        <v>63.617251162500004</v>
      </c>
      <c r="K2070">
        <v>5.31</v>
      </c>
      <c r="M2070">
        <f t="shared" si="155"/>
        <v>0</v>
      </c>
      <c r="N2070">
        <f t="shared" si="154"/>
        <v>-5.31</v>
      </c>
    </row>
    <row r="2071" spans="1:14" x14ac:dyDescent="0.3">
      <c r="A2071" t="s">
        <v>253</v>
      </c>
      <c r="B2071" s="7" t="s">
        <v>51</v>
      </c>
      <c r="C2071" s="7"/>
      <c r="D2071" s="7"/>
      <c r="E2071" s="7" t="s">
        <v>70</v>
      </c>
      <c r="J2071">
        <f t="shared" si="153"/>
        <v>63.617251162500004</v>
      </c>
      <c r="K2071">
        <v>5.31</v>
      </c>
      <c r="M2071">
        <f t="shared" si="155"/>
        <v>0</v>
      </c>
      <c r="N2071">
        <f t="shared" si="154"/>
        <v>-5.31</v>
      </c>
    </row>
    <row r="2072" spans="1:14" x14ac:dyDescent="0.3">
      <c r="A2072" t="s">
        <v>253</v>
      </c>
      <c r="B2072" s="7" t="s">
        <v>54</v>
      </c>
      <c r="C2072" s="7">
        <v>1</v>
      </c>
      <c r="D2072" s="7">
        <v>0.5</v>
      </c>
      <c r="E2072" s="7" t="s">
        <v>64</v>
      </c>
      <c r="J2072">
        <f t="shared" si="153"/>
        <v>63.617251162500004</v>
      </c>
      <c r="K2072">
        <v>5.31</v>
      </c>
      <c r="M2072">
        <f t="shared" si="155"/>
        <v>0</v>
      </c>
      <c r="N2072">
        <f t="shared" si="154"/>
        <v>-5.31</v>
      </c>
    </row>
    <row r="2073" spans="1:14" x14ac:dyDescent="0.3">
      <c r="A2073" t="s">
        <v>253</v>
      </c>
      <c r="B2073" s="7" t="s">
        <v>54</v>
      </c>
      <c r="C2073" s="7">
        <v>1</v>
      </c>
      <c r="D2073" s="7">
        <v>0.5</v>
      </c>
      <c r="E2073" s="7" t="s">
        <v>30</v>
      </c>
      <c r="J2073">
        <f t="shared" si="153"/>
        <v>63.617251162500004</v>
      </c>
      <c r="K2073">
        <v>5.31</v>
      </c>
      <c r="M2073">
        <f t="shared" si="155"/>
        <v>0</v>
      </c>
      <c r="N2073">
        <f t="shared" si="154"/>
        <v>-5.31</v>
      </c>
    </row>
    <row r="2074" spans="1:14" x14ac:dyDescent="0.3">
      <c r="A2074" t="s">
        <v>253</v>
      </c>
      <c r="B2074" s="7" t="s">
        <v>54</v>
      </c>
      <c r="C2074" s="7">
        <v>1</v>
      </c>
      <c r="D2074" s="7">
        <v>0.5</v>
      </c>
      <c r="E2074" s="7" t="s">
        <v>31</v>
      </c>
      <c r="J2074">
        <f t="shared" si="153"/>
        <v>63.617251162500004</v>
      </c>
      <c r="K2074">
        <v>5.31</v>
      </c>
      <c r="M2074">
        <f t="shared" si="155"/>
        <v>0</v>
      </c>
      <c r="N2074">
        <f t="shared" si="154"/>
        <v>-5.31</v>
      </c>
    </row>
    <row r="2075" spans="1:14" x14ac:dyDescent="0.3">
      <c r="A2075" t="s">
        <v>253</v>
      </c>
      <c r="B2075" s="7" t="s">
        <v>54</v>
      </c>
      <c r="C2075" s="7">
        <v>1</v>
      </c>
      <c r="D2075" s="7">
        <v>2</v>
      </c>
      <c r="E2075" s="7" t="s">
        <v>64</v>
      </c>
      <c r="J2075">
        <f t="shared" si="153"/>
        <v>63.617251162500004</v>
      </c>
      <c r="K2075">
        <v>5.31</v>
      </c>
      <c r="M2075">
        <f t="shared" si="155"/>
        <v>0</v>
      </c>
      <c r="N2075">
        <f t="shared" si="154"/>
        <v>-5.31</v>
      </c>
    </row>
    <row r="2076" spans="1:14" x14ac:dyDescent="0.3">
      <c r="A2076" t="s">
        <v>253</v>
      </c>
      <c r="B2076" s="7" t="s">
        <v>54</v>
      </c>
      <c r="C2076" s="7">
        <v>1</v>
      </c>
      <c r="D2076" s="7">
        <v>2</v>
      </c>
      <c r="E2076" s="7" t="s">
        <v>30</v>
      </c>
      <c r="J2076">
        <f t="shared" si="153"/>
        <v>63.617251162500004</v>
      </c>
      <c r="K2076">
        <v>5.31</v>
      </c>
      <c r="M2076">
        <f t="shared" si="155"/>
        <v>0</v>
      </c>
      <c r="N2076">
        <f t="shared" si="154"/>
        <v>-5.31</v>
      </c>
    </row>
    <row r="2077" spans="1:14" x14ac:dyDescent="0.3">
      <c r="A2077" t="s">
        <v>253</v>
      </c>
      <c r="B2077" s="7" t="s">
        <v>54</v>
      </c>
      <c r="C2077" s="7">
        <v>1</v>
      </c>
      <c r="D2077" s="7">
        <v>2</v>
      </c>
      <c r="E2077" s="7" t="s">
        <v>31</v>
      </c>
      <c r="J2077">
        <f t="shared" si="153"/>
        <v>63.617251162500004</v>
      </c>
      <c r="K2077">
        <v>5.31</v>
      </c>
      <c r="M2077">
        <f t="shared" si="155"/>
        <v>0</v>
      </c>
      <c r="N2077">
        <f t="shared" si="154"/>
        <v>-5.31</v>
      </c>
    </row>
    <row r="2078" spans="1:14" x14ac:dyDescent="0.3">
      <c r="A2078" t="s">
        <v>253</v>
      </c>
      <c r="B2078" s="7" t="s">
        <v>54</v>
      </c>
      <c r="C2078" s="7">
        <v>1</v>
      </c>
      <c r="D2078" s="7">
        <v>6</v>
      </c>
      <c r="E2078" s="7" t="s">
        <v>64</v>
      </c>
      <c r="J2078">
        <f t="shared" si="153"/>
        <v>63.617251162500004</v>
      </c>
      <c r="K2078">
        <v>5.31</v>
      </c>
      <c r="M2078">
        <f t="shared" si="155"/>
        <v>0</v>
      </c>
      <c r="N2078">
        <f t="shared" si="154"/>
        <v>-5.31</v>
      </c>
    </row>
    <row r="2079" spans="1:14" x14ac:dyDescent="0.3">
      <c r="A2079" t="s">
        <v>253</v>
      </c>
      <c r="B2079" s="7" t="s">
        <v>54</v>
      </c>
      <c r="C2079" s="7">
        <v>1</v>
      </c>
      <c r="D2079" s="7">
        <v>6</v>
      </c>
      <c r="E2079" s="7" t="s">
        <v>30</v>
      </c>
      <c r="J2079">
        <f t="shared" si="153"/>
        <v>63.617251162500004</v>
      </c>
      <c r="K2079">
        <v>5.31</v>
      </c>
      <c r="M2079">
        <f t="shared" si="155"/>
        <v>0</v>
      </c>
      <c r="N2079" s="7">
        <f t="shared" si="154"/>
        <v>-5.31</v>
      </c>
    </row>
    <row r="2080" spans="1:14" x14ac:dyDescent="0.3">
      <c r="A2080" t="s">
        <v>253</v>
      </c>
      <c r="B2080" s="7" t="s">
        <v>54</v>
      </c>
      <c r="C2080" s="7">
        <v>1</v>
      </c>
      <c r="D2080" s="7">
        <v>6</v>
      </c>
      <c r="E2080" s="7" t="s">
        <v>31</v>
      </c>
      <c r="J2080">
        <f t="shared" si="153"/>
        <v>63.617251162500004</v>
      </c>
      <c r="K2080">
        <v>5.31</v>
      </c>
      <c r="M2080">
        <f t="shared" si="155"/>
        <v>0</v>
      </c>
      <c r="N2080">
        <f t="shared" si="154"/>
        <v>-5.31</v>
      </c>
    </row>
    <row r="2081" spans="1:14" x14ac:dyDescent="0.3">
      <c r="A2081" t="s">
        <v>253</v>
      </c>
      <c r="B2081" s="7" t="s">
        <v>54</v>
      </c>
      <c r="C2081" s="7">
        <v>1</v>
      </c>
      <c r="D2081" s="7">
        <v>12</v>
      </c>
      <c r="E2081" s="7" t="s">
        <v>64</v>
      </c>
      <c r="J2081">
        <f t="shared" si="153"/>
        <v>63.617251162500004</v>
      </c>
      <c r="K2081">
        <v>5.31</v>
      </c>
      <c r="M2081">
        <f t="shared" si="155"/>
        <v>0</v>
      </c>
      <c r="N2081">
        <f t="shared" si="154"/>
        <v>-5.31</v>
      </c>
    </row>
    <row r="2082" spans="1:14" x14ac:dyDescent="0.3">
      <c r="A2082" t="s">
        <v>253</v>
      </c>
      <c r="B2082" s="7" t="s">
        <v>54</v>
      </c>
      <c r="C2082" s="7">
        <v>1</v>
      </c>
      <c r="D2082" s="7">
        <v>12</v>
      </c>
      <c r="E2082" s="7" t="s">
        <v>30</v>
      </c>
      <c r="J2082">
        <f t="shared" si="153"/>
        <v>63.617251162500004</v>
      </c>
      <c r="K2082">
        <v>5.31</v>
      </c>
      <c r="M2082">
        <f t="shared" si="155"/>
        <v>0</v>
      </c>
      <c r="N2082">
        <f t="shared" si="154"/>
        <v>-5.31</v>
      </c>
    </row>
    <row r="2083" spans="1:14" x14ac:dyDescent="0.3">
      <c r="A2083" t="s">
        <v>253</v>
      </c>
      <c r="B2083" s="7" t="s">
        <v>54</v>
      </c>
      <c r="C2083" s="7">
        <v>1</v>
      </c>
      <c r="D2083" s="7">
        <v>12</v>
      </c>
      <c r="E2083" s="7" t="s">
        <v>31</v>
      </c>
      <c r="J2083">
        <f t="shared" si="153"/>
        <v>63.617251162500004</v>
      </c>
      <c r="K2083">
        <v>5.31</v>
      </c>
      <c r="M2083">
        <f t="shared" si="155"/>
        <v>0</v>
      </c>
      <c r="N2083" s="7">
        <f t="shared" si="154"/>
        <v>-5.31</v>
      </c>
    </row>
    <row r="2084" spans="1:14" x14ac:dyDescent="0.3">
      <c r="A2084" t="s">
        <v>253</v>
      </c>
      <c r="B2084" s="7" t="s">
        <v>54</v>
      </c>
      <c r="C2084" s="7">
        <v>1</v>
      </c>
      <c r="D2084" s="7">
        <v>18</v>
      </c>
      <c r="E2084" s="7" t="s">
        <v>64</v>
      </c>
      <c r="J2084">
        <f t="shared" si="153"/>
        <v>63.617251162500004</v>
      </c>
      <c r="K2084">
        <v>5.31</v>
      </c>
      <c r="M2084" s="7">
        <f t="shared" si="155"/>
        <v>0</v>
      </c>
      <c r="N2084" s="7">
        <f t="shared" si="154"/>
        <v>-5.31</v>
      </c>
    </row>
    <row r="2085" spans="1:14" x14ac:dyDescent="0.3">
      <c r="A2085" t="s">
        <v>253</v>
      </c>
      <c r="B2085" s="7" t="s">
        <v>54</v>
      </c>
      <c r="C2085" s="7">
        <v>1</v>
      </c>
      <c r="D2085" s="7">
        <v>18</v>
      </c>
      <c r="E2085" s="7" t="s">
        <v>30</v>
      </c>
      <c r="J2085">
        <f t="shared" si="153"/>
        <v>63.617251162500004</v>
      </c>
      <c r="K2085">
        <v>5.31</v>
      </c>
      <c r="M2085">
        <f t="shared" si="155"/>
        <v>0</v>
      </c>
      <c r="N2085">
        <f t="shared" si="154"/>
        <v>-5.31</v>
      </c>
    </row>
    <row r="2086" spans="1:14" x14ac:dyDescent="0.3">
      <c r="A2086" t="s">
        <v>253</v>
      </c>
      <c r="B2086" s="7" t="s">
        <v>54</v>
      </c>
      <c r="C2086" s="7">
        <v>1</v>
      </c>
      <c r="D2086" s="7">
        <v>18</v>
      </c>
      <c r="E2086" s="7" t="s">
        <v>31</v>
      </c>
      <c r="J2086">
        <f t="shared" si="153"/>
        <v>63.617251162500004</v>
      </c>
      <c r="K2086">
        <v>5.31</v>
      </c>
      <c r="M2086">
        <f t="shared" si="155"/>
        <v>0</v>
      </c>
      <c r="N2086">
        <f t="shared" si="154"/>
        <v>-5.31</v>
      </c>
    </row>
    <row r="2087" spans="1:14" x14ac:dyDescent="0.3">
      <c r="A2087" t="s">
        <v>253</v>
      </c>
      <c r="B2087" s="7" t="s">
        <v>54</v>
      </c>
      <c r="C2087" s="7">
        <v>1</v>
      </c>
      <c r="D2087" s="7">
        <v>24</v>
      </c>
      <c r="E2087" s="7" t="s">
        <v>28</v>
      </c>
      <c r="J2087">
        <f t="shared" si="153"/>
        <v>63.617251162500004</v>
      </c>
      <c r="K2087">
        <v>5.31</v>
      </c>
      <c r="M2087">
        <f t="shared" si="155"/>
        <v>0</v>
      </c>
      <c r="N2087">
        <f t="shared" si="154"/>
        <v>-5.31</v>
      </c>
    </row>
    <row r="2088" spans="1:14" x14ac:dyDescent="0.3">
      <c r="A2088" t="s">
        <v>253</v>
      </c>
      <c r="B2088" s="7" t="s">
        <v>54</v>
      </c>
      <c r="C2088" s="7">
        <v>1</v>
      </c>
      <c r="D2088" s="7">
        <v>24</v>
      </c>
      <c r="E2088" s="7" t="s">
        <v>30</v>
      </c>
      <c r="J2088">
        <f t="shared" si="153"/>
        <v>63.617251162500004</v>
      </c>
      <c r="K2088">
        <v>5.31</v>
      </c>
      <c r="M2088" s="7">
        <f t="shared" si="155"/>
        <v>0</v>
      </c>
      <c r="N2088">
        <f t="shared" si="154"/>
        <v>-5.31</v>
      </c>
    </row>
    <row r="2089" spans="1:14" x14ac:dyDescent="0.3">
      <c r="A2089" t="s">
        <v>253</v>
      </c>
      <c r="B2089" s="7" t="s">
        <v>54</v>
      </c>
      <c r="C2089" s="7">
        <v>1</v>
      </c>
      <c r="D2089" s="7">
        <v>24</v>
      </c>
      <c r="E2089" s="7" t="s">
        <v>31</v>
      </c>
      <c r="J2089">
        <f t="shared" si="153"/>
        <v>63.617251162500004</v>
      </c>
      <c r="K2089">
        <v>5.31</v>
      </c>
      <c r="M2089" s="7">
        <f t="shared" si="155"/>
        <v>0</v>
      </c>
      <c r="N2089">
        <f t="shared" si="154"/>
        <v>-5.31</v>
      </c>
    </row>
    <row r="2090" spans="1:14" x14ac:dyDescent="0.3">
      <c r="A2090" t="s">
        <v>253</v>
      </c>
      <c r="B2090" s="7" t="s">
        <v>54</v>
      </c>
      <c r="C2090" s="7">
        <v>1</v>
      </c>
      <c r="D2090" s="7">
        <v>48</v>
      </c>
      <c r="E2090" s="7" t="s">
        <v>64</v>
      </c>
      <c r="J2090">
        <f t="shared" si="153"/>
        <v>63.617251162500004</v>
      </c>
      <c r="K2090">
        <v>5.31</v>
      </c>
      <c r="M2090">
        <f t="shared" si="155"/>
        <v>0</v>
      </c>
      <c r="N2090">
        <f t="shared" si="154"/>
        <v>-5.31</v>
      </c>
    </row>
    <row r="2091" spans="1:14" x14ac:dyDescent="0.3">
      <c r="A2091" t="s">
        <v>253</v>
      </c>
      <c r="B2091" s="7" t="s">
        <v>54</v>
      </c>
      <c r="C2091" s="7">
        <v>1</v>
      </c>
      <c r="D2091" s="7">
        <v>48</v>
      </c>
      <c r="E2091" s="7" t="s">
        <v>30</v>
      </c>
      <c r="J2091">
        <f t="shared" si="153"/>
        <v>63.617251162500004</v>
      </c>
      <c r="K2091">
        <v>5.31</v>
      </c>
      <c r="M2091">
        <f t="shared" si="155"/>
        <v>0</v>
      </c>
      <c r="N2091">
        <f t="shared" si="154"/>
        <v>-5.31</v>
      </c>
    </row>
    <row r="2092" spans="1:14" x14ac:dyDescent="0.3">
      <c r="A2092" t="s">
        <v>253</v>
      </c>
      <c r="B2092" s="7" t="s">
        <v>54</v>
      </c>
      <c r="C2092" s="7">
        <v>1</v>
      </c>
      <c r="D2092" s="7">
        <v>48</v>
      </c>
      <c r="E2092" s="7" t="s">
        <v>31</v>
      </c>
      <c r="J2092">
        <f t="shared" ref="J2092:J2155" si="156">4.5*4.5*3.14159265</f>
        <v>63.617251162500004</v>
      </c>
      <c r="K2092">
        <v>5.31</v>
      </c>
      <c r="M2092">
        <f t="shared" si="155"/>
        <v>0</v>
      </c>
      <c r="N2092">
        <f t="shared" si="154"/>
        <v>-5.31</v>
      </c>
    </row>
    <row r="2093" spans="1:14" x14ac:dyDescent="0.3">
      <c r="A2093" t="s">
        <v>253</v>
      </c>
      <c r="B2093" t="s">
        <v>54</v>
      </c>
      <c r="C2093">
        <v>2</v>
      </c>
      <c r="D2093">
        <v>0.5</v>
      </c>
      <c r="E2093" t="s">
        <v>64</v>
      </c>
      <c r="J2093">
        <f t="shared" si="156"/>
        <v>63.617251162500004</v>
      </c>
      <c r="K2093">
        <v>5.31</v>
      </c>
      <c r="M2093">
        <f t="shared" si="155"/>
        <v>0</v>
      </c>
      <c r="N2093">
        <f t="shared" si="154"/>
        <v>-5.31</v>
      </c>
    </row>
    <row r="2094" spans="1:14" x14ac:dyDescent="0.3">
      <c r="A2094" t="s">
        <v>253</v>
      </c>
      <c r="B2094" t="s">
        <v>54</v>
      </c>
      <c r="C2094">
        <v>2</v>
      </c>
      <c r="D2094">
        <v>0.5</v>
      </c>
      <c r="E2094" t="s">
        <v>30</v>
      </c>
      <c r="J2094">
        <f t="shared" si="156"/>
        <v>63.617251162500004</v>
      </c>
      <c r="K2094">
        <v>5.31</v>
      </c>
      <c r="M2094">
        <f t="shared" si="155"/>
        <v>0</v>
      </c>
      <c r="N2094">
        <f t="shared" si="154"/>
        <v>-5.31</v>
      </c>
    </row>
    <row r="2095" spans="1:14" x14ac:dyDescent="0.3">
      <c r="A2095" t="s">
        <v>253</v>
      </c>
      <c r="B2095" t="s">
        <v>54</v>
      </c>
      <c r="C2095">
        <v>2</v>
      </c>
      <c r="D2095">
        <v>0.5</v>
      </c>
      <c r="E2095" t="s">
        <v>31</v>
      </c>
      <c r="J2095">
        <f t="shared" si="156"/>
        <v>63.617251162500004</v>
      </c>
      <c r="K2095">
        <v>5.31</v>
      </c>
      <c r="M2095">
        <f t="shared" si="155"/>
        <v>0</v>
      </c>
      <c r="N2095">
        <f t="shared" si="154"/>
        <v>-5.31</v>
      </c>
    </row>
    <row r="2096" spans="1:14" x14ac:dyDescent="0.3">
      <c r="A2096" t="s">
        <v>253</v>
      </c>
      <c r="B2096" t="s">
        <v>54</v>
      </c>
      <c r="C2096">
        <v>2</v>
      </c>
      <c r="D2096">
        <v>2</v>
      </c>
      <c r="E2096" t="s">
        <v>64</v>
      </c>
      <c r="J2096">
        <f t="shared" si="156"/>
        <v>63.617251162500004</v>
      </c>
      <c r="K2096">
        <v>5.31</v>
      </c>
      <c r="M2096">
        <f t="shared" si="155"/>
        <v>0</v>
      </c>
      <c r="N2096">
        <f t="shared" si="154"/>
        <v>-5.31</v>
      </c>
    </row>
    <row r="2097" spans="1:14" x14ac:dyDescent="0.3">
      <c r="A2097" t="s">
        <v>253</v>
      </c>
      <c r="B2097" t="s">
        <v>54</v>
      </c>
      <c r="C2097">
        <v>2</v>
      </c>
      <c r="D2097">
        <v>2</v>
      </c>
      <c r="E2097" t="s">
        <v>30</v>
      </c>
      <c r="J2097">
        <f t="shared" si="156"/>
        <v>63.617251162500004</v>
      </c>
      <c r="K2097">
        <v>5.31</v>
      </c>
      <c r="M2097">
        <f t="shared" si="155"/>
        <v>0</v>
      </c>
      <c r="N2097">
        <f t="shared" si="154"/>
        <v>-5.31</v>
      </c>
    </row>
    <row r="2098" spans="1:14" x14ac:dyDescent="0.3">
      <c r="A2098" t="s">
        <v>253</v>
      </c>
      <c r="B2098" t="s">
        <v>54</v>
      </c>
      <c r="C2098">
        <v>2</v>
      </c>
      <c r="D2098">
        <v>2</v>
      </c>
      <c r="E2098" t="s">
        <v>31</v>
      </c>
      <c r="J2098">
        <f t="shared" si="156"/>
        <v>63.617251162500004</v>
      </c>
      <c r="K2098">
        <v>5.31</v>
      </c>
      <c r="M2098">
        <f t="shared" si="155"/>
        <v>0</v>
      </c>
      <c r="N2098">
        <f t="shared" si="154"/>
        <v>-5.31</v>
      </c>
    </row>
    <row r="2099" spans="1:14" x14ac:dyDescent="0.3">
      <c r="A2099" t="s">
        <v>253</v>
      </c>
      <c r="B2099" t="s">
        <v>54</v>
      </c>
      <c r="C2099">
        <v>2</v>
      </c>
      <c r="D2099">
        <v>6</v>
      </c>
      <c r="E2099" t="s">
        <v>64</v>
      </c>
      <c r="J2099">
        <f t="shared" si="156"/>
        <v>63.617251162500004</v>
      </c>
      <c r="K2099">
        <v>5.31</v>
      </c>
      <c r="M2099">
        <f t="shared" si="155"/>
        <v>0</v>
      </c>
      <c r="N2099">
        <f t="shared" si="154"/>
        <v>-5.31</v>
      </c>
    </row>
    <row r="2100" spans="1:14" x14ac:dyDescent="0.3">
      <c r="A2100" t="s">
        <v>253</v>
      </c>
      <c r="B2100" t="s">
        <v>54</v>
      </c>
      <c r="C2100">
        <v>2</v>
      </c>
      <c r="D2100">
        <v>6</v>
      </c>
      <c r="E2100" t="s">
        <v>30</v>
      </c>
      <c r="J2100">
        <f t="shared" si="156"/>
        <v>63.617251162500004</v>
      </c>
      <c r="K2100">
        <v>5.31</v>
      </c>
      <c r="M2100">
        <f t="shared" si="155"/>
        <v>0</v>
      </c>
      <c r="N2100">
        <f t="shared" si="154"/>
        <v>-5.31</v>
      </c>
    </row>
    <row r="2101" spans="1:14" x14ac:dyDescent="0.3">
      <c r="A2101" t="s">
        <v>253</v>
      </c>
      <c r="B2101" t="s">
        <v>54</v>
      </c>
      <c r="C2101">
        <v>2</v>
      </c>
      <c r="D2101">
        <v>6</v>
      </c>
      <c r="E2101" t="s">
        <v>31</v>
      </c>
      <c r="J2101">
        <f t="shared" si="156"/>
        <v>63.617251162500004</v>
      </c>
      <c r="K2101">
        <v>5.31</v>
      </c>
      <c r="M2101">
        <f t="shared" si="155"/>
        <v>0</v>
      </c>
      <c r="N2101">
        <f t="shared" si="154"/>
        <v>-5.31</v>
      </c>
    </row>
    <row r="2102" spans="1:14" x14ac:dyDescent="0.3">
      <c r="A2102" t="s">
        <v>253</v>
      </c>
      <c r="B2102" t="s">
        <v>54</v>
      </c>
      <c r="C2102">
        <v>2</v>
      </c>
      <c r="D2102">
        <v>12</v>
      </c>
      <c r="E2102" t="s">
        <v>64</v>
      </c>
      <c r="J2102">
        <f t="shared" si="156"/>
        <v>63.617251162500004</v>
      </c>
      <c r="K2102">
        <v>5.31</v>
      </c>
      <c r="M2102">
        <f t="shared" si="155"/>
        <v>0</v>
      </c>
      <c r="N2102">
        <f t="shared" si="154"/>
        <v>-5.31</v>
      </c>
    </row>
    <row r="2103" spans="1:14" x14ac:dyDescent="0.3">
      <c r="A2103" t="s">
        <v>253</v>
      </c>
      <c r="B2103" t="s">
        <v>54</v>
      </c>
      <c r="C2103">
        <v>2</v>
      </c>
      <c r="D2103">
        <v>12</v>
      </c>
      <c r="E2103" t="s">
        <v>30</v>
      </c>
      <c r="J2103">
        <f t="shared" si="156"/>
        <v>63.617251162500004</v>
      </c>
      <c r="K2103">
        <v>5.31</v>
      </c>
      <c r="M2103">
        <f t="shared" si="155"/>
        <v>0</v>
      </c>
      <c r="N2103">
        <f t="shared" si="154"/>
        <v>-5.31</v>
      </c>
    </row>
    <row r="2104" spans="1:14" x14ac:dyDescent="0.3">
      <c r="A2104" t="s">
        <v>253</v>
      </c>
      <c r="B2104" t="s">
        <v>54</v>
      </c>
      <c r="C2104">
        <v>2</v>
      </c>
      <c r="D2104">
        <v>12</v>
      </c>
      <c r="E2104" t="s">
        <v>31</v>
      </c>
      <c r="J2104">
        <f t="shared" si="156"/>
        <v>63.617251162500004</v>
      </c>
      <c r="K2104">
        <v>5.31</v>
      </c>
      <c r="M2104">
        <f t="shared" si="155"/>
        <v>0</v>
      </c>
      <c r="N2104">
        <f t="shared" si="154"/>
        <v>-5.31</v>
      </c>
    </row>
    <row r="2105" spans="1:14" x14ac:dyDescent="0.3">
      <c r="A2105" t="s">
        <v>253</v>
      </c>
      <c r="B2105" t="s">
        <v>54</v>
      </c>
      <c r="C2105">
        <v>2</v>
      </c>
      <c r="D2105">
        <v>18</v>
      </c>
      <c r="E2105" t="s">
        <v>64</v>
      </c>
      <c r="J2105">
        <f t="shared" si="156"/>
        <v>63.617251162500004</v>
      </c>
      <c r="K2105">
        <v>5.31</v>
      </c>
      <c r="M2105">
        <f t="shared" si="155"/>
        <v>0</v>
      </c>
      <c r="N2105">
        <f t="shared" si="154"/>
        <v>-5.31</v>
      </c>
    </row>
    <row r="2106" spans="1:14" x14ac:dyDescent="0.3">
      <c r="A2106" t="s">
        <v>253</v>
      </c>
      <c r="B2106" t="s">
        <v>54</v>
      </c>
      <c r="C2106">
        <v>2</v>
      </c>
      <c r="D2106">
        <v>18</v>
      </c>
      <c r="E2106" t="s">
        <v>30</v>
      </c>
      <c r="J2106">
        <f t="shared" si="156"/>
        <v>63.617251162500004</v>
      </c>
      <c r="K2106">
        <v>5.31</v>
      </c>
      <c r="M2106">
        <f t="shared" si="155"/>
        <v>0</v>
      </c>
      <c r="N2106">
        <f t="shared" si="154"/>
        <v>-5.31</v>
      </c>
    </row>
    <row r="2107" spans="1:14" x14ac:dyDescent="0.3">
      <c r="A2107" t="s">
        <v>253</v>
      </c>
      <c r="B2107" t="s">
        <v>54</v>
      </c>
      <c r="C2107">
        <v>2</v>
      </c>
      <c r="D2107">
        <v>18</v>
      </c>
      <c r="E2107" t="s">
        <v>31</v>
      </c>
      <c r="J2107">
        <f t="shared" si="156"/>
        <v>63.617251162500004</v>
      </c>
      <c r="K2107">
        <v>5.31</v>
      </c>
      <c r="M2107">
        <f t="shared" si="155"/>
        <v>0</v>
      </c>
      <c r="N2107">
        <f t="shared" si="154"/>
        <v>-5.31</v>
      </c>
    </row>
    <row r="2108" spans="1:14" x14ac:dyDescent="0.3">
      <c r="A2108" t="s">
        <v>253</v>
      </c>
      <c r="B2108" t="s">
        <v>54</v>
      </c>
      <c r="C2108">
        <v>2</v>
      </c>
      <c r="D2108">
        <v>24</v>
      </c>
      <c r="E2108" t="s">
        <v>28</v>
      </c>
      <c r="J2108">
        <f t="shared" si="156"/>
        <v>63.617251162500004</v>
      </c>
      <c r="K2108">
        <v>5.31</v>
      </c>
      <c r="M2108">
        <f t="shared" si="155"/>
        <v>0</v>
      </c>
      <c r="N2108">
        <f t="shared" si="154"/>
        <v>-5.31</v>
      </c>
    </row>
    <row r="2109" spans="1:14" x14ac:dyDescent="0.3">
      <c r="A2109" t="s">
        <v>253</v>
      </c>
      <c r="B2109" t="s">
        <v>54</v>
      </c>
      <c r="C2109">
        <v>2</v>
      </c>
      <c r="D2109">
        <v>24</v>
      </c>
      <c r="E2109" t="s">
        <v>30</v>
      </c>
      <c r="J2109">
        <f t="shared" si="156"/>
        <v>63.617251162500004</v>
      </c>
      <c r="K2109">
        <v>5.31</v>
      </c>
      <c r="M2109">
        <f t="shared" si="155"/>
        <v>0</v>
      </c>
      <c r="N2109">
        <f t="shared" si="154"/>
        <v>-5.31</v>
      </c>
    </row>
    <row r="2110" spans="1:14" x14ac:dyDescent="0.3">
      <c r="A2110" t="s">
        <v>253</v>
      </c>
      <c r="B2110" t="s">
        <v>54</v>
      </c>
      <c r="C2110">
        <v>2</v>
      </c>
      <c r="D2110">
        <v>24</v>
      </c>
      <c r="E2110" t="s">
        <v>31</v>
      </c>
      <c r="J2110">
        <f t="shared" si="156"/>
        <v>63.617251162500004</v>
      </c>
      <c r="K2110">
        <v>5.31</v>
      </c>
      <c r="M2110">
        <f t="shared" si="155"/>
        <v>0</v>
      </c>
      <c r="N2110">
        <f t="shared" si="154"/>
        <v>-5.31</v>
      </c>
    </row>
    <row r="2111" spans="1:14" x14ac:dyDescent="0.3">
      <c r="A2111" t="s">
        <v>253</v>
      </c>
      <c r="B2111" t="s">
        <v>54</v>
      </c>
      <c r="C2111">
        <v>2</v>
      </c>
      <c r="D2111">
        <v>48</v>
      </c>
      <c r="E2111" t="s">
        <v>64</v>
      </c>
      <c r="J2111">
        <f t="shared" si="156"/>
        <v>63.617251162500004</v>
      </c>
      <c r="K2111">
        <v>5.31</v>
      </c>
      <c r="M2111">
        <f t="shared" si="155"/>
        <v>0</v>
      </c>
      <c r="N2111">
        <f t="shared" si="154"/>
        <v>-5.31</v>
      </c>
    </row>
    <row r="2112" spans="1:14" x14ac:dyDescent="0.3">
      <c r="A2112" t="s">
        <v>253</v>
      </c>
      <c r="B2112" t="s">
        <v>54</v>
      </c>
      <c r="C2112">
        <v>2</v>
      </c>
      <c r="D2112">
        <v>48</v>
      </c>
      <c r="E2112" t="s">
        <v>30</v>
      </c>
      <c r="J2112">
        <f t="shared" si="156"/>
        <v>63.617251162500004</v>
      </c>
      <c r="K2112">
        <v>5.31</v>
      </c>
      <c r="M2112">
        <f t="shared" si="155"/>
        <v>0</v>
      </c>
      <c r="N2112">
        <f t="shared" si="154"/>
        <v>-5.31</v>
      </c>
    </row>
    <row r="2113" spans="1:14" x14ac:dyDescent="0.3">
      <c r="A2113" t="s">
        <v>253</v>
      </c>
      <c r="B2113" t="s">
        <v>54</v>
      </c>
      <c r="C2113">
        <v>2</v>
      </c>
      <c r="D2113">
        <v>48</v>
      </c>
      <c r="E2113" t="s">
        <v>31</v>
      </c>
      <c r="J2113">
        <f t="shared" si="156"/>
        <v>63.617251162500004</v>
      </c>
      <c r="K2113">
        <v>5.31</v>
      </c>
      <c r="M2113">
        <f t="shared" si="155"/>
        <v>0</v>
      </c>
      <c r="N2113">
        <f t="shared" si="154"/>
        <v>-5.31</v>
      </c>
    </row>
    <row r="2114" spans="1:14" x14ac:dyDescent="0.3">
      <c r="A2114" t="s">
        <v>253</v>
      </c>
      <c r="B2114" t="s">
        <v>54</v>
      </c>
      <c r="E2114" t="s">
        <v>67</v>
      </c>
      <c r="J2114">
        <f t="shared" si="156"/>
        <v>63.617251162500004</v>
      </c>
      <c r="K2114">
        <v>5.31</v>
      </c>
      <c r="M2114">
        <f t="shared" si="155"/>
        <v>0</v>
      </c>
      <c r="N2114">
        <f t="shared" si="154"/>
        <v>-5.31</v>
      </c>
    </row>
    <row r="2115" spans="1:14" x14ac:dyDescent="0.3">
      <c r="A2115" t="s">
        <v>253</v>
      </c>
      <c r="B2115" t="s">
        <v>54</v>
      </c>
      <c r="E2115" t="s">
        <v>68</v>
      </c>
      <c r="J2115">
        <f t="shared" si="156"/>
        <v>63.617251162500004</v>
      </c>
      <c r="K2115">
        <v>5.31</v>
      </c>
      <c r="M2115">
        <f t="shared" si="155"/>
        <v>0</v>
      </c>
      <c r="N2115">
        <f t="shared" ref="N2115:N2163" si="157">L2115*J2115-K2115</f>
        <v>-5.31</v>
      </c>
    </row>
    <row r="2116" spans="1:14" x14ac:dyDescent="0.3">
      <c r="A2116" t="s">
        <v>253</v>
      </c>
      <c r="B2116" t="s">
        <v>54</v>
      </c>
      <c r="E2116" t="s">
        <v>69</v>
      </c>
      <c r="J2116">
        <f t="shared" si="156"/>
        <v>63.617251162500004</v>
      </c>
      <c r="K2116">
        <v>5.31</v>
      </c>
      <c r="M2116">
        <f t="shared" ref="M2116:M2163" si="158">L2116*F2116</f>
        <v>0</v>
      </c>
      <c r="N2116">
        <f t="shared" si="157"/>
        <v>-5.31</v>
      </c>
    </row>
    <row r="2117" spans="1:14" x14ac:dyDescent="0.3">
      <c r="A2117" t="s">
        <v>253</v>
      </c>
      <c r="B2117" t="s">
        <v>54</v>
      </c>
      <c r="E2117" t="s">
        <v>70</v>
      </c>
      <c r="J2117">
        <f t="shared" si="156"/>
        <v>63.617251162500004</v>
      </c>
      <c r="K2117">
        <v>5.31</v>
      </c>
      <c r="M2117">
        <f t="shared" si="158"/>
        <v>0</v>
      </c>
      <c r="N2117">
        <f t="shared" si="157"/>
        <v>-5.31</v>
      </c>
    </row>
    <row r="2118" spans="1:14" x14ac:dyDescent="0.3">
      <c r="A2118" t="s">
        <v>253</v>
      </c>
      <c r="B2118" t="s">
        <v>57</v>
      </c>
      <c r="C2118">
        <v>1</v>
      </c>
      <c r="D2118">
        <v>0.5</v>
      </c>
      <c r="E2118" t="s">
        <v>64</v>
      </c>
      <c r="J2118">
        <f t="shared" si="156"/>
        <v>63.617251162500004</v>
      </c>
      <c r="K2118">
        <v>5.31</v>
      </c>
      <c r="M2118">
        <f t="shared" si="158"/>
        <v>0</v>
      </c>
      <c r="N2118">
        <f t="shared" si="157"/>
        <v>-5.31</v>
      </c>
    </row>
    <row r="2119" spans="1:14" x14ac:dyDescent="0.3">
      <c r="A2119" t="s">
        <v>253</v>
      </c>
      <c r="B2119" t="s">
        <v>57</v>
      </c>
      <c r="C2119">
        <v>1</v>
      </c>
      <c r="D2119">
        <v>0.5</v>
      </c>
      <c r="E2119" t="s">
        <v>30</v>
      </c>
      <c r="J2119">
        <f t="shared" si="156"/>
        <v>63.617251162500004</v>
      </c>
      <c r="K2119">
        <v>5.31</v>
      </c>
      <c r="M2119">
        <f t="shared" si="158"/>
        <v>0</v>
      </c>
      <c r="N2119">
        <f t="shared" si="157"/>
        <v>-5.31</v>
      </c>
    </row>
    <row r="2120" spans="1:14" x14ac:dyDescent="0.3">
      <c r="A2120" t="s">
        <v>253</v>
      </c>
      <c r="B2120" t="s">
        <v>57</v>
      </c>
      <c r="C2120">
        <v>1</v>
      </c>
      <c r="D2120">
        <v>0.5</v>
      </c>
      <c r="E2120" t="s">
        <v>31</v>
      </c>
      <c r="J2120">
        <f t="shared" si="156"/>
        <v>63.617251162500004</v>
      </c>
      <c r="K2120">
        <v>5.31</v>
      </c>
      <c r="M2120">
        <f t="shared" si="158"/>
        <v>0</v>
      </c>
      <c r="N2120">
        <f t="shared" si="157"/>
        <v>-5.31</v>
      </c>
    </row>
    <row r="2121" spans="1:14" x14ac:dyDescent="0.3">
      <c r="A2121" t="s">
        <v>253</v>
      </c>
      <c r="B2121" t="s">
        <v>57</v>
      </c>
      <c r="C2121">
        <v>1</v>
      </c>
      <c r="D2121">
        <v>2</v>
      </c>
      <c r="E2121" t="s">
        <v>64</v>
      </c>
      <c r="J2121">
        <f t="shared" si="156"/>
        <v>63.617251162500004</v>
      </c>
      <c r="K2121">
        <v>5.31</v>
      </c>
      <c r="M2121">
        <f t="shared" si="158"/>
        <v>0</v>
      </c>
      <c r="N2121">
        <f t="shared" si="157"/>
        <v>-5.31</v>
      </c>
    </row>
    <row r="2122" spans="1:14" x14ac:dyDescent="0.3">
      <c r="A2122" t="s">
        <v>253</v>
      </c>
      <c r="B2122" t="s">
        <v>57</v>
      </c>
      <c r="C2122">
        <v>1</v>
      </c>
      <c r="D2122">
        <v>2</v>
      </c>
      <c r="E2122" t="s">
        <v>30</v>
      </c>
      <c r="J2122">
        <f t="shared" si="156"/>
        <v>63.617251162500004</v>
      </c>
      <c r="K2122">
        <v>5.31</v>
      </c>
      <c r="M2122">
        <f t="shared" si="158"/>
        <v>0</v>
      </c>
      <c r="N2122">
        <f t="shared" si="157"/>
        <v>-5.31</v>
      </c>
    </row>
    <row r="2123" spans="1:14" x14ac:dyDescent="0.3">
      <c r="A2123" t="s">
        <v>253</v>
      </c>
      <c r="B2123" t="s">
        <v>57</v>
      </c>
      <c r="C2123">
        <v>1</v>
      </c>
      <c r="D2123">
        <v>2</v>
      </c>
      <c r="E2123" t="s">
        <v>31</v>
      </c>
      <c r="J2123">
        <f t="shared" si="156"/>
        <v>63.617251162500004</v>
      </c>
      <c r="K2123">
        <v>5.31</v>
      </c>
      <c r="M2123">
        <f t="shared" si="158"/>
        <v>0</v>
      </c>
      <c r="N2123">
        <f t="shared" si="157"/>
        <v>-5.31</v>
      </c>
    </row>
    <row r="2124" spans="1:14" x14ac:dyDescent="0.3">
      <c r="A2124" t="s">
        <v>253</v>
      </c>
      <c r="B2124" t="s">
        <v>57</v>
      </c>
      <c r="C2124">
        <v>1</v>
      </c>
      <c r="D2124">
        <v>6</v>
      </c>
      <c r="E2124" t="s">
        <v>64</v>
      </c>
      <c r="J2124">
        <f t="shared" si="156"/>
        <v>63.617251162500004</v>
      </c>
      <c r="K2124">
        <v>5.31</v>
      </c>
      <c r="M2124">
        <f t="shared" si="158"/>
        <v>0</v>
      </c>
      <c r="N2124">
        <f t="shared" si="157"/>
        <v>-5.31</v>
      </c>
    </row>
    <row r="2125" spans="1:14" x14ac:dyDescent="0.3">
      <c r="A2125" t="s">
        <v>253</v>
      </c>
      <c r="B2125" t="s">
        <v>57</v>
      </c>
      <c r="C2125">
        <v>1</v>
      </c>
      <c r="D2125">
        <v>6</v>
      </c>
      <c r="E2125" t="s">
        <v>30</v>
      </c>
      <c r="J2125">
        <f t="shared" si="156"/>
        <v>63.617251162500004</v>
      </c>
      <c r="K2125">
        <v>5.31</v>
      </c>
      <c r="M2125">
        <f t="shared" si="158"/>
        <v>0</v>
      </c>
      <c r="N2125">
        <f t="shared" si="157"/>
        <v>-5.31</v>
      </c>
    </row>
    <row r="2126" spans="1:14" x14ac:dyDescent="0.3">
      <c r="A2126" t="s">
        <v>253</v>
      </c>
      <c r="B2126" t="s">
        <v>57</v>
      </c>
      <c r="C2126">
        <v>1</v>
      </c>
      <c r="D2126">
        <v>6</v>
      </c>
      <c r="E2126" t="s">
        <v>31</v>
      </c>
      <c r="J2126">
        <f t="shared" si="156"/>
        <v>63.617251162500004</v>
      </c>
      <c r="K2126">
        <v>5.31</v>
      </c>
      <c r="M2126">
        <f t="shared" si="158"/>
        <v>0</v>
      </c>
      <c r="N2126">
        <f t="shared" si="157"/>
        <v>-5.31</v>
      </c>
    </row>
    <row r="2127" spans="1:14" x14ac:dyDescent="0.3">
      <c r="A2127" t="s">
        <v>253</v>
      </c>
      <c r="B2127" t="s">
        <v>57</v>
      </c>
      <c r="C2127">
        <v>1</v>
      </c>
      <c r="D2127">
        <v>12</v>
      </c>
      <c r="E2127" t="s">
        <v>64</v>
      </c>
      <c r="J2127">
        <f t="shared" si="156"/>
        <v>63.617251162500004</v>
      </c>
      <c r="K2127">
        <v>5.31</v>
      </c>
      <c r="M2127">
        <f t="shared" si="158"/>
        <v>0</v>
      </c>
      <c r="N2127">
        <f t="shared" si="157"/>
        <v>-5.31</v>
      </c>
    </row>
    <row r="2128" spans="1:14" x14ac:dyDescent="0.3">
      <c r="A2128" t="s">
        <v>253</v>
      </c>
      <c r="B2128" t="s">
        <v>57</v>
      </c>
      <c r="C2128">
        <v>1</v>
      </c>
      <c r="D2128">
        <v>12</v>
      </c>
      <c r="E2128" t="s">
        <v>30</v>
      </c>
      <c r="J2128">
        <f t="shared" si="156"/>
        <v>63.617251162500004</v>
      </c>
      <c r="K2128">
        <v>5.31</v>
      </c>
      <c r="M2128">
        <f t="shared" si="158"/>
        <v>0</v>
      </c>
      <c r="N2128">
        <f t="shared" si="157"/>
        <v>-5.31</v>
      </c>
    </row>
    <row r="2129" spans="1:14" x14ac:dyDescent="0.3">
      <c r="A2129" t="s">
        <v>253</v>
      </c>
      <c r="B2129" t="s">
        <v>57</v>
      </c>
      <c r="C2129">
        <v>1</v>
      </c>
      <c r="D2129">
        <v>12</v>
      </c>
      <c r="E2129" t="s">
        <v>31</v>
      </c>
      <c r="J2129">
        <f t="shared" si="156"/>
        <v>63.617251162500004</v>
      </c>
      <c r="K2129">
        <v>5.31</v>
      </c>
      <c r="M2129">
        <f t="shared" si="158"/>
        <v>0</v>
      </c>
      <c r="N2129">
        <f t="shared" si="157"/>
        <v>-5.31</v>
      </c>
    </row>
    <row r="2130" spans="1:14" x14ac:dyDescent="0.3">
      <c r="A2130" t="s">
        <v>253</v>
      </c>
      <c r="B2130" t="s">
        <v>57</v>
      </c>
      <c r="C2130">
        <v>1</v>
      </c>
      <c r="D2130">
        <v>18</v>
      </c>
      <c r="E2130" t="s">
        <v>64</v>
      </c>
      <c r="J2130">
        <f t="shared" si="156"/>
        <v>63.617251162500004</v>
      </c>
      <c r="K2130">
        <v>5.31</v>
      </c>
      <c r="M2130">
        <f t="shared" si="158"/>
        <v>0</v>
      </c>
      <c r="N2130">
        <f t="shared" si="157"/>
        <v>-5.31</v>
      </c>
    </row>
    <row r="2131" spans="1:14" x14ac:dyDescent="0.3">
      <c r="A2131" t="s">
        <v>253</v>
      </c>
      <c r="B2131" t="s">
        <v>57</v>
      </c>
      <c r="C2131">
        <v>1</v>
      </c>
      <c r="D2131">
        <v>18</v>
      </c>
      <c r="E2131" t="s">
        <v>30</v>
      </c>
      <c r="J2131">
        <f t="shared" si="156"/>
        <v>63.617251162500004</v>
      </c>
      <c r="K2131">
        <v>5.31</v>
      </c>
      <c r="M2131">
        <f t="shared" si="158"/>
        <v>0</v>
      </c>
      <c r="N2131">
        <f t="shared" si="157"/>
        <v>-5.31</v>
      </c>
    </row>
    <row r="2132" spans="1:14" x14ac:dyDescent="0.3">
      <c r="A2132" t="s">
        <v>253</v>
      </c>
      <c r="B2132" t="s">
        <v>57</v>
      </c>
      <c r="C2132">
        <v>1</v>
      </c>
      <c r="D2132">
        <v>18</v>
      </c>
      <c r="E2132" t="s">
        <v>31</v>
      </c>
      <c r="J2132">
        <f t="shared" si="156"/>
        <v>63.617251162500004</v>
      </c>
      <c r="K2132">
        <v>5.31</v>
      </c>
      <c r="M2132">
        <f t="shared" si="158"/>
        <v>0</v>
      </c>
      <c r="N2132">
        <f t="shared" si="157"/>
        <v>-5.31</v>
      </c>
    </row>
    <row r="2133" spans="1:14" x14ac:dyDescent="0.3">
      <c r="A2133" t="s">
        <v>253</v>
      </c>
      <c r="B2133" t="s">
        <v>57</v>
      </c>
      <c r="C2133">
        <v>1</v>
      </c>
      <c r="D2133">
        <v>24</v>
      </c>
      <c r="E2133" t="s">
        <v>28</v>
      </c>
      <c r="J2133">
        <f t="shared" si="156"/>
        <v>63.617251162500004</v>
      </c>
      <c r="K2133">
        <v>5.31</v>
      </c>
      <c r="M2133">
        <f t="shared" si="158"/>
        <v>0</v>
      </c>
      <c r="N2133">
        <f t="shared" si="157"/>
        <v>-5.31</v>
      </c>
    </row>
    <row r="2134" spans="1:14" x14ac:dyDescent="0.3">
      <c r="A2134" t="s">
        <v>253</v>
      </c>
      <c r="B2134" t="s">
        <v>57</v>
      </c>
      <c r="C2134">
        <v>1</v>
      </c>
      <c r="D2134">
        <v>24</v>
      </c>
      <c r="E2134" t="s">
        <v>30</v>
      </c>
      <c r="J2134">
        <f t="shared" si="156"/>
        <v>63.617251162500004</v>
      </c>
      <c r="K2134">
        <v>5.31</v>
      </c>
      <c r="M2134">
        <f t="shared" si="158"/>
        <v>0</v>
      </c>
      <c r="N2134">
        <f t="shared" si="157"/>
        <v>-5.31</v>
      </c>
    </row>
    <row r="2135" spans="1:14" x14ac:dyDescent="0.3">
      <c r="A2135" t="s">
        <v>253</v>
      </c>
      <c r="B2135" t="s">
        <v>57</v>
      </c>
      <c r="C2135">
        <v>1</v>
      </c>
      <c r="D2135">
        <v>24</v>
      </c>
      <c r="E2135" t="s">
        <v>31</v>
      </c>
      <c r="J2135">
        <f t="shared" si="156"/>
        <v>63.617251162500004</v>
      </c>
      <c r="K2135">
        <v>5.31</v>
      </c>
      <c r="M2135">
        <f t="shared" si="158"/>
        <v>0</v>
      </c>
      <c r="N2135">
        <f t="shared" si="157"/>
        <v>-5.31</v>
      </c>
    </row>
    <row r="2136" spans="1:14" x14ac:dyDescent="0.3">
      <c r="A2136" t="s">
        <v>253</v>
      </c>
      <c r="B2136" t="s">
        <v>57</v>
      </c>
      <c r="C2136">
        <v>1</v>
      </c>
      <c r="D2136">
        <v>48</v>
      </c>
      <c r="E2136" t="s">
        <v>64</v>
      </c>
      <c r="J2136">
        <f t="shared" si="156"/>
        <v>63.617251162500004</v>
      </c>
      <c r="K2136">
        <v>5.31</v>
      </c>
      <c r="M2136">
        <f t="shared" si="158"/>
        <v>0</v>
      </c>
      <c r="N2136">
        <f t="shared" si="157"/>
        <v>-5.31</v>
      </c>
    </row>
    <row r="2137" spans="1:14" x14ac:dyDescent="0.3">
      <c r="A2137" t="s">
        <v>253</v>
      </c>
      <c r="B2137" t="s">
        <v>57</v>
      </c>
      <c r="C2137">
        <v>1</v>
      </c>
      <c r="D2137">
        <v>48</v>
      </c>
      <c r="E2137" t="s">
        <v>30</v>
      </c>
      <c r="J2137">
        <f t="shared" si="156"/>
        <v>63.617251162500004</v>
      </c>
      <c r="K2137">
        <v>5.31</v>
      </c>
      <c r="M2137">
        <f t="shared" si="158"/>
        <v>0</v>
      </c>
      <c r="N2137">
        <f t="shared" si="157"/>
        <v>-5.31</v>
      </c>
    </row>
    <row r="2138" spans="1:14" x14ac:dyDescent="0.3">
      <c r="A2138" t="s">
        <v>253</v>
      </c>
      <c r="B2138" t="s">
        <v>57</v>
      </c>
      <c r="C2138">
        <v>1</v>
      </c>
      <c r="D2138">
        <v>48</v>
      </c>
      <c r="E2138" t="s">
        <v>31</v>
      </c>
      <c r="J2138">
        <f t="shared" si="156"/>
        <v>63.617251162500004</v>
      </c>
      <c r="K2138">
        <v>5.31</v>
      </c>
      <c r="M2138">
        <f t="shared" si="158"/>
        <v>0</v>
      </c>
      <c r="N2138">
        <f t="shared" si="157"/>
        <v>-5.31</v>
      </c>
    </row>
    <row r="2139" spans="1:14" x14ac:dyDescent="0.3">
      <c r="A2139" t="s">
        <v>253</v>
      </c>
      <c r="B2139" t="s">
        <v>57</v>
      </c>
      <c r="C2139">
        <v>2</v>
      </c>
      <c r="D2139">
        <v>0.5</v>
      </c>
      <c r="E2139" t="s">
        <v>64</v>
      </c>
      <c r="J2139">
        <f t="shared" si="156"/>
        <v>63.617251162500004</v>
      </c>
      <c r="K2139">
        <v>5.31</v>
      </c>
      <c r="M2139">
        <f t="shared" si="158"/>
        <v>0</v>
      </c>
      <c r="N2139">
        <f t="shared" si="157"/>
        <v>-5.31</v>
      </c>
    </row>
    <row r="2140" spans="1:14" x14ac:dyDescent="0.3">
      <c r="A2140" t="s">
        <v>253</v>
      </c>
      <c r="B2140" t="s">
        <v>57</v>
      </c>
      <c r="C2140">
        <v>2</v>
      </c>
      <c r="D2140">
        <v>0.5</v>
      </c>
      <c r="E2140" t="s">
        <v>30</v>
      </c>
      <c r="J2140">
        <f t="shared" si="156"/>
        <v>63.617251162500004</v>
      </c>
      <c r="K2140">
        <v>5.31</v>
      </c>
      <c r="M2140">
        <f t="shared" si="158"/>
        <v>0</v>
      </c>
      <c r="N2140">
        <f t="shared" si="157"/>
        <v>-5.31</v>
      </c>
    </row>
    <row r="2141" spans="1:14" x14ac:dyDescent="0.3">
      <c r="A2141" t="s">
        <v>253</v>
      </c>
      <c r="B2141" t="s">
        <v>57</v>
      </c>
      <c r="C2141">
        <v>2</v>
      </c>
      <c r="D2141">
        <v>0.5</v>
      </c>
      <c r="E2141" t="s">
        <v>31</v>
      </c>
      <c r="J2141">
        <f t="shared" si="156"/>
        <v>63.617251162500004</v>
      </c>
      <c r="K2141">
        <v>5.31</v>
      </c>
      <c r="M2141">
        <f t="shared" si="158"/>
        <v>0</v>
      </c>
      <c r="N2141">
        <f t="shared" si="157"/>
        <v>-5.31</v>
      </c>
    </row>
    <row r="2142" spans="1:14" x14ac:dyDescent="0.3">
      <c r="A2142" t="s">
        <v>253</v>
      </c>
      <c r="B2142" t="s">
        <v>57</v>
      </c>
      <c r="C2142">
        <v>2</v>
      </c>
      <c r="D2142">
        <v>2</v>
      </c>
      <c r="E2142" t="s">
        <v>64</v>
      </c>
      <c r="J2142">
        <f t="shared" si="156"/>
        <v>63.617251162500004</v>
      </c>
      <c r="K2142">
        <v>5.31</v>
      </c>
      <c r="M2142">
        <f t="shared" si="158"/>
        <v>0</v>
      </c>
      <c r="N2142">
        <f t="shared" si="157"/>
        <v>-5.31</v>
      </c>
    </row>
    <row r="2143" spans="1:14" x14ac:dyDescent="0.3">
      <c r="A2143" t="s">
        <v>253</v>
      </c>
      <c r="B2143" t="s">
        <v>57</v>
      </c>
      <c r="C2143">
        <v>2</v>
      </c>
      <c r="D2143">
        <v>2</v>
      </c>
      <c r="E2143" t="s">
        <v>30</v>
      </c>
      <c r="J2143">
        <f t="shared" si="156"/>
        <v>63.617251162500004</v>
      </c>
      <c r="K2143">
        <v>5.31</v>
      </c>
      <c r="M2143">
        <f t="shared" si="158"/>
        <v>0</v>
      </c>
      <c r="N2143">
        <f t="shared" si="157"/>
        <v>-5.31</v>
      </c>
    </row>
    <row r="2144" spans="1:14" x14ac:dyDescent="0.3">
      <c r="A2144" t="s">
        <v>253</v>
      </c>
      <c r="B2144" t="s">
        <v>57</v>
      </c>
      <c r="C2144">
        <v>2</v>
      </c>
      <c r="D2144">
        <v>2</v>
      </c>
      <c r="E2144" t="s">
        <v>31</v>
      </c>
      <c r="J2144">
        <f t="shared" si="156"/>
        <v>63.617251162500004</v>
      </c>
      <c r="K2144">
        <v>5.31</v>
      </c>
      <c r="M2144">
        <f t="shared" si="158"/>
        <v>0</v>
      </c>
      <c r="N2144">
        <f t="shared" si="157"/>
        <v>-5.31</v>
      </c>
    </row>
    <row r="2145" spans="1:14" x14ac:dyDescent="0.3">
      <c r="A2145" t="s">
        <v>253</v>
      </c>
      <c r="B2145" t="s">
        <v>57</v>
      </c>
      <c r="C2145">
        <v>2</v>
      </c>
      <c r="D2145">
        <v>6</v>
      </c>
      <c r="E2145" t="s">
        <v>64</v>
      </c>
      <c r="J2145">
        <f t="shared" si="156"/>
        <v>63.617251162500004</v>
      </c>
      <c r="K2145">
        <v>5.31</v>
      </c>
      <c r="M2145">
        <f t="shared" si="158"/>
        <v>0</v>
      </c>
      <c r="N2145">
        <f t="shared" si="157"/>
        <v>-5.31</v>
      </c>
    </row>
    <row r="2146" spans="1:14" x14ac:dyDescent="0.3">
      <c r="A2146" t="s">
        <v>253</v>
      </c>
      <c r="B2146" t="s">
        <v>57</v>
      </c>
      <c r="C2146">
        <v>2</v>
      </c>
      <c r="D2146">
        <v>6</v>
      </c>
      <c r="E2146" t="s">
        <v>30</v>
      </c>
      <c r="J2146">
        <f t="shared" si="156"/>
        <v>63.617251162500004</v>
      </c>
      <c r="K2146">
        <v>5.31</v>
      </c>
      <c r="M2146">
        <f t="shared" si="158"/>
        <v>0</v>
      </c>
      <c r="N2146">
        <f t="shared" si="157"/>
        <v>-5.31</v>
      </c>
    </row>
    <row r="2147" spans="1:14" x14ac:dyDescent="0.3">
      <c r="A2147" t="s">
        <v>253</v>
      </c>
      <c r="B2147" t="s">
        <v>57</v>
      </c>
      <c r="C2147">
        <v>2</v>
      </c>
      <c r="D2147">
        <v>6</v>
      </c>
      <c r="E2147" t="s">
        <v>31</v>
      </c>
      <c r="J2147">
        <f t="shared" si="156"/>
        <v>63.617251162500004</v>
      </c>
      <c r="K2147">
        <v>5.31</v>
      </c>
      <c r="M2147">
        <f t="shared" si="158"/>
        <v>0</v>
      </c>
      <c r="N2147">
        <f t="shared" si="157"/>
        <v>-5.31</v>
      </c>
    </row>
    <row r="2148" spans="1:14" x14ac:dyDescent="0.3">
      <c r="A2148" t="s">
        <v>253</v>
      </c>
      <c r="B2148" t="s">
        <v>57</v>
      </c>
      <c r="C2148">
        <v>2</v>
      </c>
      <c r="D2148">
        <v>12</v>
      </c>
      <c r="E2148" t="s">
        <v>64</v>
      </c>
      <c r="J2148">
        <f t="shared" si="156"/>
        <v>63.617251162500004</v>
      </c>
      <c r="K2148">
        <v>5.31</v>
      </c>
      <c r="M2148">
        <f t="shared" si="158"/>
        <v>0</v>
      </c>
      <c r="N2148">
        <f t="shared" si="157"/>
        <v>-5.31</v>
      </c>
    </row>
    <row r="2149" spans="1:14" x14ac:dyDescent="0.3">
      <c r="A2149" t="s">
        <v>253</v>
      </c>
      <c r="B2149" t="s">
        <v>57</v>
      </c>
      <c r="C2149">
        <v>2</v>
      </c>
      <c r="D2149">
        <v>12</v>
      </c>
      <c r="E2149" t="s">
        <v>30</v>
      </c>
      <c r="J2149">
        <f t="shared" si="156"/>
        <v>63.617251162500004</v>
      </c>
      <c r="K2149">
        <v>5.31</v>
      </c>
      <c r="M2149">
        <f t="shared" si="158"/>
        <v>0</v>
      </c>
      <c r="N2149">
        <f t="shared" si="157"/>
        <v>-5.31</v>
      </c>
    </row>
    <row r="2150" spans="1:14" x14ac:dyDescent="0.3">
      <c r="A2150" t="s">
        <v>253</v>
      </c>
      <c r="B2150" t="s">
        <v>57</v>
      </c>
      <c r="C2150">
        <v>2</v>
      </c>
      <c r="D2150">
        <v>12</v>
      </c>
      <c r="E2150" t="s">
        <v>31</v>
      </c>
      <c r="J2150">
        <f t="shared" si="156"/>
        <v>63.617251162500004</v>
      </c>
      <c r="K2150">
        <v>5.31</v>
      </c>
      <c r="M2150">
        <f t="shared" si="158"/>
        <v>0</v>
      </c>
      <c r="N2150">
        <f t="shared" si="157"/>
        <v>-5.31</v>
      </c>
    </row>
    <row r="2151" spans="1:14" x14ac:dyDescent="0.3">
      <c r="A2151" t="s">
        <v>253</v>
      </c>
      <c r="B2151" t="s">
        <v>57</v>
      </c>
      <c r="C2151">
        <v>2</v>
      </c>
      <c r="D2151">
        <v>18</v>
      </c>
      <c r="E2151" t="s">
        <v>64</v>
      </c>
      <c r="J2151">
        <f t="shared" si="156"/>
        <v>63.617251162500004</v>
      </c>
      <c r="K2151">
        <v>5.31</v>
      </c>
      <c r="M2151">
        <f t="shared" si="158"/>
        <v>0</v>
      </c>
      <c r="N2151">
        <f t="shared" si="157"/>
        <v>-5.31</v>
      </c>
    </row>
    <row r="2152" spans="1:14" x14ac:dyDescent="0.3">
      <c r="A2152" t="s">
        <v>253</v>
      </c>
      <c r="B2152" t="s">
        <v>57</v>
      </c>
      <c r="C2152">
        <v>2</v>
      </c>
      <c r="D2152">
        <v>18</v>
      </c>
      <c r="E2152" t="s">
        <v>30</v>
      </c>
      <c r="J2152">
        <f t="shared" si="156"/>
        <v>63.617251162500004</v>
      </c>
      <c r="K2152">
        <v>5.31</v>
      </c>
      <c r="M2152">
        <f t="shared" si="158"/>
        <v>0</v>
      </c>
      <c r="N2152">
        <f t="shared" si="157"/>
        <v>-5.31</v>
      </c>
    </row>
    <row r="2153" spans="1:14" x14ac:dyDescent="0.3">
      <c r="A2153" t="s">
        <v>253</v>
      </c>
      <c r="B2153" t="s">
        <v>57</v>
      </c>
      <c r="C2153">
        <v>2</v>
      </c>
      <c r="D2153">
        <v>18</v>
      </c>
      <c r="E2153" t="s">
        <v>31</v>
      </c>
      <c r="J2153">
        <f t="shared" si="156"/>
        <v>63.617251162500004</v>
      </c>
      <c r="K2153">
        <v>5.31</v>
      </c>
      <c r="M2153">
        <f t="shared" si="158"/>
        <v>0</v>
      </c>
      <c r="N2153">
        <f t="shared" si="157"/>
        <v>-5.31</v>
      </c>
    </row>
    <row r="2154" spans="1:14" x14ac:dyDescent="0.3">
      <c r="A2154" t="s">
        <v>253</v>
      </c>
      <c r="B2154" t="s">
        <v>57</v>
      </c>
      <c r="C2154">
        <v>2</v>
      </c>
      <c r="D2154">
        <v>24</v>
      </c>
      <c r="E2154" t="s">
        <v>28</v>
      </c>
      <c r="J2154">
        <f t="shared" si="156"/>
        <v>63.617251162500004</v>
      </c>
      <c r="K2154">
        <v>5.31</v>
      </c>
      <c r="M2154">
        <f t="shared" si="158"/>
        <v>0</v>
      </c>
      <c r="N2154">
        <f t="shared" si="157"/>
        <v>-5.31</v>
      </c>
    </row>
    <row r="2155" spans="1:14" x14ac:dyDescent="0.3">
      <c r="A2155" t="s">
        <v>253</v>
      </c>
      <c r="B2155" t="s">
        <v>57</v>
      </c>
      <c r="C2155">
        <v>2</v>
      </c>
      <c r="D2155">
        <v>24</v>
      </c>
      <c r="E2155" t="s">
        <v>30</v>
      </c>
      <c r="J2155">
        <f t="shared" si="156"/>
        <v>63.617251162500004</v>
      </c>
      <c r="K2155">
        <v>5.31</v>
      </c>
      <c r="M2155">
        <f t="shared" si="158"/>
        <v>0</v>
      </c>
      <c r="N2155">
        <f t="shared" si="157"/>
        <v>-5.31</v>
      </c>
    </row>
    <row r="2156" spans="1:14" x14ac:dyDescent="0.3">
      <c r="A2156" t="s">
        <v>253</v>
      </c>
      <c r="B2156" t="s">
        <v>57</v>
      </c>
      <c r="C2156">
        <v>2</v>
      </c>
      <c r="D2156">
        <v>24</v>
      </c>
      <c r="E2156" t="s">
        <v>31</v>
      </c>
      <c r="J2156">
        <f t="shared" ref="J2156:J2163" si="159">4.5*4.5*3.14159265</f>
        <v>63.617251162500004</v>
      </c>
      <c r="K2156">
        <v>5.31</v>
      </c>
      <c r="M2156">
        <f t="shared" si="158"/>
        <v>0</v>
      </c>
      <c r="N2156">
        <f t="shared" si="157"/>
        <v>-5.31</v>
      </c>
    </row>
    <row r="2157" spans="1:14" x14ac:dyDescent="0.3">
      <c r="A2157" t="s">
        <v>253</v>
      </c>
      <c r="B2157" t="s">
        <v>57</v>
      </c>
      <c r="C2157">
        <v>2</v>
      </c>
      <c r="D2157">
        <v>48</v>
      </c>
      <c r="E2157" t="s">
        <v>64</v>
      </c>
      <c r="J2157">
        <f t="shared" si="159"/>
        <v>63.617251162500004</v>
      </c>
      <c r="K2157">
        <v>5.31</v>
      </c>
      <c r="M2157">
        <f t="shared" si="158"/>
        <v>0</v>
      </c>
      <c r="N2157">
        <f t="shared" si="157"/>
        <v>-5.31</v>
      </c>
    </row>
    <row r="2158" spans="1:14" x14ac:dyDescent="0.3">
      <c r="A2158" t="s">
        <v>253</v>
      </c>
      <c r="B2158" t="s">
        <v>57</v>
      </c>
      <c r="C2158">
        <v>2</v>
      </c>
      <c r="D2158">
        <v>48</v>
      </c>
      <c r="E2158" t="s">
        <v>30</v>
      </c>
      <c r="J2158">
        <f t="shared" si="159"/>
        <v>63.617251162500004</v>
      </c>
      <c r="K2158">
        <v>5.31</v>
      </c>
      <c r="M2158">
        <f t="shared" si="158"/>
        <v>0</v>
      </c>
      <c r="N2158">
        <f t="shared" si="157"/>
        <v>-5.31</v>
      </c>
    </row>
    <row r="2159" spans="1:14" x14ac:dyDescent="0.3">
      <c r="A2159" t="s">
        <v>253</v>
      </c>
      <c r="B2159" t="s">
        <v>57</v>
      </c>
      <c r="C2159">
        <v>2</v>
      </c>
      <c r="D2159">
        <v>48</v>
      </c>
      <c r="E2159" t="s">
        <v>31</v>
      </c>
      <c r="J2159">
        <f t="shared" si="159"/>
        <v>63.617251162500004</v>
      </c>
      <c r="K2159">
        <v>5.31</v>
      </c>
      <c r="M2159">
        <f t="shared" si="158"/>
        <v>0</v>
      </c>
      <c r="N2159">
        <f t="shared" si="157"/>
        <v>-5.31</v>
      </c>
    </row>
    <row r="2160" spans="1:14" x14ac:dyDescent="0.3">
      <c r="A2160" t="s">
        <v>253</v>
      </c>
      <c r="B2160" t="s">
        <v>57</v>
      </c>
      <c r="E2160" t="s">
        <v>67</v>
      </c>
      <c r="J2160">
        <f t="shared" si="159"/>
        <v>63.617251162500004</v>
      </c>
      <c r="K2160">
        <v>5.31</v>
      </c>
      <c r="M2160">
        <f t="shared" si="158"/>
        <v>0</v>
      </c>
      <c r="N2160">
        <f t="shared" si="157"/>
        <v>-5.31</v>
      </c>
    </row>
    <row r="2161" spans="1:14" x14ac:dyDescent="0.3">
      <c r="A2161" t="s">
        <v>253</v>
      </c>
      <c r="B2161" t="s">
        <v>57</v>
      </c>
      <c r="E2161" t="s">
        <v>68</v>
      </c>
      <c r="J2161">
        <f t="shared" si="159"/>
        <v>63.617251162500004</v>
      </c>
      <c r="K2161">
        <v>5.31</v>
      </c>
      <c r="M2161">
        <f t="shared" si="158"/>
        <v>0</v>
      </c>
      <c r="N2161">
        <f t="shared" si="157"/>
        <v>-5.31</v>
      </c>
    </row>
    <row r="2162" spans="1:14" x14ac:dyDescent="0.3">
      <c r="A2162" t="s">
        <v>253</v>
      </c>
      <c r="B2162" t="s">
        <v>57</v>
      </c>
      <c r="E2162" t="s">
        <v>69</v>
      </c>
      <c r="J2162">
        <f t="shared" si="159"/>
        <v>63.617251162500004</v>
      </c>
      <c r="K2162">
        <v>5.31</v>
      </c>
      <c r="M2162">
        <f t="shared" si="158"/>
        <v>0</v>
      </c>
      <c r="N2162">
        <f t="shared" si="157"/>
        <v>-5.31</v>
      </c>
    </row>
    <row r="2163" spans="1:14" x14ac:dyDescent="0.3">
      <c r="A2163" t="s">
        <v>253</v>
      </c>
      <c r="B2163" t="s">
        <v>57</v>
      </c>
      <c r="E2163" t="s">
        <v>70</v>
      </c>
      <c r="J2163">
        <f t="shared" si="159"/>
        <v>63.617251162500004</v>
      </c>
      <c r="K2163">
        <v>5.31</v>
      </c>
      <c r="M2163">
        <f t="shared" si="158"/>
        <v>0</v>
      </c>
      <c r="N2163">
        <f t="shared" si="157"/>
        <v>-5.31</v>
      </c>
    </row>
  </sheetData>
  <mergeCells count="7">
    <mergeCell ref="X2:AB2"/>
    <mergeCell ref="A2:E2"/>
    <mergeCell ref="F2:G2"/>
    <mergeCell ref="H2:J2"/>
    <mergeCell ref="M2:N2"/>
    <mergeCell ref="O2:R2"/>
    <mergeCell ref="S2:W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FB6F-C7DA-4567-A020-78E8C8DAAD37}">
  <dimension ref="A1:F203"/>
  <sheetViews>
    <sheetView workbookViewId="0">
      <selection activeCell="D71" sqref="D71"/>
    </sheetView>
  </sheetViews>
  <sheetFormatPr defaultRowHeight="14.4" x14ac:dyDescent="0.3"/>
  <sheetData>
    <row r="1" spans="1:1" x14ac:dyDescent="0.3">
      <c r="A1" t="s">
        <v>95</v>
      </c>
    </row>
    <row r="3" spans="1:1" x14ac:dyDescent="0.3">
      <c r="A3" t="s">
        <v>96</v>
      </c>
    </row>
    <row r="5" spans="1:1" x14ac:dyDescent="0.3">
      <c r="A5" t="s">
        <v>97</v>
      </c>
    </row>
    <row r="6" spans="1:1" x14ac:dyDescent="0.3">
      <c r="A6" t="s">
        <v>98</v>
      </c>
    </row>
    <row r="8" spans="1:1" x14ac:dyDescent="0.3">
      <c r="A8" t="s">
        <v>99</v>
      </c>
    </row>
    <row r="10" spans="1:1" x14ac:dyDescent="0.3">
      <c r="A10" t="s">
        <v>100</v>
      </c>
    </row>
    <row r="12" spans="1:1" x14ac:dyDescent="0.3">
      <c r="A12" t="s">
        <v>101</v>
      </c>
    </row>
    <row r="14" spans="1:1" x14ac:dyDescent="0.3">
      <c r="A14" t="s">
        <v>102</v>
      </c>
    </row>
    <row r="16" spans="1:1" x14ac:dyDescent="0.3">
      <c r="A16" t="s">
        <v>103</v>
      </c>
    </row>
    <row r="18" spans="1:1" x14ac:dyDescent="0.3">
      <c r="A18" t="s">
        <v>104</v>
      </c>
    </row>
    <row r="20" spans="1:1" x14ac:dyDescent="0.3">
      <c r="A20" t="s">
        <v>105</v>
      </c>
    </row>
    <row r="22" spans="1:1" x14ac:dyDescent="0.3">
      <c r="A22" t="s">
        <v>106</v>
      </c>
    </row>
    <row r="24" spans="1:1" x14ac:dyDescent="0.3">
      <c r="A24" t="s">
        <v>107</v>
      </c>
    </row>
    <row r="26" spans="1:1" x14ac:dyDescent="0.3">
      <c r="A26" t="s">
        <v>108</v>
      </c>
    </row>
    <row r="28" spans="1:1" x14ac:dyDescent="0.3">
      <c r="A28" t="s">
        <v>109</v>
      </c>
    </row>
    <row r="30" spans="1:1" x14ac:dyDescent="0.3">
      <c r="A30" t="s">
        <v>110</v>
      </c>
    </row>
    <row r="32" spans="1:1" x14ac:dyDescent="0.3">
      <c r="A32" t="s">
        <v>64</v>
      </c>
    </row>
    <row r="34" spans="1:1" x14ac:dyDescent="0.3">
      <c r="A34" t="s">
        <v>111</v>
      </c>
    </row>
    <row r="36" spans="1:1" x14ac:dyDescent="0.3">
      <c r="A36" t="s">
        <v>112</v>
      </c>
    </row>
    <row r="38" spans="1:1" x14ac:dyDescent="0.3">
      <c r="A38" t="s">
        <v>113</v>
      </c>
    </row>
    <row r="40" spans="1:1" x14ac:dyDescent="0.3">
      <c r="A40" t="s">
        <v>114</v>
      </c>
    </row>
    <row r="42" spans="1:1" x14ac:dyDescent="0.3">
      <c r="A42" t="s">
        <v>115</v>
      </c>
    </row>
    <row r="44" spans="1:1" x14ac:dyDescent="0.3">
      <c r="A44" t="s">
        <v>116</v>
      </c>
    </row>
    <row r="46" spans="1:1" x14ac:dyDescent="0.3">
      <c r="A46" t="s">
        <v>54</v>
      </c>
    </row>
    <row r="48" spans="1:1" x14ac:dyDescent="0.3">
      <c r="A48" t="s">
        <v>117</v>
      </c>
    </row>
    <row r="50" spans="1:1" x14ac:dyDescent="0.3">
      <c r="A50" t="s">
        <v>118</v>
      </c>
    </row>
    <row r="52" spans="1:1" x14ac:dyDescent="0.3">
      <c r="A52" t="s">
        <v>119</v>
      </c>
    </row>
    <row r="54" spans="1:1" x14ac:dyDescent="0.3">
      <c r="A54" t="s">
        <v>120</v>
      </c>
    </row>
    <row r="56" spans="1:1" x14ac:dyDescent="0.3">
      <c r="A56" t="s">
        <v>121</v>
      </c>
    </row>
    <row r="58" spans="1:1" x14ac:dyDescent="0.3">
      <c r="A58" t="s">
        <v>122</v>
      </c>
    </row>
    <row r="60" spans="1:1" x14ac:dyDescent="0.3">
      <c r="A60" t="s">
        <v>0</v>
      </c>
    </row>
    <row r="62" spans="1:1" x14ac:dyDescent="0.3">
      <c r="A62" t="s">
        <v>123</v>
      </c>
    </row>
    <row r="64" spans="1:1" x14ac:dyDescent="0.3">
      <c r="A64" t="s">
        <v>124</v>
      </c>
    </row>
    <row r="66" spans="1:6" x14ac:dyDescent="0.3">
      <c r="A66" t="s">
        <v>125</v>
      </c>
    </row>
    <row r="67" spans="1:6" x14ac:dyDescent="0.3">
      <c r="A67" t="s">
        <v>126</v>
      </c>
    </row>
    <row r="69" spans="1:6" x14ac:dyDescent="0.3">
      <c r="A69" t="s">
        <v>127</v>
      </c>
      <c r="F69">
        <v>0.44800000000000001</v>
      </c>
    </row>
    <row r="70" spans="1:6" x14ac:dyDescent="0.3">
      <c r="F70">
        <v>45499</v>
      </c>
    </row>
    <row r="71" spans="1:6" x14ac:dyDescent="0.3">
      <c r="A71" t="s">
        <v>128</v>
      </c>
      <c r="F71">
        <v>6.4478</v>
      </c>
    </row>
    <row r="72" spans="1:6" x14ac:dyDescent="0.3">
      <c r="F72">
        <v>0.95416999999999996</v>
      </c>
    </row>
    <row r="73" spans="1:6" x14ac:dyDescent="0.3">
      <c r="A73" t="s">
        <v>129</v>
      </c>
      <c r="F73">
        <v>6.4447200000000002</v>
      </c>
    </row>
    <row r="74" spans="1:6" x14ac:dyDescent="0.3">
      <c r="F74">
        <v>0.46450999999999998</v>
      </c>
    </row>
    <row r="75" spans="1:6" x14ac:dyDescent="0.3">
      <c r="A75" t="s">
        <v>130</v>
      </c>
      <c r="F75">
        <v>0.45062999999999998</v>
      </c>
    </row>
    <row r="76" spans="1:6" x14ac:dyDescent="0.3">
      <c r="F76">
        <v>0.44994000000000001</v>
      </c>
    </row>
    <row r="77" spans="1:6" x14ac:dyDescent="0.3">
      <c r="A77" t="s">
        <v>130</v>
      </c>
      <c r="F77">
        <v>0.44519999999999998</v>
      </c>
    </row>
    <row r="78" spans="1:6" x14ac:dyDescent="0.3">
      <c r="F78">
        <v>0.45269999999999999</v>
      </c>
    </row>
    <row r="79" spans="1:6" x14ac:dyDescent="0.3">
      <c r="A79" t="s">
        <v>131</v>
      </c>
      <c r="F79">
        <v>4.4490000000000002E-2</v>
      </c>
    </row>
    <row r="80" spans="1:6" x14ac:dyDescent="0.3">
      <c r="A80" t="s">
        <v>132</v>
      </c>
      <c r="F80">
        <v>0.45062999999999998</v>
      </c>
    </row>
    <row r="81" spans="1:6" x14ac:dyDescent="0.3">
      <c r="F81">
        <v>6.4560300000000002</v>
      </c>
    </row>
    <row r="82" spans="1:6" x14ac:dyDescent="0.3">
      <c r="A82" t="s">
        <v>133</v>
      </c>
    </row>
    <row r="84" spans="1:6" x14ac:dyDescent="0.3">
      <c r="A84" t="s">
        <v>12</v>
      </c>
    </row>
    <row r="86" spans="1:6" x14ac:dyDescent="0.3">
      <c r="A86" t="s">
        <v>134</v>
      </c>
    </row>
    <row r="88" spans="1:6" x14ac:dyDescent="0.3">
      <c r="A88" t="s">
        <v>134</v>
      </c>
    </row>
    <row r="90" spans="1:6" x14ac:dyDescent="0.3">
      <c r="A90" t="s">
        <v>134</v>
      </c>
    </row>
    <row r="92" spans="1:6" x14ac:dyDescent="0.3">
      <c r="A92" t="s">
        <v>135</v>
      </c>
    </row>
    <row r="94" spans="1:6" x14ac:dyDescent="0.3">
      <c r="A94" t="s">
        <v>136</v>
      </c>
    </row>
    <row r="96" spans="1:6" x14ac:dyDescent="0.3">
      <c r="A96" t="s">
        <v>137</v>
      </c>
    </row>
    <row r="98" spans="1:1" x14ac:dyDescent="0.3">
      <c r="A98" t="s">
        <v>138</v>
      </c>
    </row>
    <row r="100" spans="1:1" x14ac:dyDescent="0.3">
      <c r="A100" t="s">
        <v>139</v>
      </c>
    </row>
    <row r="102" spans="1:1" x14ac:dyDescent="0.3">
      <c r="A102" t="s">
        <v>140</v>
      </c>
    </row>
    <row r="104" spans="1:1" x14ac:dyDescent="0.3">
      <c r="A104">
        <v>1</v>
      </c>
    </row>
    <row r="106" spans="1:1" x14ac:dyDescent="0.3">
      <c r="A106" t="s">
        <v>141</v>
      </c>
    </row>
    <row r="108" spans="1:1" x14ac:dyDescent="0.3">
      <c r="A108">
        <v>0.44800000000000001</v>
      </c>
    </row>
    <row r="110" spans="1:1" x14ac:dyDescent="0.3">
      <c r="A110">
        <v>3</v>
      </c>
    </row>
    <row r="112" spans="1:1" x14ac:dyDescent="0.3">
      <c r="A112">
        <v>1</v>
      </c>
    </row>
    <row r="114" spans="1:1" x14ac:dyDescent="0.3">
      <c r="A114" t="s">
        <v>142</v>
      </c>
    </row>
    <row r="116" spans="1:1" x14ac:dyDescent="0.3">
      <c r="A116">
        <v>45499</v>
      </c>
    </row>
    <row r="117" spans="1:1" x14ac:dyDescent="0.3">
      <c r="A117">
        <v>6.4478</v>
      </c>
    </row>
    <row r="119" spans="1:1" x14ac:dyDescent="0.3">
      <c r="A119" t="s">
        <v>61</v>
      </c>
    </row>
    <row r="121" spans="1:1" x14ac:dyDescent="0.3">
      <c r="A121">
        <v>1</v>
      </c>
    </row>
    <row r="123" spans="1:1" x14ac:dyDescent="0.3">
      <c r="A123" t="s">
        <v>143</v>
      </c>
    </row>
    <row r="125" spans="1:1" x14ac:dyDescent="0.3">
      <c r="A125">
        <v>0.95416999999999996</v>
      </c>
    </row>
    <row r="127" spans="1:1" x14ac:dyDescent="0.3">
      <c r="A127" t="s">
        <v>61</v>
      </c>
    </row>
    <row r="129" spans="1:1" x14ac:dyDescent="0.3">
      <c r="A129">
        <v>1</v>
      </c>
    </row>
    <row r="131" spans="1:1" x14ac:dyDescent="0.3">
      <c r="A131" t="s">
        <v>144</v>
      </c>
    </row>
    <row r="133" spans="1:1" x14ac:dyDescent="0.3">
      <c r="A133" t="s">
        <v>61</v>
      </c>
    </row>
    <row r="135" spans="1:1" x14ac:dyDescent="0.3">
      <c r="A135">
        <v>1</v>
      </c>
    </row>
    <row r="137" spans="1:1" x14ac:dyDescent="0.3">
      <c r="A137">
        <v>6.4447200000000002</v>
      </c>
    </row>
    <row r="138" spans="1:1" x14ac:dyDescent="0.3">
      <c r="A138">
        <v>0.46450999999999998</v>
      </c>
    </row>
    <row r="140" spans="1:1" x14ac:dyDescent="0.3">
      <c r="A140" t="s">
        <v>61</v>
      </c>
    </row>
    <row r="142" spans="1:1" x14ac:dyDescent="0.3">
      <c r="A142">
        <v>1</v>
      </c>
    </row>
    <row r="144" spans="1:1" x14ac:dyDescent="0.3">
      <c r="A144" t="s">
        <v>145</v>
      </c>
    </row>
    <row r="146" spans="1:1" x14ac:dyDescent="0.3">
      <c r="A146">
        <v>0.45062999999999998</v>
      </c>
    </row>
    <row r="148" spans="1:1" x14ac:dyDescent="0.3">
      <c r="A148" t="s">
        <v>61</v>
      </c>
    </row>
    <row r="150" spans="1:1" x14ac:dyDescent="0.3">
      <c r="A150">
        <v>1</v>
      </c>
    </row>
    <row r="152" spans="1:1" x14ac:dyDescent="0.3">
      <c r="A152" s="9">
        <v>0.25</v>
      </c>
    </row>
    <row r="154" spans="1:1" x14ac:dyDescent="0.3">
      <c r="A154">
        <v>1</v>
      </c>
    </row>
    <row r="156" spans="1:1" x14ac:dyDescent="0.3">
      <c r="A156" t="s">
        <v>61</v>
      </c>
    </row>
    <row r="158" spans="1:1" x14ac:dyDescent="0.3">
      <c r="A158">
        <v>1</v>
      </c>
    </row>
    <row r="160" spans="1:1" x14ac:dyDescent="0.3">
      <c r="A160" t="s">
        <v>146</v>
      </c>
    </row>
    <row r="162" spans="1:1" x14ac:dyDescent="0.3">
      <c r="A162">
        <v>0.44994000000000001</v>
      </c>
    </row>
    <row r="164" spans="1:1" x14ac:dyDescent="0.3">
      <c r="A164">
        <v>1</v>
      </c>
    </row>
    <row r="166" spans="1:1" x14ac:dyDescent="0.3">
      <c r="A166" t="s">
        <v>61</v>
      </c>
    </row>
    <row r="168" spans="1:1" x14ac:dyDescent="0.3">
      <c r="A168" t="s">
        <v>147</v>
      </c>
    </row>
    <row r="170" spans="1:1" x14ac:dyDescent="0.3">
      <c r="A170">
        <v>0.44519999999999998</v>
      </c>
    </row>
    <row r="172" spans="1:1" x14ac:dyDescent="0.3">
      <c r="A172">
        <v>111</v>
      </c>
    </row>
    <row r="174" spans="1:1" x14ac:dyDescent="0.3">
      <c r="A174">
        <v>1</v>
      </c>
    </row>
    <row r="176" spans="1:1" x14ac:dyDescent="0.3">
      <c r="A176">
        <v>0.45269999999999999</v>
      </c>
    </row>
    <row r="178" spans="1:1" x14ac:dyDescent="0.3">
      <c r="A178" t="s">
        <v>61</v>
      </c>
    </row>
    <row r="180" spans="1:1" x14ac:dyDescent="0.3">
      <c r="A180">
        <v>1</v>
      </c>
    </row>
    <row r="182" spans="1:1" x14ac:dyDescent="0.3">
      <c r="A182" t="s">
        <v>148</v>
      </c>
    </row>
    <row r="184" spans="1:1" x14ac:dyDescent="0.3">
      <c r="A184">
        <v>1</v>
      </c>
    </row>
    <row r="186" spans="1:1" x14ac:dyDescent="0.3">
      <c r="A186" t="s">
        <v>149</v>
      </c>
    </row>
    <row r="188" spans="1:1" x14ac:dyDescent="0.3">
      <c r="A188">
        <v>4.4490000000000002E-2</v>
      </c>
    </row>
    <row r="190" spans="1:1" x14ac:dyDescent="0.3">
      <c r="A190">
        <v>3</v>
      </c>
    </row>
    <row r="192" spans="1:1" x14ac:dyDescent="0.3">
      <c r="A192">
        <v>1</v>
      </c>
    </row>
    <row r="194" spans="1:1" x14ac:dyDescent="0.3">
      <c r="A194" t="s">
        <v>150</v>
      </c>
    </row>
    <row r="196" spans="1:1" x14ac:dyDescent="0.3">
      <c r="A196">
        <v>0.45062999999999998</v>
      </c>
    </row>
    <row r="197" spans="1:1" x14ac:dyDescent="0.3">
      <c r="A197">
        <v>6.4560300000000002</v>
      </c>
    </row>
    <row r="199" spans="1:1" x14ac:dyDescent="0.3">
      <c r="A199" t="s">
        <v>61</v>
      </c>
    </row>
    <row r="201" spans="1:1" x14ac:dyDescent="0.3">
      <c r="A201">
        <v>1</v>
      </c>
    </row>
    <row r="203" spans="1:1" x14ac:dyDescent="0.3">
      <c r="A203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D3B4-59F3-44E0-8B4F-7BCE984ABBB4}">
  <dimension ref="A3:G31"/>
  <sheetViews>
    <sheetView workbookViewId="0">
      <selection activeCell="G16" sqref="G16"/>
    </sheetView>
  </sheetViews>
  <sheetFormatPr defaultRowHeight="14.4" x14ac:dyDescent="0.3"/>
  <sheetData>
    <row r="3" spans="1:7" x14ac:dyDescent="0.3">
      <c r="A3" t="s">
        <v>219</v>
      </c>
    </row>
    <row r="4" spans="1:7" x14ac:dyDescent="0.3">
      <c r="A4">
        <v>4.4321599999999997</v>
      </c>
      <c r="C4">
        <v>2.3408500000000001</v>
      </c>
    </row>
    <row r="5" spans="1:7" x14ac:dyDescent="0.3">
      <c r="A5">
        <v>4.48353</v>
      </c>
      <c r="C5">
        <v>2.3179500000000002</v>
      </c>
    </row>
    <row r="6" spans="1:7" x14ac:dyDescent="0.3">
      <c r="A6">
        <v>4.3726599999999998</v>
      </c>
      <c r="C6">
        <v>2.3355199999999998</v>
      </c>
    </row>
    <row r="7" spans="1:7" x14ac:dyDescent="0.3">
      <c r="A7">
        <v>4.5459399999999999</v>
      </c>
      <c r="C7">
        <v>2.7172499999999999</v>
      </c>
    </row>
    <row r="8" spans="1:7" x14ac:dyDescent="0.3">
      <c r="A8">
        <v>4.4588700000000001</v>
      </c>
      <c r="C8">
        <v>2.28525</v>
      </c>
    </row>
    <row r="9" spans="1:7" x14ac:dyDescent="0.3">
      <c r="A9">
        <v>0.45229999999999998</v>
      </c>
      <c r="C9">
        <v>2.3343500000000001</v>
      </c>
    </row>
    <row r="10" spans="1:7" x14ac:dyDescent="0.3">
      <c r="A10">
        <v>0.45145000000000002</v>
      </c>
      <c r="C10">
        <v>2.3875299999999999</v>
      </c>
    </row>
    <row r="11" spans="1:7" x14ac:dyDescent="0.3">
      <c r="A11">
        <v>0.45280999999999999</v>
      </c>
      <c r="C11">
        <v>2.2775699999999999</v>
      </c>
    </row>
    <row r="12" spans="1:7" x14ac:dyDescent="0.3">
      <c r="A12">
        <v>0.45100000000000001</v>
      </c>
      <c r="C12">
        <v>2.3199399999999999</v>
      </c>
    </row>
    <row r="13" spans="1:7" x14ac:dyDescent="0.3">
      <c r="A13">
        <v>0.45055000000000001</v>
      </c>
      <c r="C13">
        <v>2.2852700000000001</v>
      </c>
    </row>
    <row r="14" spans="1:7" x14ac:dyDescent="0.3">
      <c r="A14">
        <v>0.45001999999999998</v>
      </c>
      <c r="C14">
        <v>2.4479299999999999</v>
      </c>
    </row>
    <row r="15" spans="1:7" x14ac:dyDescent="0.3">
      <c r="A15">
        <v>0.45266000000000001</v>
      </c>
      <c r="C15">
        <v>2.0885699999999998</v>
      </c>
      <c r="G15" t="s">
        <v>244</v>
      </c>
    </row>
    <row r="16" spans="1:7" x14ac:dyDescent="0.3">
      <c r="A16">
        <v>0.45319999999999999</v>
      </c>
      <c r="C16">
        <v>2.3209200000000001</v>
      </c>
    </row>
    <row r="17" spans="1:3" x14ac:dyDescent="0.3">
      <c r="A17">
        <v>0.45250000000000001</v>
      </c>
      <c r="C17">
        <v>2.4594999999999998</v>
      </c>
    </row>
    <row r="18" spans="1:3" x14ac:dyDescent="0.3">
      <c r="A18">
        <v>0.45461000000000001</v>
      </c>
      <c r="C18">
        <v>2.3285</v>
      </c>
    </row>
    <row r="19" spans="1:3" x14ac:dyDescent="0.3">
      <c r="A19">
        <v>0.45415</v>
      </c>
      <c r="C19">
        <v>5.1185900000000002</v>
      </c>
    </row>
    <row r="20" spans="1:3" x14ac:dyDescent="0.3">
      <c r="A20">
        <v>0.45262000000000002</v>
      </c>
      <c r="C20">
        <v>5.1216699999999999</v>
      </c>
    </row>
    <row r="21" spans="1:3" x14ac:dyDescent="0.3">
      <c r="A21">
        <v>0.45324999999999999</v>
      </c>
      <c r="C21">
        <v>5.13924</v>
      </c>
    </row>
    <row r="22" spans="1:3" x14ac:dyDescent="0.3">
      <c r="A22">
        <v>0.44908999999999999</v>
      </c>
      <c r="C22">
        <v>5.1289699999999998</v>
      </c>
    </row>
    <row r="23" spans="1:3" x14ac:dyDescent="0.3">
      <c r="A23">
        <v>0.45280999999999999</v>
      </c>
      <c r="C23">
        <v>5.1179899999999998</v>
      </c>
    </row>
    <row r="24" spans="1:3" x14ac:dyDescent="0.3">
      <c r="A24">
        <v>4.5931600000000001</v>
      </c>
      <c r="C24">
        <v>5.1474500000000001</v>
      </c>
    </row>
    <row r="25" spans="1:3" x14ac:dyDescent="0.3">
      <c r="A25">
        <v>4.4427500000000002</v>
      </c>
      <c r="C25">
        <v>5.1098800000000004</v>
      </c>
    </row>
    <row r="26" spans="1:3" x14ac:dyDescent="0.3">
      <c r="A26">
        <v>4.6218500000000002</v>
      </c>
      <c r="C26">
        <v>5.1441699999999999</v>
      </c>
    </row>
    <row r="27" spans="1:3" x14ac:dyDescent="0.3">
      <c r="A27">
        <v>4.5141799999999996</v>
      </c>
      <c r="C27">
        <v>5.1174200000000001</v>
      </c>
    </row>
    <row r="28" spans="1:3" x14ac:dyDescent="0.3">
      <c r="A28">
        <v>4.1839000000000004</v>
      </c>
      <c r="C28">
        <v>5.11442</v>
      </c>
    </row>
    <row r="29" spans="1:3" x14ac:dyDescent="0.3">
      <c r="A29">
        <v>4.3798000000000004</v>
      </c>
      <c r="C29">
        <v>5.0883000000000003</v>
      </c>
    </row>
    <row r="30" spans="1:3" x14ac:dyDescent="0.3">
      <c r="A30">
        <v>0.45234000000000002</v>
      </c>
      <c r="C30">
        <v>5.1040400000000004</v>
      </c>
    </row>
    <row r="31" spans="1:3" x14ac:dyDescent="0.3">
      <c r="A31">
        <v>0.45221</v>
      </c>
      <c r="C31">
        <v>5.0876900000000003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sediment (raw)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Miller</dc:creator>
  <cp:lastModifiedBy>Savannah Karin Miller</cp:lastModifiedBy>
  <dcterms:created xsi:type="dcterms:W3CDTF">2026-01-14T21:25:04Z</dcterms:created>
  <dcterms:modified xsi:type="dcterms:W3CDTF">2026-02-22T04:38:49Z</dcterms:modified>
</cp:coreProperties>
</file>