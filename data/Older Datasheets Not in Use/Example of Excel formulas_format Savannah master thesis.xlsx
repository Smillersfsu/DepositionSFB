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Code/GitHub/DepositionSFB/data/"/>
    </mc:Choice>
  </mc:AlternateContent>
  <xr:revisionPtr revIDLastSave="0" documentId="8_{5A6475A1-0A8D-4AA9-AFF0-EA4E00A2CF41}" xr6:coauthVersionLast="47" xr6:coauthVersionMax="47" xr10:uidLastSave="{00000000-0000-0000-0000-000000000000}"/>
  <bookViews>
    <workbookView xWindow="-108" yWindow="-108" windowWidth="23256" windowHeight="13176" xr2:uid="{B63D790F-B376-46B4-923E-F36A2A7B9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3" i="1"/>
  <c r="T3" i="1"/>
  <c r="S3" i="1"/>
  <c r="N3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J20" i="1"/>
  <c r="J19" i="1"/>
  <c r="J18" i="1"/>
  <c r="J17" i="1"/>
  <c r="J16" i="1"/>
  <c r="J15" i="1"/>
  <c r="J14" i="1"/>
  <c r="J13" i="1"/>
  <c r="T13" i="1" s="1"/>
  <c r="J12" i="1"/>
  <c r="J11" i="1"/>
  <c r="J10" i="1"/>
  <c r="J9" i="1"/>
  <c r="J8" i="1"/>
  <c r="J7" i="1"/>
  <c r="J6" i="1"/>
  <c r="J5" i="1"/>
  <c r="J4" i="1"/>
  <c r="J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3" i="1"/>
  <c r="S9" i="1"/>
  <c r="S10" i="1"/>
  <c r="M20" i="1"/>
  <c r="S20" i="1" s="1"/>
  <c r="M19" i="1"/>
  <c r="S19" i="1" s="1"/>
  <c r="M18" i="1"/>
  <c r="S18" i="1" s="1"/>
  <c r="M17" i="1"/>
  <c r="S17" i="1" s="1"/>
  <c r="M16" i="1"/>
  <c r="S16" i="1" s="1"/>
  <c r="M15" i="1"/>
  <c r="S15" i="1" s="1"/>
  <c r="M14" i="1"/>
  <c r="S14" i="1" s="1"/>
  <c r="M13" i="1"/>
  <c r="S13" i="1" s="1"/>
  <c r="M12" i="1"/>
  <c r="S12" i="1" s="1"/>
  <c r="M11" i="1"/>
  <c r="S11" i="1" s="1"/>
  <c r="M10" i="1"/>
  <c r="M9" i="1"/>
  <c r="M8" i="1"/>
  <c r="S8" i="1" s="1"/>
  <c r="M7" i="1"/>
  <c r="S7" i="1" s="1"/>
  <c r="M6" i="1"/>
  <c r="S6" i="1" s="1"/>
  <c r="M5" i="1"/>
  <c r="S5" i="1" s="1"/>
  <c r="M4" i="1"/>
  <c r="S4" i="1" s="1"/>
  <c r="V13" i="1" l="1"/>
  <c r="T8" i="1"/>
  <c r="V8" i="1" s="1"/>
  <c r="T14" i="1"/>
  <c r="V14" i="1" s="1"/>
  <c r="T18" i="1"/>
  <c r="V18" i="1" s="1"/>
  <c r="T17" i="1"/>
  <c r="V17" i="1" s="1"/>
  <c r="T11" i="1"/>
  <c r="V11" i="1" s="1"/>
  <c r="T16" i="1"/>
  <c r="V16" i="1" s="1"/>
  <c r="T19" i="1"/>
  <c r="V19" i="1" s="1"/>
  <c r="V3" i="1"/>
  <c r="T10" i="1"/>
  <c r="V10" i="1" s="1"/>
  <c r="T15" i="1"/>
  <c r="V15" i="1" s="1"/>
  <c r="T4" i="1"/>
  <c r="V4" i="1" s="1"/>
  <c r="T20" i="1"/>
  <c r="V20" i="1" s="1"/>
  <c r="T12" i="1"/>
  <c r="V12" i="1" s="1"/>
  <c r="T5" i="1"/>
  <c r="V5" i="1" s="1"/>
  <c r="T6" i="1"/>
  <c r="V6" i="1" s="1"/>
  <c r="T9" i="1"/>
  <c r="V9" i="1" s="1"/>
  <c r="T7" i="1"/>
  <c r="V7" i="1" s="1"/>
</calcChain>
</file>

<file path=xl/sharedStrings.xml><?xml version="1.0" encoding="utf-8"?>
<sst xmlns="http://schemas.openxmlformats.org/spreadsheetml/2006/main" count="129" uniqueCount="46">
  <si>
    <t>PRE-PLACE</t>
  </si>
  <si>
    <t xml:space="preserve">PLACE </t>
  </si>
  <si>
    <t xml:space="preserve">PRE-COLLECT </t>
  </si>
  <si>
    <t>FIELD</t>
  </si>
  <si>
    <t xml:space="preserve">DRYING  (OVEN) </t>
  </si>
  <si>
    <t xml:space="preserve">LOSS OF IGNITION MEASUREMENTS (MUFFLE FURNACE) </t>
  </si>
  <si>
    <t xml:space="preserve">Study Phase </t>
  </si>
  <si>
    <t xml:space="preserve">Site </t>
  </si>
  <si>
    <t>Tran</t>
  </si>
  <si>
    <t xml:space="preserve">Dist </t>
  </si>
  <si>
    <t>Rep or Extra</t>
  </si>
  <si>
    <t xml:space="preserve">St Filter Wt (g) </t>
  </si>
  <si>
    <t>Date Placed</t>
  </si>
  <si>
    <t xml:space="preserve">St Ziploc Wt (g) </t>
  </si>
  <si>
    <t xml:space="preserve">Date Removed </t>
  </si>
  <si>
    <t xml:space="preserve">Filter Area (cm2) </t>
  </si>
  <si>
    <t>Date(s) of Procedure</t>
  </si>
  <si>
    <t xml:space="preserve">Post-Dry Mass  (Filter/Zip/Sed Total, g) </t>
  </si>
  <si>
    <t xml:space="preserve">(1) Confirmatory Post-Dry Weight (Optional, g) </t>
  </si>
  <si>
    <t xml:space="preserve">(2) Confirmatory Post-Dry Weight (Optional, g) </t>
  </si>
  <si>
    <t>(1) Confirm Sediment Total (Calc Subtract Zip and Filter</t>
  </si>
  <si>
    <t>(2) Confirm Sediment Total (Calc Subtract Zip and Filter</t>
  </si>
  <si>
    <t xml:space="preserve">Date(s) of Procedure </t>
  </si>
  <si>
    <t xml:space="preserve">Crucible Number # </t>
  </si>
  <si>
    <t>Empty Crucible Weight</t>
  </si>
  <si>
    <t xml:space="preserve">Subsample Weight (Filter + Sediment on Filter) </t>
  </si>
  <si>
    <t xml:space="preserve">Post-Burn Weight </t>
  </si>
  <si>
    <t xml:space="preserve">Notes </t>
  </si>
  <si>
    <t>M1</t>
  </si>
  <si>
    <t xml:space="preserve">B </t>
  </si>
  <si>
    <t xml:space="preserve">a </t>
  </si>
  <si>
    <t>8/5/2025-8/6/2025 (24 hours); 2:30 pm</t>
  </si>
  <si>
    <t xml:space="preserve">Plastic bags originally for P1 and measured for P1 </t>
  </si>
  <si>
    <t xml:space="preserve">b </t>
  </si>
  <si>
    <t>c</t>
  </si>
  <si>
    <r>
      <t xml:space="preserve">Flux                        </t>
    </r>
    <r>
      <rPr>
        <i/>
        <sz val="11"/>
        <color theme="1"/>
        <rFont val="Aptos Narrow"/>
        <family val="2"/>
        <scheme val="minor"/>
      </rPr>
      <t xml:space="preserve">(# of Days Deployed) </t>
    </r>
  </si>
  <si>
    <t>POST-FIELD LAB CALC</t>
  </si>
  <si>
    <t>POST-DRYING CALC</t>
  </si>
  <si>
    <t>Rubber Band Surface Area (cm2)</t>
  </si>
  <si>
    <t xml:space="preserve">Adjusted Filter Mass Recovered (g) </t>
  </si>
  <si>
    <r>
      <t xml:space="preserve">Sediment Mass               </t>
    </r>
    <r>
      <rPr>
        <i/>
        <sz val="11"/>
        <color theme="1"/>
        <rFont val="Aptos Narrow"/>
        <family val="2"/>
        <scheme val="minor"/>
      </rPr>
      <t>(Post-Dry Mass- Adjusted Filter Mass Recovered-Bag Mass, g)</t>
    </r>
  </si>
  <si>
    <r>
      <t xml:space="preserve">Sediment Density </t>
    </r>
    <r>
      <rPr>
        <i/>
        <sz val="11"/>
        <color theme="1"/>
        <rFont val="Aptos Narrow"/>
        <family val="2"/>
        <scheme val="minor"/>
      </rPr>
      <t>(Sediment Mass/Adj Filter SA; g/cm2)</t>
    </r>
  </si>
  <si>
    <r>
      <t xml:space="preserve">Flux-m                  </t>
    </r>
    <r>
      <rPr>
        <i/>
        <sz val="11"/>
        <color theme="1"/>
        <rFont val="Aptos Narrow"/>
        <family val="2"/>
        <scheme val="minor"/>
      </rPr>
      <t xml:space="preserve">(Sediment Density/Duration; g/m2 per day) </t>
    </r>
  </si>
  <si>
    <r>
      <t xml:space="preserve">Flux-cm               </t>
    </r>
    <r>
      <rPr>
        <i/>
        <sz val="11"/>
        <color theme="1"/>
        <rFont val="Aptos Narrow"/>
        <family val="2"/>
        <scheme val="minor"/>
      </rPr>
      <t xml:space="preserve"> (Sediment Density/Duration;  g/cm2 per day) </t>
    </r>
    <r>
      <rPr>
        <b/>
        <i/>
        <sz val="11"/>
        <color theme="1"/>
        <rFont val="Aptos Narrow"/>
        <family val="2"/>
        <scheme val="minor"/>
      </rPr>
      <t xml:space="preserve"> </t>
    </r>
  </si>
  <si>
    <t>Adjusted Filter Surface Area Recovered (cm2)</t>
  </si>
  <si>
    <t xml:space="preserve">Prop Filter Recovered (%)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</si>
</sst>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0" fillId="3" borderId="0" xfId="0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CBB3-A24B-48FD-8759-2984228DE4E4}">
  <dimension ref="A1:AE20"/>
  <sheetViews>
    <sheetView tabSelected="1" topLeftCell="P1" workbookViewId="0">
      <selection activeCell="Y11" sqref="Y11"/>
    </sheetView>
  </sheetViews>
  <sheetFormatPr defaultRowHeight="14.4" x14ac:dyDescent="0.3"/>
  <cols>
    <col min="11" max="11" width="8.88671875" style="10"/>
    <col min="12" max="12" width="10.109375" customWidth="1"/>
    <col min="13" max="13" width="10.6640625" customWidth="1"/>
    <col min="14" max="14" width="15" customWidth="1"/>
    <col min="15" max="15" width="35.77734375" style="6" customWidth="1"/>
    <col min="16" max="16" width="18.109375" customWidth="1"/>
    <col min="17" max="18" width="12" customWidth="1"/>
    <col min="19" max="19" width="17.109375" customWidth="1"/>
    <col min="20" max="20" width="16.21875" customWidth="1"/>
    <col min="21" max="21" width="11.33203125" customWidth="1"/>
    <col min="22" max="22" width="16.21875" customWidth="1"/>
    <col min="23" max="23" width="19.5546875" customWidth="1"/>
    <col min="24" max="24" width="12" customWidth="1"/>
    <col min="25" max="25" width="13.21875" customWidth="1"/>
    <col min="26" max="26" width="12.109375" customWidth="1"/>
    <col min="29" max="29" width="11.33203125" customWidth="1"/>
  </cols>
  <sheetData>
    <row r="1" spans="1:31" x14ac:dyDescent="0.3">
      <c r="A1" s="11" t="s">
        <v>0</v>
      </c>
      <c r="B1" s="12"/>
      <c r="C1" s="12"/>
      <c r="D1" s="12"/>
      <c r="E1" s="13"/>
      <c r="F1" s="11" t="s">
        <v>1</v>
      </c>
      <c r="G1" s="13"/>
      <c r="H1" s="14" t="s">
        <v>2</v>
      </c>
      <c r="I1" s="15"/>
      <c r="J1" s="15"/>
      <c r="K1" s="8"/>
      <c r="L1" s="7" t="s">
        <v>3</v>
      </c>
      <c r="M1" s="16" t="s">
        <v>36</v>
      </c>
      <c r="N1" s="16"/>
      <c r="O1" s="16" t="s">
        <v>4</v>
      </c>
      <c r="P1" s="16"/>
      <c r="Q1" s="16"/>
      <c r="R1" s="16"/>
      <c r="S1" s="16" t="s">
        <v>37</v>
      </c>
      <c r="T1" s="16"/>
      <c r="U1" s="16"/>
      <c r="V1" s="16"/>
      <c r="W1" s="16"/>
      <c r="X1" s="2"/>
      <c r="Y1" s="2"/>
      <c r="Z1" s="11" t="s">
        <v>5</v>
      </c>
      <c r="AA1" s="12"/>
      <c r="AB1" s="12"/>
      <c r="AC1" s="12"/>
      <c r="AD1" s="13"/>
      <c r="AE1" s="3"/>
    </row>
    <row r="2" spans="1:31" s="6" customFormat="1" ht="80.400000000000006" customHeight="1" x14ac:dyDescent="0.3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9" t="s">
        <v>38</v>
      </c>
      <c r="L2" s="5" t="s">
        <v>45</v>
      </c>
      <c r="M2" s="5" t="s">
        <v>39</v>
      </c>
      <c r="N2" s="5" t="s">
        <v>44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40</v>
      </c>
      <c r="T2" s="5" t="s">
        <v>41</v>
      </c>
      <c r="U2" s="5" t="s">
        <v>35</v>
      </c>
      <c r="V2" s="5" t="s">
        <v>43</v>
      </c>
      <c r="W2" s="5" t="s">
        <v>42</v>
      </c>
      <c r="X2" s="5" t="s">
        <v>20</v>
      </c>
      <c r="Y2" s="5" t="s">
        <v>21</v>
      </c>
      <c r="Z2" s="5" t="s">
        <v>22</v>
      </c>
      <c r="AA2" s="5" t="s">
        <v>23</v>
      </c>
      <c r="AB2" s="5" t="s">
        <v>24</v>
      </c>
      <c r="AC2" s="5" t="s">
        <v>25</v>
      </c>
      <c r="AD2" s="5" t="s">
        <v>26</v>
      </c>
      <c r="AE2" s="4" t="s">
        <v>27</v>
      </c>
    </row>
    <row r="3" spans="1:31" x14ac:dyDescent="0.3">
      <c r="A3" t="s">
        <v>28</v>
      </c>
      <c r="B3" t="s">
        <v>29</v>
      </c>
      <c r="C3">
        <v>1</v>
      </c>
      <c r="D3">
        <v>0.5</v>
      </c>
      <c r="E3" t="s">
        <v>30</v>
      </c>
      <c r="F3">
        <v>0.44001000000000001</v>
      </c>
      <c r="G3" s="1">
        <v>45846</v>
      </c>
      <c r="H3">
        <v>6.33622</v>
      </c>
      <c r="I3" s="1">
        <v>45874</v>
      </c>
      <c r="J3">
        <f>(90*90)/10</f>
        <v>810</v>
      </c>
      <c r="K3" s="10">
        <f>2*(10*0.3)</f>
        <v>6</v>
      </c>
      <c r="L3">
        <v>1</v>
      </c>
      <c r="M3">
        <f>L3*F3</f>
        <v>0.44001000000000001</v>
      </c>
      <c r="N3">
        <f>L3*J3-K3</f>
        <v>804</v>
      </c>
      <c r="O3" s="6" t="s">
        <v>31</v>
      </c>
      <c r="P3">
        <v>7.0936599999999999</v>
      </c>
      <c r="S3">
        <f>P3-M3-H3</f>
        <v>0.31742999999999988</v>
      </c>
      <c r="T3">
        <f>S3/N3</f>
        <v>3.9481343283582072E-4</v>
      </c>
      <c r="U3">
        <f>I3-G3</f>
        <v>28</v>
      </c>
      <c r="V3">
        <f>T3/U3</f>
        <v>1.4100479744136455E-5</v>
      </c>
      <c r="W3">
        <f>V3*10000</f>
        <v>0.14100479744136454</v>
      </c>
      <c r="AE3" t="s">
        <v>32</v>
      </c>
    </row>
    <row r="4" spans="1:31" x14ac:dyDescent="0.3">
      <c r="A4" t="s">
        <v>28</v>
      </c>
      <c r="B4" t="s">
        <v>29</v>
      </c>
      <c r="C4">
        <v>1</v>
      </c>
      <c r="D4">
        <v>0.5</v>
      </c>
      <c r="E4" t="s">
        <v>33</v>
      </c>
      <c r="F4">
        <v>0.42712</v>
      </c>
      <c r="G4" s="1">
        <v>45846</v>
      </c>
      <c r="H4">
        <v>6.3642500000000002</v>
      </c>
      <c r="I4" s="1">
        <v>45874</v>
      </c>
      <c r="J4">
        <f t="shared" ref="J4:J20" si="0">(90*90)/10</f>
        <v>810</v>
      </c>
      <c r="K4" s="10">
        <f t="shared" ref="K4:K20" si="1">2*(10*0.3)</f>
        <v>6</v>
      </c>
      <c r="L4">
        <v>1</v>
      </c>
      <c r="M4">
        <f t="shared" ref="M4:M20" si="2">L4*F4</f>
        <v>0.42712</v>
      </c>
      <c r="N4">
        <f t="shared" ref="N4:N20" si="3">L4*J4-K4</f>
        <v>804</v>
      </c>
      <c r="O4" s="6" t="s">
        <v>31</v>
      </c>
      <c r="P4">
        <v>6.9312699999999996</v>
      </c>
      <c r="S4">
        <f t="shared" ref="S4:S20" si="4">P4-M4-H4</f>
        <v>0.13989999999999903</v>
      </c>
      <c r="T4">
        <f t="shared" ref="T4:T20" si="5">S4/N4</f>
        <v>1.740049751243769E-4</v>
      </c>
      <c r="U4">
        <f t="shared" ref="U4:U20" si="6">I4-G4</f>
        <v>28</v>
      </c>
      <c r="V4">
        <f t="shared" ref="V4:V20" si="7">T4/U4</f>
        <v>6.2144633972991751E-6</v>
      </c>
      <c r="W4">
        <f t="shared" ref="W4:W20" si="8">V4*10000</f>
        <v>6.2144633972991747E-2</v>
      </c>
      <c r="AE4" t="s">
        <v>32</v>
      </c>
    </row>
    <row r="5" spans="1:31" x14ac:dyDescent="0.3">
      <c r="A5" t="s">
        <v>28</v>
      </c>
      <c r="B5" t="s">
        <v>29</v>
      </c>
      <c r="C5">
        <v>1</v>
      </c>
      <c r="D5">
        <v>0.5</v>
      </c>
      <c r="E5" t="s">
        <v>34</v>
      </c>
      <c r="F5">
        <v>0.42549999999999999</v>
      </c>
      <c r="G5" s="1">
        <v>45846</v>
      </c>
      <c r="H5">
        <v>6.3477899999999998</v>
      </c>
      <c r="I5" s="1">
        <v>45874</v>
      </c>
      <c r="J5">
        <f t="shared" si="0"/>
        <v>810</v>
      </c>
      <c r="K5" s="10">
        <f t="shared" si="1"/>
        <v>6</v>
      </c>
      <c r="L5">
        <v>1</v>
      </c>
      <c r="M5">
        <f t="shared" si="2"/>
        <v>0.42549999999999999</v>
      </c>
      <c r="N5">
        <f t="shared" si="3"/>
        <v>804</v>
      </c>
      <c r="O5" s="6" t="s">
        <v>31</v>
      </c>
      <c r="P5">
        <v>6.7907400000000004</v>
      </c>
      <c r="S5">
        <f t="shared" si="4"/>
        <v>1.7450000000000188E-2</v>
      </c>
      <c r="T5">
        <f t="shared" si="5"/>
        <v>2.1703980099502722E-5</v>
      </c>
      <c r="U5">
        <f t="shared" si="6"/>
        <v>28</v>
      </c>
      <c r="V5">
        <f t="shared" si="7"/>
        <v>7.751421464108115E-7</v>
      </c>
      <c r="W5">
        <f t="shared" si="8"/>
        <v>7.7514214641081153E-3</v>
      </c>
      <c r="AE5" t="s">
        <v>32</v>
      </c>
    </row>
    <row r="6" spans="1:31" x14ac:dyDescent="0.3">
      <c r="A6" t="s">
        <v>28</v>
      </c>
      <c r="B6" t="s">
        <v>29</v>
      </c>
      <c r="C6">
        <v>1</v>
      </c>
      <c r="D6">
        <v>2</v>
      </c>
      <c r="E6" t="s">
        <v>30</v>
      </c>
      <c r="F6">
        <v>0.44051000000000001</v>
      </c>
      <c r="G6" s="1">
        <v>45846</v>
      </c>
      <c r="H6">
        <v>6.30105</v>
      </c>
      <c r="I6" s="1">
        <v>45874</v>
      </c>
      <c r="J6">
        <f t="shared" si="0"/>
        <v>810</v>
      </c>
      <c r="K6" s="10">
        <f t="shared" si="1"/>
        <v>6</v>
      </c>
      <c r="L6">
        <v>1</v>
      </c>
      <c r="M6">
        <f t="shared" si="2"/>
        <v>0.44051000000000001</v>
      </c>
      <c r="N6">
        <f t="shared" si="3"/>
        <v>804</v>
      </c>
      <c r="O6" s="6" t="s">
        <v>31</v>
      </c>
      <c r="P6">
        <v>7.0908899999999999</v>
      </c>
      <c r="S6">
        <f t="shared" si="4"/>
        <v>0.34933000000000014</v>
      </c>
      <c r="T6">
        <f t="shared" si="5"/>
        <v>4.3449004975124397E-4</v>
      </c>
      <c r="U6">
        <f t="shared" si="6"/>
        <v>28</v>
      </c>
      <c r="V6">
        <f t="shared" si="7"/>
        <v>1.5517501776830143E-5</v>
      </c>
      <c r="W6">
        <f t="shared" si="8"/>
        <v>0.15517501776830142</v>
      </c>
      <c r="AE6" t="s">
        <v>32</v>
      </c>
    </row>
    <row r="7" spans="1:31" x14ac:dyDescent="0.3">
      <c r="A7" t="s">
        <v>28</v>
      </c>
      <c r="B7" t="s">
        <v>29</v>
      </c>
      <c r="C7">
        <v>1</v>
      </c>
      <c r="D7">
        <v>2</v>
      </c>
      <c r="E7" t="s">
        <v>33</v>
      </c>
      <c r="F7">
        <v>0.44240000000000002</v>
      </c>
      <c r="G7" s="1">
        <v>45846</v>
      </c>
      <c r="H7">
        <v>6.4134700000000002</v>
      </c>
      <c r="I7" s="1">
        <v>45874</v>
      </c>
      <c r="J7">
        <f t="shared" si="0"/>
        <v>810</v>
      </c>
      <c r="K7" s="10">
        <f t="shared" si="1"/>
        <v>6</v>
      </c>
      <c r="L7">
        <v>1</v>
      </c>
      <c r="M7">
        <f t="shared" si="2"/>
        <v>0.44240000000000002</v>
      </c>
      <c r="N7">
        <f t="shared" si="3"/>
        <v>804</v>
      </c>
      <c r="O7" s="6" t="s">
        <v>31</v>
      </c>
      <c r="P7">
        <v>7.1267199999999997</v>
      </c>
      <c r="S7">
        <f t="shared" si="4"/>
        <v>0.27084999999999937</v>
      </c>
      <c r="T7">
        <f t="shared" si="5"/>
        <v>3.3687810945273554E-4</v>
      </c>
      <c r="U7">
        <f t="shared" si="6"/>
        <v>28</v>
      </c>
      <c r="V7">
        <f t="shared" si="7"/>
        <v>1.2031361051883412E-5</v>
      </c>
      <c r="W7">
        <f t="shared" si="8"/>
        <v>0.12031361051883412</v>
      </c>
      <c r="AE7" t="s">
        <v>32</v>
      </c>
    </row>
    <row r="8" spans="1:31" x14ac:dyDescent="0.3">
      <c r="A8" t="s">
        <v>28</v>
      </c>
      <c r="B8" t="s">
        <v>29</v>
      </c>
      <c r="C8">
        <v>1</v>
      </c>
      <c r="D8">
        <v>2</v>
      </c>
      <c r="E8" t="s">
        <v>34</v>
      </c>
      <c r="F8">
        <v>0.42581000000000002</v>
      </c>
      <c r="G8" s="1">
        <v>45846</v>
      </c>
      <c r="H8">
        <v>6.34239</v>
      </c>
      <c r="I8" s="1">
        <v>45874</v>
      </c>
      <c r="J8">
        <f t="shared" si="0"/>
        <v>810</v>
      </c>
      <c r="K8" s="10">
        <f t="shared" si="1"/>
        <v>6</v>
      </c>
      <c r="L8">
        <v>1</v>
      </c>
      <c r="M8">
        <f t="shared" si="2"/>
        <v>0.42581000000000002</v>
      </c>
      <c r="N8">
        <f t="shared" si="3"/>
        <v>804</v>
      </c>
      <c r="O8" s="6" t="s">
        <v>31</v>
      </c>
      <c r="P8">
        <v>7.2990500000000003</v>
      </c>
      <c r="S8">
        <f t="shared" si="4"/>
        <v>0.53085000000000004</v>
      </c>
      <c r="T8">
        <f t="shared" si="5"/>
        <v>6.6026119402985077E-4</v>
      </c>
      <c r="U8">
        <f t="shared" si="6"/>
        <v>28</v>
      </c>
      <c r="V8">
        <f t="shared" si="7"/>
        <v>2.3580756929637527E-5</v>
      </c>
      <c r="W8">
        <f t="shared" si="8"/>
        <v>0.23580756929637528</v>
      </c>
      <c r="AE8" t="s">
        <v>32</v>
      </c>
    </row>
    <row r="9" spans="1:31" x14ac:dyDescent="0.3">
      <c r="A9" t="s">
        <v>28</v>
      </c>
      <c r="B9" t="s">
        <v>29</v>
      </c>
      <c r="C9">
        <v>1</v>
      </c>
      <c r="D9">
        <v>6</v>
      </c>
      <c r="E9" t="s">
        <v>30</v>
      </c>
      <c r="F9">
        <v>0.44106000000000001</v>
      </c>
      <c r="G9" s="1">
        <v>45846</v>
      </c>
      <c r="H9">
        <v>6.3859700000000004</v>
      </c>
      <c r="I9" s="1">
        <v>45874</v>
      </c>
      <c r="J9">
        <f t="shared" si="0"/>
        <v>810</v>
      </c>
      <c r="K9" s="10">
        <f t="shared" si="1"/>
        <v>6</v>
      </c>
      <c r="L9">
        <v>1</v>
      </c>
      <c r="M9">
        <f t="shared" si="2"/>
        <v>0.44106000000000001</v>
      </c>
      <c r="N9">
        <f t="shared" si="3"/>
        <v>804</v>
      </c>
      <c r="O9" s="6" t="s">
        <v>31</v>
      </c>
      <c r="P9">
        <v>7.7585800000000003</v>
      </c>
      <c r="S9">
        <f t="shared" si="4"/>
        <v>0.93154999999999966</v>
      </c>
      <c r="T9">
        <f t="shared" si="5"/>
        <v>1.1586442786069647E-3</v>
      </c>
      <c r="U9">
        <f t="shared" si="6"/>
        <v>28</v>
      </c>
      <c r="V9">
        <f t="shared" si="7"/>
        <v>4.1380152807391598E-5</v>
      </c>
      <c r="W9">
        <f t="shared" si="8"/>
        <v>0.41380152807391596</v>
      </c>
      <c r="AE9" t="s">
        <v>32</v>
      </c>
    </row>
    <row r="10" spans="1:31" x14ac:dyDescent="0.3">
      <c r="A10" t="s">
        <v>28</v>
      </c>
      <c r="B10" t="s">
        <v>29</v>
      </c>
      <c r="C10">
        <v>1</v>
      </c>
      <c r="D10">
        <v>6</v>
      </c>
      <c r="E10" t="s">
        <v>33</v>
      </c>
      <c r="F10">
        <v>0.43986999999999998</v>
      </c>
      <c r="G10" s="1">
        <v>45846</v>
      </c>
      <c r="H10">
        <v>6.3587800000000003</v>
      </c>
      <c r="I10" s="1">
        <v>45874</v>
      </c>
      <c r="J10">
        <f t="shared" si="0"/>
        <v>810</v>
      </c>
      <c r="K10" s="10">
        <f t="shared" si="1"/>
        <v>6</v>
      </c>
      <c r="L10">
        <v>1</v>
      </c>
      <c r="M10">
        <f t="shared" si="2"/>
        <v>0.43986999999999998</v>
      </c>
      <c r="N10">
        <f t="shared" si="3"/>
        <v>804</v>
      </c>
      <c r="O10" s="6" t="s">
        <v>31</v>
      </c>
      <c r="P10">
        <v>7.3174599999999996</v>
      </c>
      <c r="S10">
        <f t="shared" si="4"/>
        <v>0.51880999999999933</v>
      </c>
      <c r="T10">
        <f t="shared" si="5"/>
        <v>6.4528606965174044E-4</v>
      </c>
      <c r="U10">
        <f t="shared" si="6"/>
        <v>28</v>
      </c>
      <c r="V10">
        <f t="shared" si="7"/>
        <v>2.3045931058990729E-5</v>
      </c>
      <c r="W10">
        <f t="shared" si="8"/>
        <v>0.23045931058990729</v>
      </c>
      <c r="AE10" t="s">
        <v>32</v>
      </c>
    </row>
    <row r="11" spans="1:31" x14ac:dyDescent="0.3">
      <c r="A11" t="s">
        <v>28</v>
      </c>
      <c r="B11" t="s">
        <v>29</v>
      </c>
      <c r="C11">
        <v>1</v>
      </c>
      <c r="D11">
        <v>6</v>
      </c>
      <c r="E11" t="s">
        <v>34</v>
      </c>
      <c r="F11">
        <v>0.42692999999999998</v>
      </c>
      <c r="G11" s="1">
        <v>45846</v>
      </c>
      <c r="H11">
        <v>6.3494099999999998</v>
      </c>
      <c r="I11" s="1">
        <v>45874</v>
      </c>
      <c r="J11">
        <f t="shared" si="0"/>
        <v>810</v>
      </c>
      <c r="K11" s="10">
        <f t="shared" si="1"/>
        <v>6</v>
      </c>
      <c r="L11">
        <v>1</v>
      </c>
      <c r="M11">
        <f t="shared" si="2"/>
        <v>0.42692999999999998</v>
      </c>
      <c r="N11">
        <f t="shared" si="3"/>
        <v>804</v>
      </c>
      <c r="O11" s="6" t="s">
        <v>31</v>
      </c>
      <c r="P11">
        <v>7.8080999999999996</v>
      </c>
      <c r="S11">
        <f t="shared" si="4"/>
        <v>1.0317600000000002</v>
      </c>
      <c r="T11">
        <f t="shared" si="5"/>
        <v>1.2832835820895524E-3</v>
      </c>
      <c r="U11">
        <f t="shared" si="6"/>
        <v>28</v>
      </c>
      <c r="V11">
        <f t="shared" si="7"/>
        <v>4.5831556503198303E-5</v>
      </c>
      <c r="W11">
        <f t="shared" si="8"/>
        <v>0.45831556503198301</v>
      </c>
      <c r="AE11" t="s">
        <v>32</v>
      </c>
    </row>
    <row r="12" spans="1:31" x14ac:dyDescent="0.3">
      <c r="A12" t="s">
        <v>28</v>
      </c>
      <c r="B12" t="s">
        <v>29</v>
      </c>
      <c r="C12">
        <v>1</v>
      </c>
      <c r="D12">
        <v>12</v>
      </c>
      <c r="E12" t="s">
        <v>30</v>
      </c>
      <c r="F12">
        <v>0.44022</v>
      </c>
      <c r="G12" s="1">
        <v>45846</v>
      </c>
      <c r="H12">
        <v>6.3393300000000004</v>
      </c>
      <c r="I12" s="1">
        <v>45874</v>
      </c>
      <c r="J12">
        <f t="shared" si="0"/>
        <v>810</v>
      </c>
      <c r="K12" s="10">
        <f t="shared" si="1"/>
        <v>6</v>
      </c>
      <c r="L12">
        <v>1</v>
      </c>
      <c r="M12">
        <f t="shared" si="2"/>
        <v>0.44022</v>
      </c>
      <c r="N12">
        <f t="shared" si="3"/>
        <v>804</v>
      </c>
      <c r="O12" s="6" t="s">
        <v>31</v>
      </c>
      <c r="P12">
        <v>7.0742599999999998</v>
      </c>
      <c r="S12">
        <f t="shared" si="4"/>
        <v>0.29470999999999936</v>
      </c>
      <c r="T12">
        <f t="shared" si="5"/>
        <v>3.6655472636815838E-4</v>
      </c>
      <c r="U12">
        <f t="shared" si="6"/>
        <v>28</v>
      </c>
      <c r="V12">
        <f t="shared" si="7"/>
        <v>1.3091240227434229E-5</v>
      </c>
      <c r="W12">
        <f t="shared" si="8"/>
        <v>0.13091240227434228</v>
      </c>
      <c r="AE12" t="s">
        <v>32</v>
      </c>
    </row>
    <row r="13" spans="1:31" x14ac:dyDescent="0.3">
      <c r="A13" t="s">
        <v>28</v>
      </c>
      <c r="B13" t="s">
        <v>29</v>
      </c>
      <c r="C13">
        <v>1</v>
      </c>
      <c r="D13">
        <v>12</v>
      </c>
      <c r="E13" t="s">
        <v>33</v>
      </c>
      <c r="F13">
        <v>0.42603999999999997</v>
      </c>
      <c r="G13" s="1">
        <v>45846</v>
      </c>
      <c r="H13">
        <v>6.3743999999999996</v>
      </c>
      <c r="I13" s="1">
        <v>45874</v>
      </c>
      <c r="J13">
        <f t="shared" si="0"/>
        <v>810</v>
      </c>
      <c r="K13" s="10">
        <f t="shared" si="1"/>
        <v>6</v>
      </c>
      <c r="L13">
        <v>1</v>
      </c>
      <c r="M13">
        <f t="shared" si="2"/>
        <v>0.42603999999999997</v>
      </c>
      <c r="N13">
        <f t="shared" si="3"/>
        <v>804</v>
      </c>
      <c r="O13" s="6" t="s">
        <v>31</v>
      </c>
      <c r="P13">
        <v>7.2392000000000003</v>
      </c>
      <c r="S13">
        <f t="shared" si="4"/>
        <v>0.43876000000000026</v>
      </c>
      <c r="T13">
        <f t="shared" si="5"/>
        <v>5.4572139303482624E-4</v>
      </c>
      <c r="U13">
        <f t="shared" si="6"/>
        <v>28</v>
      </c>
      <c r="V13">
        <f t="shared" si="7"/>
        <v>1.9490049751243796E-5</v>
      </c>
      <c r="W13">
        <f t="shared" si="8"/>
        <v>0.19490049751243796</v>
      </c>
      <c r="AE13" t="s">
        <v>32</v>
      </c>
    </row>
    <row r="14" spans="1:31" x14ac:dyDescent="0.3">
      <c r="A14" t="s">
        <v>28</v>
      </c>
      <c r="B14" t="s">
        <v>29</v>
      </c>
      <c r="C14">
        <v>1</v>
      </c>
      <c r="D14">
        <v>12</v>
      </c>
      <c r="E14" t="s">
        <v>34</v>
      </c>
      <c r="F14">
        <v>0.44340000000000002</v>
      </c>
      <c r="G14" s="1">
        <v>45846</v>
      </c>
      <c r="H14">
        <v>6.3233100000000002</v>
      </c>
      <c r="I14" s="1">
        <v>45874</v>
      </c>
      <c r="J14">
        <f t="shared" si="0"/>
        <v>810</v>
      </c>
      <c r="K14" s="10">
        <f t="shared" si="1"/>
        <v>6</v>
      </c>
      <c r="L14">
        <v>1</v>
      </c>
      <c r="M14">
        <f t="shared" si="2"/>
        <v>0.44340000000000002</v>
      </c>
      <c r="N14">
        <f t="shared" si="3"/>
        <v>804</v>
      </c>
      <c r="O14" s="6" t="s">
        <v>31</v>
      </c>
      <c r="P14">
        <v>7.1528400000000003</v>
      </c>
      <c r="S14">
        <f t="shared" si="4"/>
        <v>0.38613000000000053</v>
      </c>
      <c r="T14">
        <f t="shared" si="5"/>
        <v>4.8026119402985138E-4</v>
      </c>
      <c r="U14">
        <f t="shared" si="6"/>
        <v>28</v>
      </c>
      <c r="V14">
        <f t="shared" si="7"/>
        <v>1.7152185501066122E-5</v>
      </c>
      <c r="W14">
        <f t="shared" si="8"/>
        <v>0.17152185501066122</v>
      </c>
      <c r="AE14" t="s">
        <v>32</v>
      </c>
    </row>
    <row r="15" spans="1:31" x14ac:dyDescent="0.3">
      <c r="A15" t="s">
        <v>28</v>
      </c>
      <c r="B15" t="s">
        <v>29</v>
      </c>
      <c r="C15">
        <v>1</v>
      </c>
      <c r="D15">
        <v>24</v>
      </c>
      <c r="E15" t="s">
        <v>30</v>
      </c>
      <c r="F15">
        <v>0.42605999999999999</v>
      </c>
      <c r="G15" s="1">
        <v>45846</v>
      </c>
      <c r="H15">
        <v>6.3905700000000003</v>
      </c>
      <c r="I15" s="1">
        <v>45874</v>
      </c>
      <c r="J15">
        <f t="shared" si="0"/>
        <v>810</v>
      </c>
      <c r="K15" s="10">
        <f t="shared" si="1"/>
        <v>6</v>
      </c>
      <c r="L15">
        <v>1</v>
      </c>
      <c r="M15">
        <f t="shared" si="2"/>
        <v>0.42605999999999999</v>
      </c>
      <c r="N15">
        <f t="shared" si="3"/>
        <v>804</v>
      </c>
      <c r="O15" s="6" t="s">
        <v>31</v>
      </c>
      <c r="P15">
        <v>7.4946299999999999</v>
      </c>
      <c r="S15">
        <f t="shared" si="4"/>
        <v>0.67799999999999994</v>
      </c>
      <c r="T15">
        <f t="shared" si="5"/>
        <v>8.4328358208955213E-4</v>
      </c>
      <c r="U15">
        <f t="shared" si="6"/>
        <v>28</v>
      </c>
      <c r="V15">
        <f t="shared" si="7"/>
        <v>3.0117270788912577E-5</v>
      </c>
      <c r="W15">
        <f t="shared" si="8"/>
        <v>0.30117270788912576</v>
      </c>
      <c r="AE15" t="s">
        <v>32</v>
      </c>
    </row>
    <row r="16" spans="1:31" x14ac:dyDescent="0.3">
      <c r="A16" t="s">
        <v>28</v>
      </c>
      <c r="B16" t="s">
        <v>29</v>
      </c>
      <c r="C16">
        <v>1</v>
      </c>
      <c r="D16">
        <v>24</v>
      </c>
      <c r="E16" t="s">
        <v>33</v>
      </c>
      <c r="F16">
        <v>0.44155</v>
      </c>
      <c r="G16" s="1">
        <v>45846</v>
      </c>
      <c r="H16">
        <v>6.3825000000000003</v>
      </c>
      <c r="I16" s="1">
        <v>45874</v>
      </c>
      <c r="J16">
        <f t="shared" si="0"/>
        <v>810</v>
      </c>
      <c r="K16" s="10">
        <f t="shared" si="1"/>
        <v>6</v>
      </c>
      <c r="L16">
        <v>1</v>
      </c>
      <c r="M16">
        <f t="shared" si="2"/>
        <v>0.44155</v>
      </c>
      <c r="N16">
        <f t="shared" si="3"/>
        <v>804</v>
      </c>
      <c r="O16" s="6" t="s">
        <v>31</v>
      </c>
      <c r="P16">
        <v>7.4210099999999999</v>
      </c>
      <c r="S16">
        <f t="shared" si="4"/>
        <v>0.59695999999999927</v>
      </c>
      <c r="T16">
        <f t="shared" si="5"/>
        <v>7.4248756218905378E-4</v>
      </c>
      <c r="U16">
        <f t="shared" si="6"/>
        <v>28</v>
      </c>
      <c r="V16">
        <f t="shared" si="7"/>
        <v>2.6517412935323349E-5</v>
      </c>
      <c r="W16">
        <f t="shared" si="8"/>
        <v>0.26517412935323348</v>
      </c>
      <c r="AE16" t="s">
        <v>32</v>
      </c>
    </row>
    <row r="17" spans="1:31" x14ac:dyDescent="0.3">
      <c r="A17" t="s">
        <v>28</v>
      </c>
      <c r="B17" t="s">
        <v>29</v>
      </c>
      <c r="C17">
        <v>1</v>
      </c>
      <c r="D17">
        <v>24</v>
      </c>
      <c r="E17" t="s">
        <v>34</v>
      </c>
      <c r="F17">
        <v>0.44040000000000001</v>
      </c>
      <c r="G17" s="1">
        <v>45846</v>
      </c>
      <c r="H17">
        <v>6.3804999999999996</v>
      </c>
      <c r="I17" s="1">
        <v>45874</v>
      </c>
      <c r="J17">
        <f t="shared" si="0"/>
        <v>810</v>
      </c>
      <c r="K17" s="10">
        <f t="shared" si="1"/>
        <v>6</v>
      </c>
      <c r="L17">
        <v>1</v>
      </c>
      <c r="M17">
        <f t="shared" si="2"/>
        <v>0.44040000000000001</v>
      </c>
      <c r="N17">
        <f t="shared" si="3"/>
        <v>804</v>
      </c>
      <c r="O17" s="6" t="s">
        <v>31</v>
      </c>
      <c r="P17">
        <v>7.3626899999999997</v>
      </c>
      <c r="S17">
        <f t="shared" si="4"/>
        <v>0.54178999999999977</v>
      </c>
      <c r="T17">
        <f t="shared" si="5"/>
        <v>6.7386815920397985E-4</v>
      </c>
      <c r="U17">
        <f t="shared" si="6"/>
        <v>28</v>
      </c>
      <c r="V17">
        <f t="shared" si="7"/>
        <v>2.4066719971570711E-5</v>
      </c>
      <c r="W17">
        <f t="shared" si="8"/>
        <v>0.2406671997157071</v>
      </c>
      <c r="AE17" t="s">
        <v>32</v>
      </c>
    </row>
    <row r="18" spans="1:31" x14ac:dyDescent="0.3">
      <c r="A18" t="s">
        <v>28</v>
      </c>
      <c r="B18" t="s">
        <v>29</v>
      </c>
      <c r="C18">
        <v>1</v>
      </c>
      <c r="D18">
        <v>48</v>
      </c>
      <c r="E18" t="s">
        <v>30</v>
      </c>
      <c r="F18">
        <v>0.42637999999999998</v>
      </c>
      <c r="G18" s="1">
        <v>45846</v>
      </c>
      <c r="H18">
        <v>6.3422700000000001</v>
      </c>
      <c r="I18" s="1">
        <v>45874</v>
      </c>
      <c r="J18">
        <f t="shared" si="0"/>
        <v>810</v>
      </c>
      <c r="K18" s="10">
        <f t="shared" si="1"/>
        <v>6</v>
      </c>
      <c r="L18">
        <v>1</v>
      </c>
      <c r="M18">
        <f t="shared" si="2"/>
        <v>0.42637999999999998</v>
      </c>
      <c r="N18">
        <f t="shared" si="3"/>
        <v>804</v>
      </c>
      <c r="O18" s="6" t="s">
        <v>31</v>
      </c>
      <c r="P18">
        <v>7.6139900000000003</v>
      </c>
      <c r="S18">
        <f t="shared" si="4"/>
        <v>0.8453400000000002</v>
      </c>
      <c r="T18">
        <f t="shared" si="5"/>
        <v>1.0514179104477615E-3</v>
      </c>
      <c r="U18">
        <f t="shared" si="6"/>
        <v>28</v>
      </c>
      <c r="V18">
        <f t="shared" si="7"/>
        <v>3.7550639658848626E-5</v>
      </c>
      <c r="W18">
        <f t="shared" si="8"/>
        <v>0.37550639658848628</v>
      </c>
      <c r="AE18" t="s">
        <v>32</v>
      </c>
    </row>
    <row r="19" spans="1:31" x14ac:dyDescent="0.3">
      <c r="A19" t="s">
        <v>28</v>
      </c>
      <c r="B19" t="s">
        <v>29</v>
      </c>
      <c r="C19">
        <v>1</v>
      </c>
      <c r="D19">
        <v>48</v>
      </c>
      <c r="E19" t="s">
        <v>33</v>
      </c>
      <c r="F19">
        <v>0.44007000000000002</v>
      </c>
      <c r="G19" s="1">
        <v>45846</v>
      </c>
      <c r="H19">
        <v>6.3035300000000003</v>
      </c>
      <c r="I19" s="1">
        <v>45874</v>
      </c>
      <c r="J19">
        <f t="shared" si="0"/>
        <v>810</v>
      </c>
      <c r="K19" s="10">
        <f t="shared" si="1"/>
        <v>6</v>
      </c>
      <c r="L19">
        <v>1</v>
      </c>
      <c r="M19">
        <f t="shared" si="2"/>
        <v>0.44007000000000002</v>
      </c>
      <c r="N19">
        <f t="shared" si="3"/>
        <v>804</v>
      </c>
      <c r="O19" s="6" t="s">
        <v>31</v>
      </c>
      <c r="P19">
        <v>7.5907099999999996</v>
      </c>
      <c r="S19">
        <f t="shared" si="4"/>
        <v>0.84710999999999892</v>
      </c>
      <c r="T19">
        <f t="shared" si="5"/>
        <v>1.0536194029850733E-3</v>
      </c>
      <c r="U19">
        <f t="shared" si="6"/>
        <v>28</v>
      </c>
      <c r="V19">
        <f t="shared" si="7"/>
        <v>3.7629264392324042E-5</v>
      </c>
      <c r="W19">
        <f t="shared" si="8"/>
        <v>0.37629264392324041</v>
      </c>
      <c r="AE19" t="s">
        <v>32</v>
      </c>
    </row>
    <row r="20" spans="1:31" x14ac:dyDescent="0.3">
      <c r="A20" t="s">
        <v>28</v>
      </c>
      <c r="B20" t="s">
        <v>29</v>
      </c>
      <c r="C20">
        <v>1</v>
      </c>
      <c r="D20">
        <v>48</v>
      </c>
      <c r="E20" t="s">
        <v>34</v>
      </c>
      <c r="F20">
        <v>0.42473</v>
      </c>
      <c r="G20" s="1">
        <v>45846</v>
      </c>
      <c r="H20">
        <v>6.3178700000000001</v>
      </c>
      <c r="I20" s="1">
        <v>45874</v>
      </c>
      <c r="J20">
        <f t="shared" si="0"/>
        <v>810</v>
      </c>
      <c r="K20" s="10">
        <f t="shared" si="1"/>
        <v>6</v>
      </c>
      <c r="L20">
        <v>1</v>
      </c>
      <c r="M20">
        <f t="shared" si="2"/>
        <v>0.42473</v>
      </c>
      <c r="N20">
        <f t="shared" si="3"/>
        <v>804</v>
      </c>
      <c r="O20" s="6" t="s">
        <v>31</v>
      </c>
      <c r="P20">
        <v>8.0701300000000007</v>
      </c>
      <c r="S20">
        <f t="shared" si="4"/>
        <v>1.3275300000000003</v>
      </c>
      <c r="T20">
        <f t="shared" si="5"/>
        <v>1.6511567164179109E-3</v>
      </c>
      <c r="U20">
        <f t="shared" si="6"/>
        <v>28</v>
      </c>
      <c r="V20">
        <f t="shared" si="7"/>
        <v>5.8969882729211101E-5</v>
      </c>
      <c r="W20">
        <f t="shared" si="8"/>
        <v>0.58969882729211098</v>
      </c>
      <c r="AE20" t="s">
        <v>32</v>
      </c>
    </row>
  </sheetData>
  <mergeCells count="7">
    <mergeCell ref="A1:E1"/>
    <mergeCell ref="F1:G1"/>
    <mergeCell ref="H1:J1"/>
    <mergeCell ref="Z1:AD1"/>
    <mergeCell ref="M1:N1"/>
    <mergeCell ref="O1:R1"/>
    <mergeCell ref="S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Miller</dc:creator>
  <cp:lastModifiedBy>Savannah Karin Miller</cp:lastModifiedBy>
  <dcterms:created xsi:type="dcterms:W3CDTF">2026-01-13T21:52:45Z</dcterms:created>
  <dcterms:modified xsi:type="dcterms:W3CDTF">2026-03-12T23:01:47Z</dcterms:modified>
</cp:coreProperties>
</file>