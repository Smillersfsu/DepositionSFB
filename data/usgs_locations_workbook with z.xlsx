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0" documentId="8_{0D6BE309-DEC8-40F1-AD9A-BEA65FDFC598}" xr6:coauthVersionLast="47" xr6:coauthVersionMax="47" xr10:uidLastSave="{00000000-0000-0000-0000-000000000000}"/>
  <bookViews>
    <workbookView xWindow="-96" yWindow="0" windowWidth="11712" windowHeight="13056" xr2:uid="{87A14464-8DFD-46BD-BA5F-F21A4885E7F2}"/>
  </bookViews>
  <sheets>
    <sheet name="usgs_locations_workbook with z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Savannah Miller</author>
  </authors>
  <commentList>
    <comment ref="J1" authorId="0" shapeId="0" xr:uid="{DC47B013-72BC-4D52-BE31-F6F6CD7F5D33}">
      <text>
        <r>
          <rPr>
            <b/>
            <sz val="9"/>
            <color indexed="81"/>
            <rFont val="Tahoma"/>
            <charset val="1"/>
          </rPr>
          <t>Savannah Miller:</t>
        </r>
        <r>
          <rPr>
            <sz val="9"/>
            <color indexed="81"/>
            <rFont val="Tahoma"/>
            <charset val="1"/>
          </rPr>
          <t xml:space="preserve">
check if this FID relates to the Object Number #335 in the attribute table for corte madera</t>
        </r>
      </text>
    </comment>
  </commentList>
</comments>
</file>

<file path=xl/sharedStrings.xml><?xml version="1.0" encoding="utf-8"?>
<sst xmlns="http://schemas.openxmlformats.org/spreadsheetml/2006/main" count="237" uniqueCount="53">
  <si>
    <t>Site</t>
  </si>
  <si>
    <t>Marsh location</t>
  </si>
  <si>
    <t>Transect</t>
  </si>
  <si>
    <t>Distance</t>
  </si>
  <si>
    <t>Plot ID</t>
  </si>
  <si>
    <t>Easting</t>
  </si>
  <si>
    <t>Northing</t>
  </si>
  <si>
    <t>Corte Madera</t>
  </si>
  <si>
    <t>Bay</t>
  </si>
  <si>
    <t>A</t>
  </si>
  <si>
    <t>A0.5</t>
  </si>
  <si>
    <t>A2</t>
  </si>
  <si>
    <t>A6</t>
  </si>
  <si>
    <t>A12</t>
  </si>
  <si>
    <t>A24</t>
  </si>
  <si>
    <t>A48</t>
  </si>
  <si>
    <t>B</t>
  </si>
  <si>
    <t>B0.5</t>
  </si>
  <si>
    <t>B2</t>
  </si>
  <si>
    <t>B6</t>
  </si>
  <si>
    <t>B12</t>
  </si>
  <si>
    <t>B24</t>
  </si>
  <si>
    <t>B48</t>
  </si>
  <si>
    <t>Channel</t>
  </si>
  <si>
    <t>C</t>
  </si>
  <si>
    <t>C0.5</t>
  </si>
  <si>
    <t>C2</t>
  </si>
  <si>
    <t>C6</t>
  </si>
  <si>
    <t>C12</t>
  </si>
  <si>
    <t>C24</t>
  </si>
  <si>
    <t>C48</t>
  </si>
  <si>
    <t>D</t>
  </si>
  <si>
    <t>D0.5</t>
  </si>
  <si>
    <t>D2</t>
  </si>
  <si>
    <t>D6</t>
  </si>
  <si>
    <t>D12</t>
  </si>
  <si>
    <t>D24</t>
  </si>
  <si>
    <t>D48</t>
  </si>
  <si>
    <t>San Pablo</t>
  </si>
  <si>
    <t>A72</t>
  </si>
  <si>
    <t>A150</t>
  </si>
  <si>
    <t>B72</t>
  </si>
  <si>
    <t>B150</t>
  </si>
  <si>
    <t>C72</t>
  </si>
  <si>
    <t>C150</t>
  </si>
  <si>
    <t>D72</t>
  </si>
  <si>
    <t>D150</t>
  </si>
  <si>
    <t>FID</t>
  </si>
  <si>
    <t>MSL</t>
  </si>
  <si>
    <t>MHHW</t>
  </si>
  <si>
    <t>z_star</t>
  </si>
  <si>
    <t>Elev (m)</t>
  </si>
  <si>
    <t>Elev 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</si>
</sst>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18FF-3678-4123-AD5C-F8C926C52CC1}">
  <dimension ref="A1:M57"/>
  <sheetViews>
    <sheetView tabSelected="1" topLeftCell="C1" workbookViewId="0">
      <selection activeCell="I11" sqref="I11"/>
    </sheetView>
  </sheetViews>
  <sheetFormatPr defaultRowHeight="14.4" x14ac:dyDescent="0.3"/>
  <cols>
    <col min="13" max="13" width="9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51</v>
      </c>
      <c r="I1" t="s">
        <v>52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3">
      <c r="A2" t="s">
        <v>7</v>
      </c>
      <c r="B2" t="s">
        <v>8</v>
      </c>
      <c r="C2" t="s">
        <v>9</v>
      </c>
      <c r="D2">
        <v>0.5</v>
      </c>
      <c r="E2" t="s">
        <v>10</v>
      </c>
      <c r="F2">
        <v>543650</v>
      </c>
      <c r="G2">
        <v>4198100</v>
      </c>
      <c r="H2">
        <v>1.5980000000000001</v>
      </c>
      <c r="I2">
        <f>CONVERT(H2, "m", "ft")</f>
        <v>5.242782152230971</v>
      </c>
      <c r="J2">
        <v>512</v>
      </c>
      <c r="K2">
        <v>3.32</v>
      </c>
      <c r="L2">
        <v>6.07</v>
      </c>
      <c r="M2">
        <f>(I2-K2)/(L2-K2)</f>
        <v>0.69919350990217122</v>
      </c>
    </row>
    <row r="3" spans="1:13" x14ac:dyDescent="0.3">
      <c r="A3" t="s">
        <v>7</v>
      </c>
      <c r="B3" t="s">
        <v>8</v>
      </c>
      <c r="C3" t="s">
        <v>9</v>
      </c>
      <c r="D3">
        <v>2</v>
      </c>
      <c r="E3" t="s">
        <v>11</v>
      </c>
      <c r="F3">
        <v>543648.6</v>
      </c>
      <c r="G3">
        <v>4198100</v>
      </c>
      <c r="H3">
        <v>1.6839999999999999</v>
      </c>
      <c r="I3">
        <f t="shared" ref="I3:I57" si="0">CONVERT(H3, "m", "ft")</f>
        <v>5.5249343832020994</v>
      </c>
      <c r="J3">
        <v>512</v>
      </c>
      <c r="K3">
        <v>3.32</v>
      </c>
      <c r="L3">
        <v>6.07</v>
      </c>
      <c r="M3">
        <f t="shared" ref="M3:M57" si="1">(I3-K3)/(L3-K3)</f>
        <v>0.80179432116439975</v>
      </c>
    </row>
    <row r="4" spans="1:13" x14ac:dyDescent="0.3">
      <c r="A4" t="s">
        <v>7</v>
      </c>
      <c r="B4" t="s">
        <v>8</v>
      </c>
      <c r="C4" t="s">
        <v>9</v>
      </c>
      <c r="D4">
        <v>6</v>
      </c>
      <c r="E4" t="s">
        <v>12</v>
      </c>
      <c r="F4">
        <v>543645.1</v>
      </c>
      <c r="G4">
        <v>4198098</v>
      </c>
      <c r="H4">
        <v>1.6910000000000001</v>
      </c>
      <c r="I4">
        <f t="shared" si="0"/>
        <v>5.5479002624671914</v>
      </c>
      <c r="J4">
        <v>512</v>
      </c>
      <c r="K4">
        <v>3.32</v>
      </c>
      <c r="L4">
        <v>6.07</v>
      </c>
      <c r="M4">
        <f t="shared" si="1"/>
        <v>0.81014554998806954</v>
      </c>
    </row>
    <row r="5" spans="1:13" x14ac:dyDescent="0.3">
      <c r="A5" t="s">
        <v>7</v>
      </c>
      <c r="B5" t="s">
        <v>8</v>
      </c>
      <c r="C5" t="s">
        <v>9</v>
      </c>
      <c r="D5">
        <v>12</v>
      </c>
      <c r="E5" t="s">
        <v>13</v>
      </c>
      <c r="F5">
        <v>543639.9</v>
      </c>
      <c r="G5">
        <v>4198095</v>
      </c>
      <c r="H5">
        <v>1.7050000000000001</v>
      </c>
      <c r="I5">
        <f t="shared" si="0"/>
        <v>5.5938320209973753</v>
      </c>
      <c r="J5">
        <v>512</v>
      </c>
      <c r="K5">
        <v>3.32</v>
      </c>
      <c r="L5">
        <v>6.07</v>
      </c>
      <c r="M5">
        <f t="shared" si="1"/>
        <v>0.82684800763540911</v>
      </c>
    </row>
    <row r="6" spans="1:13" x14ac:dyDescent="0.3">
      <c r="A6" t="s">
        <v>7</v>
      </c>
      <c r="B6" t="s">
        <v>8</v>
      </c>
      <c r="C6" t="s">
        <v>9</v>
      </c>
      <c r="D6">
        <v>24</v>
      </c>
      <c r="E6" t="s">
        <v>14</v>
      </c>
      <c r="F6">
        <v>543629.5</v>
      </c>
      <c r="G6">
        <v>4198089</v>
      </c>
      <c r="H6">
        <v>1.6639999999999999</v>
      </c>
      <c r="I6">
        <f t="shared" si="0"/>
        <v>5.4593175853018376</v>
      </c>
      <c r="J6">
        <v>512</v>
      </c>
      <c r="K6">
        <v>3.32</v>
      </c>
      <c r="L6">
        <v>6.07</v>
      </c>
      <c r="M6">
        <f t="shared" si="1"/>
        <v>0.77793366738248637</v>
      </c>
    </row>
    <row r="7" spans="1:13" x14ac:dyDescent="0.3">
      <c r="A7" t="s">
        <v>7</v>
      </c>
      <c r="B7" t="s">
        <v>8</v>
      </c>
      <c r="C7" t="s">
        <v>9</v>
      </c>
      <c r="D7">
        <v>48</v>
      </c>
      <c r="E7" t="s">
        <v>15</v>
      </c>
      <c r="F7">
        <v>543608.9</v>
      </c>
      <c r="G7">
        <v>4198077</v>
      </c>
      <c r="H7">
        <v>1.724</v>
      </c>
      <c r="I7">
        <f t="shared" si="0"/>
        <v>5.6561679790026247</v>
      </c>
      <c r="J7">
        <v>512</v>
      </c>
      <c r="K7">
        <v>3.32</v>
      </c>
      <c r="L7">
        <v>6.07</v>
      </c>
      <c r="M7">
        <f t="shared" si="1"/>
        <v>0.84951562872822706</v>
      </c>
    </row>
    <row r="8" spans="1:13" x14ac:dyDescent="0.3">
      <c r="A8" t="s">
        <v>7</v>
      </c>
      <c r="B8" t="s">
        <v>8</v>
      </c>
      <c r="C8" t="s">
        <v>16</v>
      </c>
      <c r="D8">
        <v>0.5</v>
      </c>
      <c r="E8" t="s">
        <v>17</v>
      </c>
      <c r="F8">
        <v>543631.30000000005</v>
      </c>
      <c r="G8">
        <v>4198134</v>
      </c>
      <c r="H8">
        <v>1.5760000000000001</v>
      </c>
      <c r="I8">
        <f t="shared" si="0"/>
        <v>5.1706036745406827</v>
      </c>
      <c r="J8">
        <v>512</v>
      </c>
      <c r="K8">
        <v>3.32</v>
      </c>
      <c r="L8">
        <v>6.07</v>
      </c>
      <c r="M8">
        <f t="shared" si="1"/>
        <v>0.67294679074206643</v>
      </c>
    </row>
    <row r="9" spans="1:13" x14ac:dyDescent="0.3">
      <c r="A9" t="s">
        <v>7</v>
      </c>
      <c r="B9" t="s">
        <v>8</v>
      </c>
      <c r="C9" t="s">
        <v>16</v>
      </c>
      <c r="D9">
        <v>2</v>
      </c>
      <c r="E9" t="s">
        <v>18</v>
      </c>
      <c r="F9">
        <v>543630.1</v>
      </c>
      <c r="G9">
        <v>4198134</v>
      </c>
      <c r="H9">
        <v>1.605</v>
      </c>
      <c r="I9">
        <f t="shared" si="0"/>
        <v>5.265748031496063</v>
      </c>
      <c r="J9">
        <v>512</v>
      </c>
      <c r="K9">
        <v>3.32</v>
      </c>
      <c r="L9">
        <v>6.07</v>
      </c>
      <c r="M9">
        <f t="shared" si="1"/>
        <v>0.707544738725841</v>
      </c>
    </row>
    <row r="10" spans="1:13" x14ac:dyDescent="0.3">
      <c r="A10" t="s">
        <v>7</v>
      </c>
      <c r="B10" t="s">
        <v>8</v>
      </c>
      <c r="C10" t="s">
        <v>16</v>
      </c>
      <c r="D10">
        <v>6</v>
      </c>
      <c r="E10" t="s">
        <v>19</v>
      </c>
      <c r="F10">
        <v>543626.5</v>
      </c>
      <c r="G10">
        <v>4198132</v>
      </c>
      <c r="H10">
        <v>1.6719999999999999</v>
      </c>
      <c r="I10">
        <f t="shared" si="0"/>
        <v>5.485564304461942</v>
      </c>
      <c r="J10">
        <v>512</v>
      </c>
      <c r="K10">
        <v>3.32</v>
      </c>
      <c r="L10">
        <v>6.07</v>
      </c>
      <c r="M10">
        <f t="shared" si="1"/>
        <v>0.78747792889525159</v>
      </c>
    </row>
    <row r="11" spans="1:13" x14ac:dyDescent="0.3">
      <c r="A11" t="s">
        <v>7</v>
      </c>
      <c r="B11" t="s">
        <v>8</v>
      </c>
      <c r="C11" t="s">
        <v>16</v>
      </c>
      <c r="D11">
        <v>12</v>
      </c>
      <c r="E11" t="s">
        <v>20</v>
      </c>
      <c r="F11">
        <v>543621.19999999995</v>
      </c>
      <c r="G11">
        <v>4198129</v>
      </c>
      <c r="H11">
        <v>1.6639999999999999</v>
      </c>
      <c r="I11">
        <f t="shared" si="0"/>
        <v>5.4593175853018376</v>
      </c>
      <c r="J11">
        <v>512</v>
      </c>
      <c r="K11">
        <v>3.32</v>
      </c>
      <c r="L11">
        <v>6.07</v>
      </c>
      <c r="M11">
        <f t="shared" si="1"/>
        <v>0.77793366738248637</v>
      </c>
    </row>
    <row r="12" spans="1:13" x14ac:dyDescent="0.3">
      <c r="A12" t="s">
        <v>7</v>
      </c>
      <c r="B12" t="s">
        <v>8</v>
      </c>
      <c r="C12" t="s">
        <v>16</v>
      </c>
      <c r="D12">
        <v>24</v>
      </c>
      <c r="E12" t="s">
        <v>21</v>
      </c>
      <c r="F12">
        <v>543610.6</v>
      </c>
      <c r="G12">
        <v>4198123</v>
      </c>
      <c r="H12">
        <v>1.6419999999999999</v>
      </c>
      <c r="I12">
        <f t="shared" si="0"/>
        <v>5.3871391076115476</v>
      </c>
      <c r="J12">
        <v>512</v>
      </c>
      <c r="K12">
        <v>3.32</v>
      </c>
      <c r="L12">
        <v>6.07</v>
      </c>
      <c r="M12">
        <f t="shared" si="1"/>
        <v>0.75168694822238091</v>
      </c>
    </row>
    <row r="13" spans="1:13" x14ac:dyDescent="0.3">
      <c r="A13" t="s">
        <v>7</v>
      </c>
      <c r="B13" t="s">
        <v>8</v>
      </c>
      <c r="C13" t="s">
        <v>16</v>
      </c>
      <c r="D13">
        <v>48</v>
      </c>
      <c r="E13" t="s">
        <v>22</v>
      </c>
      <c r="F13">
        <v>543589.6</v>
      </c>
      <c r="G13">
        <v>4198112</v>
      </c>
      <c r="H13">
        <v>1.6919999999999999</v>
      </c>
      <c r="I13">
        <f t="shared" si="0"/>
        <v>5.5511811023622046</v>
      </c>
      <c r="J13">
        <v>512</v>
      </c>
      <c r="K13">
        <v>3.32</v>
      </c>
      <c r="L13">
        <v>6.07</v>
      </c>
      <c r="M13">
        <f t="shared" si="1"/>
        <v>0.8113385826771653</v>
      </c>
    </row>
    <row r="14" spans="1:13" x14ac:dyDescent="0.3">
      <c r="A14" t="s">
        <v>7</v>
      </c>
      <c r="B14" t="s">
        <v>23</v>
      </c>
      <c r="C14" t="s">
        <v>24</v>
      </c>
      <c r="D14">
        <v>0.5</v>
      </c>
      <c r="E14" t="s">
        <v>25</v>
      </c>
      <c r="F14">
        <v>543453</v>
      </c>
      <c r="G14">
        <v>4198193</v>
      </c>
      <c r="H14">
        <v>1.792</v>
      </c>
      <c r="I14">
        <f t="shared" si="0"/>
        <v>5.879265091863517</v>
      </c>
      <c r="J14">
        <v>512</v>
      </c>
      <c r="K14">
        <v>3.32</v>
      </c>
      <c r="L14">
        <v>6.07</v>
      </c>
      <c r="M14">
        <f t="shared" si="1"/>
        <v>0.9306418515867334</v>
      </c>
    </row>
    <row r="15" spans="1:13" x14ac:dyDescent="0.3">
      <c r="A15" t="s">
        <v>7</v>
      </c>
      <c r="B15" t="s">
        <v>23</v>
      </c>
      <c r="C15" t="s">
        <v>24</v>
      </c>
      <c r="D15">
        <v>2</v>
      </c>
      <c r="E15" t="s">
        <v>26</v>
      </c>
      <c r="F15">
        <v>543453.30000000005</v>
      </c>
      <c r="G15">
        <v>4198192</v>
      </c>
      <c r="H15">
        <v>1.766</v>
      </c>
      <c r="I15">
        <f t="shared" si="0"/>
        <v>5.7939632545931756</v>
      </c>
      <c r="J15">
        <v>512</v>
      </c>
      <c r="K15">
        <v>3.32</v>
      </c>
      <c r="L15">
        <v>6.07</v>
      </c>
      <c r="M15">
        <f t="shared" si="1"/>
        <v>0.89962300167024556</v>
      </c>
    </row>
    <row r="16" spans="1:13" x14ac:dyDescent="0.3">
      <c r="A16" t="s">
        <v>7</v>
      </c>
      <c r="B16" t="s">
        <v>23</v>
      </c>
      <c r="C16" t="s">
        <v>24</v>
      </c>
      <c r="D16">
        <v>6</v>
      </c>
      <c r="E16" t="s">
        <v>27</v>
      </c>
      <c r="F16">
        <v>543453.80000000005</v>
      </c>
      <c r="G16">
        <v>4198188</v>
      </c>
      <c r="H16">
        <v>1.796</v>
      </c>
      <c r="I16">
        <f t="shared" si="0"/>
        <v>5.8923884514435692</v>
      </c>
      <c r="J16">
        <v>512</v>
      </c>
      <c r="K16">
        <v>3.32</v>
      </c>
      <c r="L16">
        <v>6.07</v>
      </c>
      <c r="M16">
        <f t="shared" si="1"/>
        <v>0.93541398234311601</v>
      </c>
    </row>
    <row r="17" spans="1:13" x14ac:dyDescent="0.3">
      <c r="A17" t="s">
        <v>7</v>
      </c>
      <c r="B17" t="s">
        <v>23</v>
      </c>
      <c r="C17" t="s">
        <v>24</v>
      </c>
      <c r="D17">
        <v>12</v>
      </c>
      <c r="E17" t="s">
        <v>28</v>
      </c>
      <c r="F17">
        <v>543454.5</v>
      </c>
      <c r="G17">
        <v>4198182</v>
      </c>
      <c r="H17">
        <v>1.7370000000000001</v>
      </c>
      <c r="I17">
        <f t="shared" si="0"/>
        <v>5.6988188976377954</v>
      </c>
      <c r="J17">
        <v>512</v>
      </c>
      <c r="K17">
        <v>3.32</v>
      </c>
      <c r="L17">
        <v>6.07</v>
      </c>
      <c r="M17">
        <f t="shared" si="1"/>
        <v>0.86502505368647098</v>
      </c>
    </row>
    <row r="18" spans="1:13" x14ac:dyDescent="0.3">
      <c r="A18" t="s">
        <v>7</v>
      </c>
      <c r="B18" t="s">
        <v>23</v>
      </c>
      <c r="C18" t="s">
        <v>24</v>
      </c>
      <c r="D18">
        <v>24</v>
      </c>
      <c r="E18" t="s">
        <v>29</v>
      </c>
      <c r="F18">
        <v>543455.9</v>
      </c>
      <c r="G18">
        <v>4198170</v>
      </c>
      <c r="H18">
        <v>1.7130000000000001</v>
      </c>
      <c r="I18">
        <f t="shared" si="0"/>
        <v>5.6200787401574805</v>
      </c>
      <c r="J18">
        <v>512</v>
      </c>
      <c r="K18">
        <v>3.32</v>
      </c>
      <c r="L18">
        <v>6.07</v>
      </c>
      <c r="M18">
        <f t="shared" si="1"/>
        <v>0.83639226914817466</v>
      </c>
    </row>
    <row r="19" spans="1:13" x14ac:dyDescent="0.3">
      <c r="A19" t="s">
        <v>7</v>
      </c>
      <c r="B19" t="s">
        <v>23</v>
      </c>
      <c r="C19" t="s">
        <v>24</v>
      </c>
      <c r="D19">
        <v>48</v>
      </c>
      <c r="E19" t="s">
        <v>30</v>
      </c>
      <c r="F19">
        <v>543458.80000000005</v>
      </c>
      <c r="G19">
        <v>4198146</v>
      </c>
      <c r="H19">
        <v>1.73</v>
      </c>
      <c r="I19">
        <f t="shared" si="0"/>
        <v>5.6758530183727034</v>
      </c>
      <c r="J19">
        <v>512</v>
      </c>
      <c r="K19">
        <v>3.32</v>
      </c>
      <c r="L19">
        <v>6.07</v>
      </c>
      <c r="M19">
        <f t="shared" si="1"/>
        <v>0.85667382486280119</v>
      </c>
    </row>
    <row r="20" spans="1:13" x14ac:dyDescent="0.3">
      <c r="A20" t="s">
        <v>7</v>
      </c>
      <c r="B20" t="s">
        <v>23</v>
      </c>
      <c r="C20" t="s">
        <v>31</v>
      </c>
      <c r="D20">
        <v>0.5</v>
      </c>
      <c r="E20" t="s">
        <v>32</v>
      </c>
      <c r="F20">
        <v>543425</v>
      </c>
      <c r="G20">
        <v>4198184</v>
      </c>
      <c r="H20">
        <v>1.8420000000000001</v>
      </c>
      <c r="I20">
        <f t="shared" si="0"/>
        <v>6.0433070866141732</v>
      </c>
      <c r="J20">
        <v>512</v>
      </c>
      <c r="K20">
        <v>3.32</v>
      </c>
      <c r="L20">
        <v>6.07</v>
      </c>
      <c r="M20">
        <f t="shared" si="1"/>
        <v>0.99029348604151746</v>
      </c>
    </row>
    <row r="21" spans="1:13" x14ac:dyDescent="0.3">
      <c r="A21" t="s">
        <v>7</v>
      </c>
      <c r="B21" t="s">
        <v>23</v>
      </c>
      <c r="C21" t="s">
        <v>31</v>
      </c>
      <c r="D21">
        <v>2</v>
      </c>
      <c r="E21" t="s">
        <v>33</v>
      </c>
      <c r="F21">
        <v>543424.80000000005</v>
      </c>
      <c r="G21">
        <v>4198182</v>
      </c>
      <c r="H21">
        <v>1.829</v>
      </c>
      <c r="I21">
        <f t="shared" si="0"/>
        <v>6.0006561679790025</v>
      </c>
      <c r="J21">
        <v>512</v>
      </c>
      <c r="K21">
        <v>3.32</v>
      </c>
      <c r="L21">
        <v>6.07</v>
      </c>
      <c r="M21">
        <f t="shared" si="1"/>
        <v>0.97478406108327353</v>
      </c>
    </row>
    <row r="22" spans="1:13" x14ac:dyDescent="0.3">
      <c r="A22" t="s">
        <v>7</v>
      </c>
      <c r="B22" t="s">
        <v>23</v>
      </c>
      <c r="C22" t="s">
        <v>31</v>
      </c>
      <c r="D22">
        <v>6</v>
      </c>
      <c r="E22" t="s">
        <v>34</v>
      </c>
      <c r="F22">
        <v>543425</v>
      </c>
      <c r="G22">
        <v>4198179</v>
      </c>
      <c r="H22">
        <v>1.8580000000000001</v>
      </c>
      <c r="I22">
        <f t="shared" si="0"/>
        <v>6.0958005249343836</v>
      </c>
      <c r="J22">
        <v>512</v>
      </c>
      <c r="K22">
        <v>3.32</v>
      </c>
      <c r="L22">
        <v>6.07</v>
      </c>
      <c r="M22">
        <f t="shared" si="1"/>
        <v>1.0093820090670484</v>
      </c>
    </row>
    <row r="23" spans="1:13" x14ac:dyDescent="0.3">
      <c r="A23" t="s">
        <v>7</v>
      </c>
      <c r="B23" t="s">
        <v>23</v>
      </c>
      <c r="C23" t="s">
        <v>31</v>
      </c>
      <c r="D23">
        <v>12</v>
      </c>
      <c r="E23" t="s">
        <v>35</v>
      </c>
      <c r="F23">
        <v>543425.1</v>
      </c>
      <c r="G23">
        <v>4198173</v>
      </c>
      <c r="H23">
        <v>1.7909999999999999</v>
      </c>
      <c r="I23">
        <f t="shared" si="0"/>
        <v>5.8759842519685037</v>
      </c>
      <c r="J23">
        <v>512</v>
      </c>
      <c r="K23">
        <v>3.32</v>
      </c>
      <c r="L23">
        <v>6.07</v>
      </c>
      <c r="M23">
        <f t="shared" si="1"/>
        <v>0.92944881889763764</v>
      </c>
    </row>
    <row r="24" spans="1:13" x14ac:dyDescent="0.3">
      <c r="A24" t="s">
        <v>7</v>
      </c>
      <c r="B24" t="s">
        <v>23</v>
      </c>
      <c r="C24" t="s">
        <v>31</v>
      </c>
      <c r="D24">
        <v>24</v>
      </c>
      <c r="E24" t="s">
        <v>36</v>
      </c>
      <c r="F24">
        <v>543425.30000000005</v>
      </c>
      <c r="G24">
        <v>4198161</v>
      </c>
      <c r="H24">
        <v>1.7649999999999999</v>
      </c>
      <c r="I24">
        <f t="shared" si="0"/>
        <v>5.7906824146981624</v>
      </c>
      <c r="J24">
        <v>512</v>
      </c>
      <c r="K24">
        <v>3.32</v>
      </c>
      <c r="L24">
        <v>6.07</v>
      </c>
      <c r="M24">
        <f t="shared" si="1"/>
        <v>0.89842996898114991</v>
      </c>
    </row>
    <row r="25" spans="1:13" x14ac:dyDescent="0.3">
      <c r="A25" t="s">
        <v>7</v>
      </c>
      <c r="B25" t="s">
        <v>23</v>
      </c>
      <c r="C25" t="s">
        <v>31</v>
      </c>
      <c r="D25">
        <v>48</v>
      </c>
      <c r="E25" t="s">
        <v>37</v>
      </c>
      <c r="F25">
        <v>543425.9</v>
      </c>
      <c r="G25">
        <v>4198137</v>
      </c>
      <c r="H25">
        <v>1.728</v>
      </c>
      <c r="I25">
        <f t="shared" si="0"/>
        <v>5.6692913385826769</v>
      </c>
      <c r="J25">
        <v>512</v>
      </c>
      <c r="K25">
        <v>3.32</v>
      </c>
      <c r="L25">
        <v>6.07</v>
      </c>
      <c r="M25">
        <f t="shared" si="1"/>
        <v>0.85428775948460967</v>
      </c>
    </row>
    <row r="26" spans="1:13" x14ac:dyDescent="0.3">
      <c r="A26" t="s">
        <v>38</v>
      </c>
      <c r="B26" t="s">
        <v>8</v>
      </c>
      <c r="C26" t="s">
        <v>9</v>
      </c>
      <c r="D26">
        <v>0.5</v>
      </c>
      <c r="E26" t="s">
        <v>10</v>
      </c>
      <c r="F26">
        <v>546134.4</v>
      </c>
      <c r="G26">
        <v>4218696</v>
      </c>
      <c r="H26">
        <v>0.73499999999999999</v>
      </c>
      <c r="I26">
        <f t="shared" si="0"/>
        <v>2.4114173228346458</v>
      </c>
      <c r="J26">
        <v>152</v>
      </c>
      <c r="K26">
        <v>3.395</v>
      </c>
      <c r="L26">
        <v>6.25</v>
      </c>
      <c r="M26">
        <f t="shared" si="1"/>
        <v>-0.34451232124881059</v>
      </c>
    </row>
    <row r="27" spans="1:13" x14ac:dyDescent="0.3">
      <c r="A27" t="s">
        <v>38</v>
      </c>
      <c r="B27" t="s">
        <v>8</v>
      </c>
      <c r="C27" t="s">
        <v>9</v>
      </c>
      <c r="D27">
        <v>2</v>
      </c>
      <c r="E27" t="s">
        <v>11</v>
      </c>
      <c r="F27">
        <v>546134</v>
      </c>
      <c r="G27">
        <v>4218698</v>
      </c>
      <c r="H27">
        <v>0.751</v>
      </c>
      <c r="I27">
        <f t="shared" si="0"/>
        <v>2.4639107611548559</v>
      </c>
      <c r="J27">
        <v>152</v>
      </c>
      <c r="K27">
        <v>3.395</v>
      </c>
      <c r="L27">
        <v>6.25</v>
      </c>
      <c r="M27">
        <f t="shared" si="1"/>
        <v>-0.32612582796677553</v>
      </c>
    </row>
    <row r="28" spans="1:13" x14ac:dyDescent="0.3">
      <c r="A28" t="s">
        <v>38</v>
      </c>
      <c r="B28" t="s">
        <v>8</v>
      </c>
      <c r="C28" t="s">
        <v>9</v>
      </c>
      <c r="D28">
        <v>6</v>
      </c>
      <c r="E28" t="s">
        <v>12</v>
      </c>
      <c r="F28">
        <v>546132.80000000005</v>
      </c>
      <c r="G28">
        <v>4218702</v>
      </c>
      <c r="H28">
        <v>0.88900000000000001</v>
      </c>
      <c r="I28">
        <f t="shared" si="0"/>
        <v>2.9166666666666665</v>
      </c>
      <c r="J28">
        <v>152</v>
      </c>
      <c r="K28">
        <v>3.395</v>
      </c>
      <c r="L28">
        <v>6.25</v>
      </c>
      <c r="M28">
        <f t="shared" si="1"/>
        <v>-0.16754232340922365</v>
      </c>
    </row>
    <row r="29" spans="1:13" x14ac:dyDescent="0.3">
      <c r="A29" t="s">
        <v>38</v>
      </c>
      <c r="B29" t="s">
        <v>8</v>
      </c>
      <c r="C29" t="s">
        <v>9</v>
      </c>
      <c r="D29">
        <v>12</v>
      </c>
      <c r="E29" t="s">
        <v>13</v>
      </c>
      <c r="F29">
        <v>546131.19999999995</v>
      </c>
      <c r="G29">
        <v>4218707</v>
      </c>
      <c r="H29">
        <v>1.069</v>
      </c>
      <c r="I29">
        <f t="shared" si="0"/>
        <v>3.507217847769029</v>
      </c>
      <c r="J29">
        <v>152</v>
      </c>
      <c r="K29">
        <v>3.395</v>
      </c>
      <c r="L29">
        <v>6.25</v>
      </c>
      <c r="M29">
        <f t="shared" si="1"/>
        <v>3.9305726013670397E-2</v>
      </c>
    </row>
    <row r="30" spans="1:13" x14ac:dyDescent="0.3">
      <c r="A30" t="s">
        <v>38</v>
      </c>
      <c r="B30" t="s">
        <v>8</v>
      </c>
      <c r="C30" t="s">
        <v>9</v>
      </c>
      <c r="D30">
        <v>24</v>
      </c>
      <c r="E30" t="s">
        <v>14</v>
      </c>
      <c r="F30">
        <v>546127.80000000005</v>
      </c>
      <c r="G30">
        <v>4218719</v>
      </c>
      <c r="H30">
        <v>1.7130000000000001</v>
      </c>
      <c r="I30">
        <f t="shared" si="0"/>
        <v>5.6200787401574805</v>
      </c>
      <c r="J30">
        <v>152</v>
      </c>
      <c r="K30">
        <v>3.395</v>
      </c>
      <c r="L30">
        <v>6.25</v>
      </c>
      <c r="M30">
        <f t="shared" si="1"/>
        <v>0.77936208061557988</v>
      </c>
    </row>
    <row r="31" spans="1:13" x14ac:dyDescent="0.3">
      <c r="A31" t="s">
        <v>38</v>
      </c>
      <c r="B31" t="s">
        <v>8</v>
      </c>
      <c r="C31" t="s">
        <v>9</v>
      </c>
      <c r="D31">
        <v>48</v>
      </c>
      <c r="E31" t="s">
        <v>15</v>
      </c>
      <c r="F31">
        <v>546121.30000000005</v>
      </c>
      <c r="G31">
        <v>4218742</v>
      </c>
      <c r="H31">
        <v>2.0099999999999998</v>
      </c>
      <c r="I31">
        <f t="shared" si="0"/>
        <v>6.5944881889763769</v>
      </c>
      <c r="J31">
        <v>152</v>
      </c>
      <c r="K31">
        <v>3.395</v>
      </c>
      <c r="L31">
        <v>6.25</v>
      </c>
      <c r="M31">
        <f t="shared" si="1"/>
        <v>1.1206613621633543</v>
      </c>
    </row>
    <row r="32" spans="1:13" x14ac:dyDescent="0.3">
      <c r="A32" t="s">
        <v>38</v>
      </c>
      <c r="B32" t="s">
        <v>8</v>
      </c>
      <c r="C32" t="s">
        <v>9</v>
      </c>
      <c r="D32">
        <v>72</v>
      </c>
      <c r="E32" t="s">
        <v>39</v>
      </c>
      <c r="F32">
        <v>546114.69999999995</v>
      </c>
      <c r="G32">
        <v>4218765</v>
      </c>
      <c r="H32">
        <v>2.04</v>
      </c>
      <c r="I32">
        <f t="shared" si="0"/>
        <v>6.6929133858267713</v>
      </c>
      <c r="J32">
        <v>152</v>
      </c>
      <c r="K32">
        <v>3.395</v>
      </c>
      <c r="L32">
        <v>6.25</v>
      </c>
      <c r="M32">
        <f t="shared" si="1"/>
        <v>1.1551360370671704</v>
      </c>
    </row>
    <row r="33" spans="1:13" x14ac:dyDescent="0.3">
      <c r="A33" t="s">
        <v>38</v>
      </c>
      <c r="B33" t="s">
        <v>8</v>
      </c>
      <c r="C33" t="s">
        <v>9</v>
      </c>
      <c r="D33">
        <v>150</v>
      </c>
      <c r="E33" t="s">
        <v>40</v>
      </c>
      <c r="F33">
        <v>546094</v>
      </c>
      <c r="G33">
        <v>4218840</v>
      </c>
      <c r="H33">
        <v>1.974</v>
      </c>
      <c r="I33">
        <f t="shared" si="0"/>
        <v>6.4763779527559056</v>
      </c>
      <c r="J33">
        <v>152</v>
      </c>
      <c r="K33">
        <v>3.395</v>
      </c>
      <c r="L33">
        <v>6.25</v>
      </c>
      <c r="M33">
        <f t="shared" si="1"/>
        <v>1.0792917522787759</v>
      </c>
    </row>
    <row r="34" spans="1:13" x14ac:dyDescent="0.3">
      <c r="A34" t="s">
        <v>38</v>
      </c>
      <c r="B34" t="s">
        <v>8</v>
      </c>
      <c r="C34" t="s">
        <v>16</v>
      </c>
      <c r="D34">
        <v>0.5</v>
      </c>
      <c r="E34" t="s">
        <v>17</v>
      </c>
      <c r="F34">
        <v>546094.4</v>
      </c>
      <c r="G34">
        <v>4218689</v>
      </c>
      <c r="H34">
        <v>0.77400000000000002</v>
      </c>
      <c r="I34">
        <f t="shared" si="0"/>
        <v>2.5393700787401574</v>
      </c>
      <c r="J34">
        <v>152</v>
      </c>
      <c r="K34">
        <v>3.395</v>
      </c>
      <c r="L34">
        <v>6.25</v>
      </c>
      <c r="M34">
        <f t="shared" si="1"/>
        <v>-0.29969524387385033</v>
      </c>
    </row>
    <row r="35" spans="1:13" x14ac:dyDescent="0.3">
      <c r="A35" t="s">
        <v>38</v>
      </c>
      <c r="B35" t="s">
        <v>8</v>
      </c>
      <c r="C35" t="s">
        <v>16</v>
      </c>
      <c r="D35">
        <v>2</v>
      </c>
      <c r="E35" t="s">
        <v>18</v>
      </c>
      <c r="F35">
        <v>546094.4</v>
      </c>
      <c r="G35">
        <v>4218690</v>
      </c>
      <c r="H35">
        <v>0.80500000000000005</v>
      </c>
      <c r="I35">
        <f t="shared" si="0"/>
        <v>2.6410761154855646</v>
      </c>
      <c r="J35">
        <v>152</v>
      </c>
      <c r="K35">
        <v>3.395</v>
      </c>
      <c r="L35">
        <v>6.25</v>
      </c>
      <c r="M35">
        <f t="shared" si="1"/>
        <v>-0.26407141313990729</v>
      </c>
    </row>
    <row r="36" spans="1:13" x14ac:dyDescent="0.3">
      <c r="A36" t="s">
        <v>38</v>
      </c>
      <c r="B36" t="s">
        <v>8</v>
      </c>
      <c r="C36" t="s">
        <v>16</v>
      </c>
      <c r="D36">
        <v>6</v>
      </c>
      <c r="E36" t="s">
        <v>19</v>
      </c>
      <c r="F36">
        <v>546094.1</v>
      </c>
      <c r="G36">
        <v>4218694</v>
      </c>
      <c r="H36">
        <v>0.83699999999999997</v>
      </c>
      <c r="I36">
        <f t="shared" si="0"/>
        <v>2.7460629921259843</v>
      </c>
      <c r="J36">
        <v>152</v>
      </c>
      <c r="K36">
        <v>3.395</v>
      </c>
      <c r="L36">
        <v>6.25</v>
      </c>
      <c r="M36">
        <f t="shared" si="1"/>
        <v>-0.2272984265758374</v>
      </c>
    </row>
    <row r="37" spans="1:13" x14ac:dyDescent="0.3">
      <c r="A37" t="s">
        <v>38</v>
      </c>
      <c r="B37" t="s">
        <v>8</v>
      </c>
      <c r="C37" t="s">
        <v>16</v>
      </c>
      <c r="D37">
        <v>12</v>
      </c>
      <c r="E37" t="s">
        <v>20</v>
      </c>
      <c r="F37">
        <v>546093.80000000005</v>
      </c>
      <c r="G37">
        <v>4218700</v>
      </c>
      <c r="H37">
        <v>1.042</v>
      </c>
      <c r="I37">
        <f t="shared" si="0"/>
        <v>3.4186351706036744</v>
      </c>
      <c r="J37">
        <v>152</v>
      </c>
      <c r="K37">
        <v>3.395</v>
      </c>
      <c r="L37">
        <v>6.25</v>
      </c>
      <c r="M37">
        <f t="shared" si="1"/>
        <v>8.2785186002362066E-3</v>
      </c>
    </row>
    <row r="38" spans="1:13" x14ac:dyDescent="0.3">
      <c r="A38" t="s">
        <v>38</v>
      </c>
      <c r="B38" t="s">
        <v>8</v>
      </c>
      <c r="C38" t="s">
        <v>16</v>
      </c>
      <c r="D38">
        <v>24</v>
      </c>
      <c r="E38" t="s">
        <v>21</v>
      </c>
      <c r="F38">
        <v>546092.5</v>
      </c>
      <c r="G38">
        <v>4218712</v>
      </c>
      <c r="H38">
        <v>1.5629999999999999</v>
      </c>
      <c r="I38">
        <f t="shared" si="0"/>
        <v>5.127952755905512</v>
      </c>
      <c r="J38">
        <v>152</v>
      </c>
      <c r="K38">
        <v>3.395</v>
      </c>
      <c r="L38">
        <v>6.25</v>
      </c>
      <c r="M38">
        <f t="shared" si="1"/>
        <v>0.60698870609650157</v>
      </c>
    </row>
    <row r="39" spans="1:13" x14ac:dyDescent="0.3">
      <c r="A39" t="s">
        <v>38</v>
      </c>
      <c r="B39" t="s">
        <v>8</v>
      </c>
      <c r="C39" t="s">
        <v>16</v>
      </c>
      <c r="D39">
        <v>48</v>
      </c>
      <c r="E39" t="s">
        <v>22</v>
      </c>
      <c r="F39">
        <v>546090.1</v>
      </c>
      <c r="G39">
        <v>4218736</v>
      </c>
      <c r="H39">
        <v>1.978</v>
      </c>
      <c r="I39">
        <f t="shared" si="0"/>
        <v>6.4895013123359577</v>
      </c>
      <c r="J39">
        <v>152</v>
      </c>
      <c r="K39">
        <v>3.395</v>
      </c>
      <c r="L39">
        <v>6.25</v>
      </c>
      <c r="M39">
        <f t="shared" si="1"/>
        <v>1.0838883755992847</v>
      </c>
    </row>
    <row r="40" spans="1:13" x14ac:dyDescent="0.3">
      <c r="A40" t="s">
        <v>38</v>
      </c>
      <c r="B40" t="s">
        <v>8</v>
      </c>
      <c r="C40" t="s">
        <v>16</v>
      </c>
      <c r="D40">
        <v>72</v>
      </c>
      <c r="E40" t="s">
        <v>41</v>
      </c>
      <c r="F40">
        <v>546084.30000000005</v>
      </c>
      <c r="G40">
        <v>4218759</v>
      </c>
      <c r="H40">
        <v>2.012</v>
      </c>
      <c r="I40">
        <f t="shared" si="0"/>
        <v>6.6010498687664043</v>
      </c>
      <c r="J40">
        <v>152</v>
      </c>
      <c r="K40">
        <v>3.395</v>
      </c>
      <c r="L40">
        <v>6.25</v>
      </c>
      <c r="M40">
        <f t="shared" si="1"/>
        <v>1.1229596738236092</v>
      </c>
    </row>
    <row r="41" spans="1:13" x14ac:dyDescent="0.3">
      <c r="A41" t="s">
        <v>38</v>
      </c>
      <c r="B41" t="s">
        <v>8</v>
      </c>
      <c r="C41" t="s">
        <v>16</v>
      </c>
      <c r="D41">
        <v>150</v>
      </c>
      <c r="E41" t="s">
        <v>42</v>
      </c>
      <c r="F41">
        <v>546066.6</v>
      </c>
      <c r="G41">
        <v>4218835</v>
      </c>
      <c r="H41">
        <v>2.0139999999999998</v>
      </c>
      <c r="I41">
        <f t="shared" si="0"/>
        <v>6.6076115485564291</v>
      </c>
      <c r="J41">
        <v>152</v>
      </c>
      <c r="K41">
        <v>3.395</v>
      </c>
      <c r="L41">
        <v>6.25</v>
      </c>
      <c r="M41">
        <f t="shared" si="1"/>
        <v>1.1252579854838631</v>
      </c>
    </row>
    <row r="42" spans="1:13" x14ac:dyDescent="0.3">
      <c r="A42" t="s">
        <v>38</v>
      </c>
      <c r="B42" t="s">
        <v>8</v>
      </c>
      <c r="C42" t="s">
        <v>24</v>
      </c>
      <c r="D42">
        <v>0.5</v>
      </c>
      <c r="E42" t="s">
        <v>25</v>
      </c>
      <c r="F42">
        <v>544872.19999999995</v>
      </c>
      <c r="G42">
        <v>4218346</v>
      </c>
      <c r="H42">
        <v>0.77200000000000002</v>
      </c>
      <c r="I42">
        <f t="shared" si="0"/>
        <v>2.5328083989501313</v>
      </c>
      <c r="J42">
        <v>152</v>
      </c>
      <c r="K42">
        <v>3.395</v>
      </c>
      <c r="L42">
        <v>6.25</v>
      </c>
      <c r="M42">
        <f t="shared" si="1"/>
        <v>-0.30199355553410462</v>
      </c>
    </row>
    <row r="43" spans="1:13" x14ac:dyDescent="0.3">
      <c r="A43" t="s">
        <v>38</v>
      </c>
      <c r="B43" t="s">
        <v>8</v>
      </c>
      <c r="C43" t="s">
        <v>24</v>
      </c>
      <c r="D43">
        <v>2</v>
      </c>
      <c r="E43" t="s">
        <v>26</v>
      </c>
      <c r="F43">
        <v>544872.19999999995</v>
      </c>
      <c r="G43">
        <v>4218348</v>
      </c>
      <c r="H43">
        <v>0.83399999999999996</v>
      </c>
      <c r="I43">
        <f t="shared" si="0"/>
        <v>2.7362204724409449</v>
      </c>
      <c r="J43">
        <v>152</v>
      </c>
      <c r="K43">
        <v>3.395</v>
      </c>
      <c r="L43">
        <v>6.25</v>
      </c>
      <c r="M43">
        <f t="shared" si="1"/>
        <v>-0.23074589406621895</v>
      </c>
    </row>
    <row r="44" spans="1:13" x14ac:dyDescent="0.3">
      <c r="A44" t="s">
        <v>38</v>
      </c>
      <c r="B44" t="s">
        <v>8</v>
      </c>
      <c r="C44" t="s">
        <v>24</v>
      </c>
      <c r="D44">
        <v>6</v>
      </c>
      <c r="E44" t="s">
        <v>27</v>
      </c>
      <c r="F44">
        <v>544871.5</v>
      </c>
      <c r="G44">
        <v>4218352</v>
      </c>
      <c r="H44">
        <v>1.014</v>
      </c>
      <c r="I44">
        <f t="shared" si="0"/>
        <v>3.326771653543307</v>
      </c>
      <c r="J44">
        <v>152</v>
      </c>
      <c r="K44">
        <v>3.395</v>
      </c>
      <c r="L44">
        <v>6.25</v>
      </c>
      <c r="M44">
        <f t="shared" si="1"/>
        <v>-2.3897844643325068E-2</v>
      </c>
    </row>
    <row r="45" spans="1:13" x14ac:dyDescent="0.3">
      <c r="A45" t="s">
        <v>38</v>
      </c>
      <c r="B45" t="s">
        <v>8</v>
      </c>
      <c r="C45" t="s">
        <v>24</v>
      </c>
      <c r="D45">
        <v>12</v>
      </c>
      <c r="E45" t="s">
        <v>28</v>
      </c>
      <c r="F45">
        <v>544870.80000000005</v>
      </c>
      <c r="G45">
        <v>4218357</v>
      </c>
      <c r="H45">
        <v>1.2669999999999999</v>
      </c>
      <c r="I45">
        <f t="shared" si="0"/>
        <v>4.1568241469816263</v>
      </c>
      <c r="J45">
        <v>152</v>
      </c>
      <c r="K45">
        <v>3.395</v>
      </c>
      <c r="L45">
        <v>6.25</v>
      </c>
      <c r="M45">
        <f t="shared" si="1"/>
        <v>0.26683858037885333</v>
      </c>
    </row>
    <row r="46" spans="1:13" x14ac:dyDescent="0.3">
      <c r="A46" t="s">
        <v>38</v>
      </c>
      <c r="B46" t="s">
        <v>8</v>
      </c>
      <c r="C46" t="s">
        <v>24</v>
      </c>
      <c r="D46">
        <v>24</v>
      </c>
      <c r="E46" t="s">
        <v>29</v>
      </c>
      <c r="F46">
        <v>544867.69999999995</v>
      </c>
      <c r="G46">
        <v>4218369</v>
      </c>
      <c r="H46">
        <v>1.6020000000000001</v>
      </c>
      <c r="I46">
        <f t="shared" si="0"/>
        <v>5.2559055118110241</v>
      </c>
      <c r="J46">
        <v>152</v>
      </c>
      <c r="K46">
        <v>3.395</v>
      </c>
      <c r="L46">
        <v>6.25</v>
      </c>
      <c r="M46">
        <f t="shared" si="1"/>
        <v>0.65180578347146201</v>
      </c>
    </row>
    <row r="47" spans="1:13" x14ac:dyDescent="0.3">
      <c r="A47" t="s">
        <v>38</v>
      </c>
      <c r="B47" t="s">
        <v>8</v>
      </c>
      <c r="C47" t="s">
        <v>24</v>
      </c>
      <c r="D47">
        <v>48</v>
      </c>
      <c r="E47" t="s">
        <v>30</v>
      </c>
      <c r="F47">
        <v>544861.4</v>
      </c>
      <c r="G47">
        <v>4218392</v>
      </c>
      <c r="H47">
        <v>1.9259999999999999</v>
      </c>
      <c r="I47">
        <f t="shared" si="0"/>
        <v>6.3188976377952759</v>
      </c>
      <c r="J47">
        <v>152</v>
      </c>
      <c r="K47">
        <v>3.395</v>
      </c>
      <c r="L47">
        <v>6.25</v>
      </c>
      <c r="M47">
        <f t="shared" si="1"/>
        <v>1.0241322724326711</v>
      </c>
    </row>
    <row r="48" spans="1:13" x14ac:dyDescent="0.3">
      <c r="A48" t="s">
        <v>38</v>
      </c>
      <c r="B48" t="s">
        <v>8</v>
      </c>
      <c r="C48" t="s">
        <v>24</v>
      </c>
      <c r="D48">
        <v>72</v>
      </c>
      <c r="E48" t="s">
        <v>43</v>
      </c>
      <c r="F48">
        <v>544857.1</v>
      </c>
      <c r="G48">
        <v>4218416</v>
      </c>
      <c r="H48">
        <v>2.0179999999999998</v>
      </c>
      <c r="I48">
        <f t="shared" si="0"/>
        <v>6.6207349081364812</v>
      </c>
      <c r="J48">
        <v>152</v>
      </c>
      <c r="K48">
        <v>3.395</v>
      </c>
      <c r="L48">
        <v>6.25</v>
      </c>
      <c r="M48">
        <f t="shared" si="1"/>
        <v>1.1298546088043717</v>
      </c>
    </row>
    <row r="49" spans="1:13" x14ac:dyDescent="0.3">
      <c r="A49" t="s">
        <v>38</v>
      </c>
      <c r="B49" t="s">
        <v>8</v>
      </c>
      <c r="C49" t="s">
        <v>24</v>
      </c>
      <c r="D49">
        <v>150</v>
      </c>
      <c r="E49" t="s">
        <v>44</v>
      </c>
      <c r="F49">
        <v>544837.9</v>
      </c>
      <c r="G49">
        <v>4218491</v>
      </c>
      <c r="H49">
        <v>1.988</v>
      </c>
      <c r="I49">
        <f t="shared" si="0"/>
        <v>6.5223097112860895</v>
      </c>
      <c r="J49">
        <v>152</v>
      </c>
      <c r="K49">
        <v>3.395</v>
      </c>
      <c r="L49">
        <v>6.25</v>
      </c>
      <c r="M49">
        <f t="shared" si="1"/>
        <v>1.0953799339005568</v>
      </c>
    </row>
    <row r="50" spans="1:13" x14ac:dyDescent="0.3">
      <c r="A50" t="s">
        <v>38</v>
      </c>
      <c r="B50" t="s">
        <v>8</v>
      </c>
      <c r="C50" t="s">
        <v>31</v>
      </c>
      <c r="D50">
        <v>0.5</v>
      </c>
      <c r="E50" t="s">
        <v>32</v>
      </c>
      <c r="F50">
        <v>544839.5</v>
      </c>
      <c r="G50">
        <v>4218340</v>
      </c>
      <c r="H50">
        <v>0.78800000000000003</v>
      </c>
      <c r="I50">
        <f t="shared" si="0"/>
        <v>2.5853018372703414</v>
      </c>
      <c r="J50">
        <v>152</v>
      </c>
      <c r="K50">
        <v>3.395</v>
      </c>
      <c r="L50">
        <v>6.25</v>
      </c>
      <c r="M50">
        <f t="shared" si="1"/>
        <v>-0.28360706225206961</v>
      </c>
    </row>
    <row r="51" spans="1:13" x14ac:dyDescent="0.3">
      <c r="A51" t="s">
        <v>38</v>
      </c>
      <c r="B51" t="s">
        <v>8</v>
      </c>
      <c r="C51" t="s">
        <v>31</v>
      </c>
      <c r="D51">
        <v>2</v>
      </c>
      <c r="E51" t="s">
        <v>33</v>
      </c>
      <c r="F51">
        <v>544839.19999999995</v>
      </c>
      <c r="G51">
        <v>4218342</v>
      </c>
      <c r="H51">
        <v>0.82399999999999995</v>
      </c>
      <c r="I51">
        <f t="shared" si="0"/>
        <v>2.7034120734908136</v>
      </c>
      <c r="J51">
        <v>152</v>
      </c>
      <c r="K51">
        <v>3.395</v>
      </c>
      <c r="L51">
        <v>6.25</v>
      </c>
      <c r="M51">
        <f t="shared" si="1"/>
        <v>-0.24223745236749086</v>
      </c>
    </row>
    <row r="52" spans="1:13" x14ac:dyDescent="0.3">
      <c r="A52" t="s">
        <v>38</v>
      </c>
      <c r="B52" t="s">
        <v>8</v>
      </c>
      <c r="C52" t="s">
        <v>31</v>
      </c>
      <c r="D52">
        <v>6</v>
      </c>
      <c r="E52" t="s">
        <v>34</v>
      </c>
      <c r="F52">
        <v>544838.30000000005</v>
      </c>
      <c r="G52">
        <v>4218346</v>
      </c>
      <c r="H52">
        <v>0.96099999999999997</v>
      </c>
      <c r="I52">
        <f t="shared" si="0"/>
        <v>3.1528871391076114</v>
      </c>
      <c r="J52">
        <v>152</v>
      </c>
      <c r="K52">
        <v>3.395</v>
      </c>
      <c r="L52">
        <v>6.25</v>
      </c>
      <c r="M52">
        <f t="shared" si="1"/>
        <v>-8.480310364006606E-2</v>
      </c>
    </row>
    <row r="53" spans="1:13" x14ac:dyDescent="0.3">
      <c r="A53" t="s">
        <v>38</v>
      </c>
      <c r="B53" t="s">
        <v>8</v>
      </c>
      <c r="C53" t="s">
        <v>31</v>
      </c>
      <c r="D53">
        <v>12</v>
      </c>
      <c r="E53" t="s">
        <v>35</v>
      </c>
      <c r="F53">
        <v>544836.80000000005</v>
      </c>
      <c r="G53">
        <v>4218352</v>
      </c>
      <c r="H53">
        <v>1.373</v>
      </c>
      <c r="I53">
        <f t="shared" si="0"/>
        <v>4.5045931758530182</v>
      </c>
      <c r="J53">
        <v>152</v>
      </c>
      <c r="K53">
        <v>3.395</v>
      </c>
      <c r="L53">
        <v>6.25</v>
      </c>
      <c r="M53">
        <f t="shared" si="1"/>
        <v>0.38864909837233563</v>
      </c>
    </row>
    <row r="54" spans="1:13" x14ac:dyDescent="0.3">
      <c r="A54" t="s">
        <v>38</v>
      </c>
      <c r="B54" t="s">
        <v>8</v>
      </c>
      <c r="C54" t="s">
        <v>31</v>
      </c>
      <c r="D54">
        <v>24</v>
      </c>
      <c r="E54" t="s">
        <v>36</v>
      </c>
      <c r="F54">
        <v>544833.9</v>
      </c>
      <c r="G54">
        <v>4218363</v>
      </c>
      <c r="H54">
        <v>1.6339999999999999</v>
      </c>
      <c r="I54">
        <f t="shared" si="0"/>
        <v>5.3608923884514432</v>
      </c>
      <c r="J54">
        <v>152</v>
      </c>
      <c r="K54">
        <v>3.395</v>
      </c>
      <c r="L54">
        <v>6.25</v>
      </c>
      <c r="M54">
        <f t="shared" si="1"/>
        <v>0.68857877003553181</v>
      </c>
    </row>
    <row r="55" spans="1:13" x14ac:dyDescent="0.3">
      <c r="A55" t="s">
        <v>38</v>
      </c>
      <c r="B55" t="s">
        <v>8</v>
      </c>
      <c r="C55" t="s">
        <v>31</v>
      </c>
      <c r="D55">
        <v>48</v>
      </c>
      <c r="E55" t="s">
        <v>37</v>
      </c>
      <c r="F55">
        <v>544827.69999999995</v>
      </c>
      <c r="G55">
        <v>4218386</v>
      </c>
      <c r="H55">
        <v>1.9870000000000001</v>
      </c>
      <c r="I55">
        <f t="shared" si="0"/>
        <v>6.5190288713910762</v>
      </c>
      <c r="J55">
        <v>152</v>
      </c>
      <c r="K55">
        <v>3.395</v>
      </c>
      <c r="L55">
        <v>6.25</v>
      </c>
      <c r="M55">
        <f t="shared" si="1"/>
        <v>1.0942307780704295</v>
      </c>
    </row>
    <row r="56" spans="1:13" x14ac:dyDescent="0.3">
      <c r="A56" t="s">
        <v>38</v>
      </c>
      <c r="B56" t="s">
        <v>8</v>
      </c>
      <c r="C56" t="s">
        <v>31</v>
      </c>
      <c r="D56">
        <v>72</v>
      </c>
      <c r="E56" t="s">
        <v>45</v>
      </c>
      <c r="F56">
        <v>544821.6</v>
      </c>
      <c r="G56">
        <v>4218409</v>
      </c>
      <c r="H56">
        <v>2.0329999999999999</v>
      </c>
      <c r="I56">
        <f t="shared" si="0"/>
        <v>6.6699475065616802</v>
      </c>
      <c r="J56">
        <v>152</v>
      </c>
      <c r="K56">
        <v>3.395</v>
      </c>
      <c r="L56">
        <v>6.25</v>
      </c>
      <c r="M56">
        <f t="shared" si="1"/>
        <v>1.1470919462562803</v>
      </c>
    </row>
    <row r="57" spans="1:13" x14ac:dyDescent="0.3">
      <c r="A57" t="s">
        <v>38</v>
      </c>
      <c r="B57" t="s">
        <v>8</v>
      </c>
      <c r="C57" t="s">
        <v>31</v>
      </c>
      <c r="D57">
        <v>150</v>
      </c>
      <c r="E57" t="s">
        <v>46</v>
      </c>
      <c r="F57">
        <v>544800.19999999995</v>
      </c>
      <c r="G57">
        <v>4218484</v>
      </c>
      <c r="H57">
        <v>1.9870000000000001</v>
      </c>
      <c r="I57">
        <f t="shared" si="0"/>
        <v>6.5190288713910762</v>
      </c>
      <c r="J57">
        <v>152</v>
      </c>
      <c r="K57">
        <v>3.395</v>
      </c>
      <c r="L57">
        <v>6.25</v>
      </c>
      <c r="M57">
        <f t="shared" si="1"/>
        <v>1.0942307780704295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usgs_locations_workbook with 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 Miller</dc:creator>
  <cp:lastModifiedBy>Savannah Karin Miller</cp:lastModifiedBy>
  <dcterms:created xsi:type="dcterms:W3CDTF">2026-08-04T05:24:42Z</dcterms:created>
  <dcterms:modified xsi:type="dcterms:W3CDTF">2026-08-05T02:03:28Z</dcterms:modified>
</cp:coreProperties>
</file>