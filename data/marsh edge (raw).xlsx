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sfsu-my.sharepoint.com/personal/924318106_sfsu_edu/Documents/ProjectData/GitHub/DepositionSFB/data/"/>
    </mc:Choice>
  </mc:AlternateContent>
  <xr:revisionPtr revIDLastSave="431" documentId="8_{F8D09033-D556-4131-9203-923A62BF7BAC}" xr6:coauthVersionLast="47" xr6:coauthVersionMax="47" xr10:uidLastSave="{7B429D05-BF16-481A-8AC7-5AA59352186A}"/>
  <bookViews>
    <workbookView xWindow="-108" yWindow="-108" windowWidth="23256" windowHeight="13176" xr2:uid="{4390205D-7EAD-425A-9D36-DFA78AD01DEC}"/>
  </bookViews>
  <sheets>
    <sheet name="marsh_ed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6" i="1" l="1"/>
  <c r="G105" i="1"/>
  <c r="F105" i="1"/>
  <c r="G92" i="1"/>
  <c r="F92" i="1"/>
  <c r="G79" i="1"/>
  <c r="E79" i="1"/>
  <c r="F66" i="1"/>
  <c r="F53" i="1"/>
  <c r="E53" i="1"/>
  <c r="G40" i="1"/>
  <c r="F40" i="1"/>
  <c r="E40" i="1"/>
  <c r="G27" i="1"/>
  <c r="F27" i="1"/>
  <c r="G14" i="1"/>
  <c r="F14" i="1"/>
  <c r="E78" i="1"/>
  <c r="E77" i="1"/>
  <c r="F7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Savannah Miller</author>
  </authors>
  <commentList>
    <comment ref="H35" authorId="0" shapeId="0" xr:uid="{DD51135B-842E-4109-8E0F-7862977E0331}">
      <text>
        <r>
          <rPr>
            <b/>
            <sz val="9"/>
            <color indexed="81"/>
            <rFont val="Tahoma"/>
            <family val="2"/>
          </rPr>
          <t>Savannah Miller:</t>
        </r>
        <r>
          <rPr>
            <sz val="9"/>
            <color indexed="81"/>
            <rFont val="Tahoma"/>
            <family val="2"/>
          </rPr>
          <t xml:space="preserve">
not sure if this data is with M7 or M8</t>
        </r>
      </text>
    </comment>
    <comment ref="G60" authorId="0" shapeId="0" xr:uid="{5FB175D1-D6F4-4BBA-9DB3-1258A33FD8A1}">
      <text>
        <r>
          <rPr>
            <b/>
            <sz val="9"/>
            <color indexed="81"/>
            <rFont val="Tahoma"/>
            <family val="2"/>
          </rPr>
          <t>Savannah Miller:</t>
        </r>
        <r>
          <rPr>
            <sz val="9"/>
            <color indexed="81"/>
            <rFont val="Tahoma"/>
            <family val="2"/>
          </rPr>
          <t xml:space="preserve">
check the date the labeling on the data sheets is confusing
</t>
        </r>
      </text>
    </comment>
    <comment ref="G73" authorId="0" shapeId="0" xr:uid="{DEB03A1A-5BA9-4771-9AE0-719D14A06428}">
      <text>
        <r>
          <rPr>
            <b/>
            <sz val="9"/>
            <color indexed="81"/>
            <rFont val="Tahoma"/>
            <family val="2"/>
          </rPr>
          <t>Savannah Miller:</t>
        </r>
        <r>
          <rPr>
            <sz val="9"/>
            <color indexed="81"/>
            <rFont val="Tahoma"/>
            <family val="2"/>
          </rPr>
          <t xml:space="preserve">
check the data sheets labeling of the date is confusing</t>
        </r>
      </text>
    </comment>
  </commentList>
</comments>
</file>

<file path=xl/sharedStrings.xml><?xml version="1.0" encoding="utf-8"?>
<sst xmlns="http://schemas.openxmlformats.org/spreadsheetml/2006/main" count="312" uniqueCount="46">
  <si>
    <t>N/A</t>
  </si>
  <si>
    <t>M12</t>
  </si>
  <si>
    <t>S</t>
  </si>
  <si>
    <t>M11</t>
  </si>
  <si>
    <t>M10</t>
  </si>
  <si>
    <t>M9</t>
  </si>
  <si>
    <t>M8</t>
  </si>
  <si>
    <t>M7</t>
  </si>
  <si>
    <t>M6</t>
  </si>
  <si>
    <t>M5</t>
  </si>
  <si>
    <t xml:space="preserve">M4 </t>
  </si>
  <si>
    <t>M3</t>
  </si>
  <si>
    <t>M2</t>
  </si>
  <si>
    <t>M1</t>
  </si>
  <si>
    <t>C</t>
  </si>
  <si>
    <t>G</t>
  </si>
  <si>
    <t>B</t>
  </si>
  <si>
    <t xml:space="preserve">Notes </t>
  </si>
  <si>
    <t>Study Phase</t>
  </si>
  <si>
    <t>Date</t>
  </si>
  <si>
    <t xml:space="preserve">Transect </t>
  </si>
  <si>
    <t>Site</t>
  </si>
  <si>
    <t xml:space="preserve">Pickleweed (cm) </t>
  </si>
  <si>
    <t>Spartina  (cm)</t>
  </si>
  <si>
    <t>Scarp (cm)</t>
  </si>
  <si>
    <t>scarp-very slope hard to measure</t>
  </si>
  <si>
    <t>scrap-horseshoe type shape of edge</t>
  </si>
  <si>
    <t>Not measured</t>
  </si>
  <si>
    <t>scarp-large overhang, hard to tell; pickleweed-none observed lots of jawmea</t>
  </si>
  <si>
    <t>Cordgrass-not sure ID confident</t>
  </si>
  <si>
    <t>scarp-see pic possible overhang increase</t>
  </si>
  <si>
    <t>pickleweed-lots of jawmea</t>
  </si>
  <si>
    <t>116/140</t>
  </si>
  <si>
    <t>scarp-measured at dip of marsh edge; pickleweed and cordgrass-lots of jawmea</t>
  </si>
  <si>
    <t>scarp-slope measured to point of vegetation (?)</t>
  </si>
  <si>
    <t>pickleweed-very little growth, lots of salt grass</t>
  </si>
  <si>
    <t>none recorded?</t>
  </si>
  <si>
    <t>scarp is either 180/210 depending on angle</t>
  </si>
  <si>
    <t>Last Measurement (M12-M1) (+ = prograding; - = erosion)</t>
  </si>
  <si>
    <t>4 ruler length (check ruler) + 19.5</t>
  </si>
  <si>
    <t>(1 ruler length) + 29</t>
  </si>
  <si>
    <t>two measurements-for scarp, 118 and 140 cm has a horseshoe shape; pickleweed reaches beyond the scarp limit</t>
  </si>
  <si>
    <t xml:space="preserve">scarpe-very sloped hard to measure </t>
  </si>
  <si>
    <t>Marsh edge completely eroded-measurement pic took at 0.5 pole; 0.5 samples lost; for scarp measurement subtracted 50 to get to the scarp measurement</t>
  </si>
  <si>
    <t xml:space="preserve">0.5 meter pole eroded-scarp measurement completed from the 2 meter pole, so add the measurement plus the 147 cm, 147 cm would be close to the 0.5 cm pole within 3 cm, so subtracted 3 </t>
  </si>
  <si>
    <t xml:space="preserve">found on iphone notes app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</si>
</sst>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14" fontId="0" fillId="0" borderId="0" xfId="0" applyNumberFormat="1" applyAlignment="1">
      <alignment vertical="center" wrapText="1"/>
    </xf>
    <xf numFmtId="0" fontId="3" fillId="0" borderId="1" xfId="0" applyFont="1" applyBorder="1" applyAlignment="1">
      <alignment wrapText="1"/>
    </xf>
    <xf numFmtId="0" fontId="3" fillId="0" borderId="2" xfId="0" applyFont="1" applyBorder="1"/>
    <xf numFmtId="14" fontId="3" fillId="0" borderId="2" xfId="0" applyNumberFormat="1" applyFont="1" applyBorder="1"/>
    <xf numFmtId="0" fontId="0" fillId="0" borderId="2" xfId="0" applyBorder="1"/>
    <xf numFmtId="14" fontId="0" fillId="0" borderId="2" xfId="0" applyNumberFormat="1" applyBorder="1"/>
    <xf numFmtId="0" fontId="3" fillId="0" borderId="2" xfId="0" applyFont="1" applyBorder="1" applyAlignment="1">
      <alignment wrapText="1"/>
    </xf>
    <xf numFmtId="14" fontId="3" fillId="0" borderId="2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F7C31-7F57-4643-9B2C-75062135004E}">
  <dimension ref="A1:J105"/>
  <sheetViews>
    <sheetView tabSelected="1" workbookViewId="0">
      <pane ySplit="1" topLeftCell="A78" activePane="bottomLeft" state="frozen"/>
      <selection pane="bottomLeft" activeCell="N81" sqref="N81"/>
    </sheetView>
  </sheetViews>
  <sheetFormatPr defaultRowHeight="14.4" x14ac:dyDescent="0.3"/>
  <cols>
    <col min="1" max="1" width="17.109375" customWidth="1"/>
    <col min="3" max="3" width="10.33203125" style="3" bestFit="1" customWidth="1"/>
    <col min="6" max="6" width="10.77734375" customWidth="1"/>
    <col min="7" max="7" width="10" customWidth="1"/>
    <col min="8" max="8" width="11.109375" customWidth="1"/>
  </cols>
  <sheetData>
    <row r="1" spans="1:8" s="1" customFormat="1" ht="28.8" x14ac:dyDescent="0.3">
      <c r="A1" s="1" t="s">
        <v>21</v>
      </c>
      <c r="B1" s="2" t="s">
        <v>20</v>
      </c>
      <c r="C1" s="6" t="s">
        <v>19</v>
      </c>
      <c r="D1" s="2" t="s">
        <v>18</v>
      </c>
      <c r="E1" s="2" t="s">
        <v>24</v>
      </c>
      <c r="F1" s="2" t="s">
        <v>22</v>
      </c>
      <c r="G1" s="2" t="s">
        <v>23</v>
      </c>
      <c r="H1" s="2" t="s">
        <v>17</v>
      </c>
    </row>
    <row r="2" spans="1:8" ht="14.4" customHeight="1" x14ac:dyDescent="0.3">
      <c r="A2" t="s">
        <v>16</v>
      </c>
      <c r="B2">
        <v>1</v>
      </c>
      <c r="C2" s="3">
        <v>45874</v>
      </c>
      <c r="D2" t="s">
        <v>13</v>
      </c>
      <c r="E2" t="s">
        <v>0</v>
      </c>
    </row>
    <row r="3" spans="1:8" x14ac:dyDescent="0.3">
      <c r="A3" t="s">
        <v>16</v>
      </c>
      <c r="B3">
        <v>1</v>
      </c>
      <c r="C3" s="3">
        <v>45903</v>
      </c>
      <c r="D3" t="s">
        <v>12</v>
      </c>
      <c r="E3" t="s">
        <v>0</v>
      </c>
    </row>
    <row r="4" spans="1:8" x14ac:dyDescent="0.3">
      <c r="A4" t="s">
        <v>16</v>
      </c>
      <c r="B4">
        <v>1</v>
      </c>
      <c r="C4" s="3">
        <v>45938</v>
      </c>
      <c r="D4" t="s">
        <v>11</v>
      </c>
      <c r="E4" t="s">
        <v>0</v>
      </c>
    </row>
    <row r="5" spans="1:8" x14ac:dyDescent="0.3">
      <c r="A5" t="s">
        <v>16</v>
      </c>
      <c r="B5">
        <v>1</v>
      </c>
      <c r="C5" s="3">
        <v>45976</v>
      </c>
      <c r="D5" t="s">
        <v>10</v>
      </c>
      <c r="E5" t="s">
        <v>0</v>
      </c>
    </row>
    <row r="6" spans="1:8" x14ac:dyDescent="0.3">
      <c r="A6" t="s">
        <v>16</v>
      </c>
      <c r="B6">
        <v>1</v>
      </c>
      <c r="C6" s="3">
        <v>46003</v>
      </c>
      <c r="D6" t="s">
        <v>9</v>
      </c>
      <c r="E6" t="s">
        <v>0</v>
      </c>
      <c r="F6">
        <v>115</v>
      </c>
      <c r="G6">
        <v>48</v>
      </c>
    </row>
    <row r="7" spans="1:8" x14ac:dyDescent="0.3">
      <c r="A7" t="s">
        <v>16</v>
      </c>
      <c r="B7">
        <v>1</v>
      </c>
      <c r="C7" s="3">
        <v>46044</v>
      </c>
      <c r="D7" t="s">
        <v>8</v>
      </c>
      <c r="E7" t="s">
        <v>0</v>
      </c>
      <c r="F7">
        <v>215</v>
      </c>
      <c r="G7">
        <v>12</v>
      </c>
    </row>
    <row r="8" spans="1:8" x14ac:dyDescent="0.3">
      <c r="A8" t="s">
        <v>16</v>
      </c>
      <c r="B8">
        <v>1</v>
      </c>
      <c r="C8" s="3">
        <v>46074</v>
      </c>
      <c r="D8" t="s">
        <v>7</v>
      </c>
      <c r="E8" t="s">
        <v>0</v>
      </c>
    </row>
    <row r="9" spans="1:8" x14ac:dyDescent="0.3">
      <c r="A9" t="s">
        <v>16</v>
      </c>
      <c r="B9">
        <v>1</v>
      </c>
      <c r="C9" s="3">
        <v>46101</v>
      </c>
      <c r="D9" t="s">
        <v>6</v>
      </c>
      <c r="E9" t="s">
        <v>0</v>
      </c>
      <c r="F9">
        <v>138</v>
      </c>
      <c r="G9">
        <v>38</v>
      </c>
    </row>
    <row r="10" spans="1:8" x14ac:dyDescent="0.3">
      <c r="A10" t="s">
        <v>16</v>
      </c>
      <c r="B10">
        <v>1</v>
      </c>
      <c r="C10" s="3">
        <v>46131</v>
      </c>
      <c r="D10" t="s">
        <v>5</v>
      </c>
      <c r="E10" t="s">
        <v>0</v>
      </c>
      <c r="F10">
        <v>150</v>
      </c>
      <c r="G10">
        <v>20</v>
      </c>
    </row>
    <row r="11" spans="1:8" x14ac:dyDescent="0.3">
      <c r="A11" t="s">
        <v>16</v>
      </c>
      <c r="B11">
        <v>1</v>
      </c>
      <c r="C11" s="3">
        <v>46157</v>
      </c>
      <c r="D11" t="s">
        <v>4</v>
      </c>
      <c r="E11" t="s">
        <v>0</v>
      </c>
      <c r="F11">
        <v>147</v>
      </c>
      <c r="G11">
        <v>10</v>
      </c>
    </row>
    <row r="12" spans="1:8" x14ac:dyDescent="0.3">
      <c r="A12" t="s">
        <v>16</v>
      </c>
      <c r="B12">
        <v>1</v>
      </c>
      <c r="C12" s="3">
        <v>46184</v>
      </c>
      <c r="D12" t="s">
        <v>3</v>
      </c>
      <c r="E12" t="s">
        <v>0</v>
      </c>
      <c r="F12">
        <v>41</v>
      </c>
      <c r="G12">
        <v>10</v>
      </c>
    </row>
    <row r="13" spans="1:8" ht="15" thickBot="1" x14ac:dyDescent="0.35">
      <c r="A13" t="s">
        <v>16</v>
      </c>
      <c r="B13">
        <v>1</v>
      </c>
      <c r="C13" s="3">
        <v>46212</v>
      </c>
      <c r="D13" t="s">
        <v>1</v>
      </c>
      <c r="E13" t="s">
        <v>0</v>
      </c>
      <c r="F13">
        <v>125</v>
      </c>
      <c r="G13">
        <v>43</v>
      </c>
    </row>
    <row r="14" spans="1:8" s="12" customFormat="1" ht="58.2" thickBot="1" x14ac:dyDescent="0.35">
      <c r="A14" s="7" t="s">
        <v>38</v>
      </c>
      <c r="C14" s="13"/>
      <c r="F14" s="12">
        <f>F13-F6</f>
        <v>10</v>
      </c>
      <c r="G14" s="12">
        <f>G13-G6</f>
        <v>-5</v>
      </c>
    </row>
    <row r="15" spans="1:8" x14ac:dyDescent="0.3">
      <c r="A15" t="s">
        <v>16</v>
      </c>
      <c r="B15">
        <v>2</v>
      </c>
      <c r="C15" s="3">
        <v>45870</v>
      </c>
      <c r="D15" t="s">
        <v>13</v>
      </c>
      <c r="E15" t="s">
        <v>0</v>
      </c>
    </row>
    <row r="16" spans="1:8" x14ac:dyDescent="0.3">
      <c r="A16" t="s">
        <v>16</v>
      </c>
      <c r="B16">
        <v>2</v>
      </c>
      <c r="C16" s="3">
        <v>45903</v>
      </c>
      <c r="D16" t="s">
        <v>12</v>
      </c>
      <c r="E16" t="s">
        <v>0</v>
      </c>
    </row>
    <row r="17" spans="1:8" x14ac:dyDescent="0.3">
      <c r="A17" t="s">
        <v>16</v>
      </c>
      <c r="B17">
        <v>2</v>
      </c>
      <c r="C17" s="3">
        <v>45938</v>
      </c>
      <c r="D17" t="s">
        <v>11</v>
      </c>
      <c r="E17" t="s">
        <v>0</v>
      </c>
    </row>
    <row r="18" spans="1:8" x14ac:dyDescent="0.3">
      <c r="A18" t="s">
        <v>16</v>
      </c>
      <c r="B18">
        <v>2</v>
      </c>
      <c r="C18" s="3">
        <v>45976</v>
      </c>
      <c r="D18" t="s">
        <v>10</v>
      </c>
      <c r="E18" t="s">
        <v>0</v>
      </c>
    </row>
    <row r="19" spans="1:8" x14ac:dyDescent="0.3">
      <c r="A19" t="s">
        <v>16</v>
      </c>
      <c r="B19">
        <v>2</v>
      </c>
      <c r="C19" s="3">
        <v>46003</v>
      </c>
      <c r="D19" t="s">
        <v>9</v>
      </c>
      <c r="E19" t="s">
        <v>0</v>
      </c>
      <c r="F19">
        <v>99</v>
      </c>
      <c r="G19">
        <v>22</v>
      </c>
    </row>
    <row r="20" spans="1:8" x14ac:dyDescent="0.3">
      <c r="A20" t="s">
        <v>16</v>
      </c>
      <c r="B20">
        <v>2</v>
      </c>
      <c r="C20" s="3">
        <v>46044</v>
      </c>
      <c r="D20" t="s">
        <v>8</v>
      </c>
      <c r="E20" t="s">
        <v>0</v>
      </c>
      <c r="F20">
        <v>96</v>
      </c>
      <c r="G20">
        <v>24</v>
      </c>
    </row>
    <row r="21" spans="1:8" x14ac:dyDescent="0.3">
      <c r="A21" t="s">
        <v>16</v>
      </c>
      <c r="B21">
        <v>2</v>
      </c>
      <c r="C21" s="3">
        <v>46074</v>
      </c>
      <c r="D21" t="s">
        <v>7</v>
      </c>
      <c r="E21" t="s">
        <v>0</v>
      </c>
    </row>
    <row r="22" spans="1:8" x14ac:dyDescent="0.3">
      <c r="A22" t="s">
        <v>16</v>
      </c>
      <c r="B22">
        <v>2</v>
      </c>
      <c r="C22" s="3">
        <v>46101</v>
      </c>
      <c r="D22" t="s">
        <v>6</v>
      </c>
      <c r="E22" t="s">
        <v>0</v>
      </c>
      <c r="F22">
        <v>20</v>
      </c>
      <c r="G22">
        <v>21</v>
      </c>
      <c r="H22" t="s">
        <v>29</v>
      </c>
    </row>
    <row r="23" spans="1:8" x14ac:dyDescent="0.3">
      <c r="A23" t="s">
        <v>16</v>
      </c>
      <c r="B23">
        <v>2</v>
      </c>
      <c r="C23" s="3">
        <v>46131</v>
      </c>
      <c r="D23" t="s">
        <v>5</v>
      </c>
      <c r="E23" t="s">
        <v>0</v>
      </c>
      <c r="F23">
        <v>124</v>
      </c>
      <c r="G23">
        <v>26</v>
      </c>
    </row>
    <row r="24" spans="1:8" x14ac:dyDescent="0.3">
      <c r="A24" t="s">
        <v>16</v>
      </c>
      <c r="B24">
        <v>2</v>
      </c>
      <c r="C24" s="3">
        <v>46157</v>
      </c>
      <c r="D24" t="s">
        <v>4</v>
      </c>
      <c r="E24" t="s">
        <v>0</v>
      </c>
      <c r="F24">
        <v>126</v>
      </c>
      <c r="G24">
        <v>25</v>
      </c>
    </row>
    <row r="25" spans="1:8" x14ac:dyDescent="0.3">
      <c r="A25" t="s">
        <v>16</v>
      </c>
      <c r="B25">
        <v>2</v>
      </c>
      <c r="C25" s="3">
        <v>46184</v>
      </c>
      <c r="D25" t="s">
        <v>3</v>
      </c>
      <c r="E25" t="s">
        <v>0</v>
      </c>
      <c r="F25">
        <v>113</v>
      </c>
      <c r="G25">
        <v>25</v>
      </c>
    </row>
    <row r="26" spans="1:8" ht="15" thickBot="1" x14ac:dyDescent="0.35">
      <c r="A26" t="s">
        <v>16</v>
      </c>
      <c r="B26">
        <v>2</v>
      </c>
      <c r="C26" s="3">
        <v>46212</v>
      </c>
      <c r="D26" t="s">
        <v>1</v>
      </c>
      <c r="E26" t="s">
        <v>0</v>
      </c>
      <c r="F26">
        <v>115</v>
      </c>
      <c r="G26">
        <v>5</v>
      </c>
    </row>
    <row r="27" spans="1:8" s="8" customFormat="1" ht="58.2" thickBot="1" x14ac:dyDescent="0.35">
      <c r="A27" s="7" t="s">
        <v>38</v>
      </c>
      <c r="C27" s="9"/>
      <c r="F27" s="8">
        <f>F26-F19</f>
        <v>16</v>
      </c>
      <c r="G27" s="8">
        <f>G26-G19</f>
        <v>-17</v>
      </c>
    </row>
    <row r="28" spans="1:8" x14ac:dyDescent="0.3">
      <c r="A28" t="s">
        <v>14</v>
      </c>
      <c r="B28">
        <v>1</v>
      </c>
      <c r="C28" s="3">
        <v>45876</v>
      </c>
      <c r="D28" t="s">
        <v>13</v>
      </c>
      <c r="E28">
        <v>155</v>
      </c>
      <c r="F28">
        <v>96</v>
      </c>
      <c r="G28">
        <v>56</v>
      </c>
    </row>
    <row r="29" spans="1:8" x14ac:dyDescent="0.3">
      <c r="A29" t="s">
        <v>14</v>
      </c>
      <c r="B29">
        <v>1</v>
      </c>
      <c r="C29" s="3">
        <v>45905</v>
      </c>
      <c r="D29" t="s">
        <v>12</v>
      </c>
    </row>
    <row r="30" spans="1:8" x14ac:dyDescent="0.3">
      <c r="A30" t="s">
        <v>14</v>
      </c>
      <c r="B30">
        <v>1</v>
      </c>
      <c r="C30" s="3">
        <v>45933</v>
      </c>
      <c r="D30" t="s">
        <v>11</v>
      </c>
    </row>
    <row r="31" spans="1:8" x14ac:dyDescent="0.3">
      <c r="A31" t="s">
        <v>14</v>
      </c>
      <c r="B31">
        <v>1</v>
      </c>
      <c r="C31" s="3">
        <v>45967</v>
      </c>
      <c r="D31" t="s">
        <v>10</v>
      </c>
      <c r="E31">
        <v>138</v>
      </c>
      <c r="F31">
        <v>98</v>
      </c>
      <c r="H31" t="s">
        <v>45</v>
      </c>
    </row>
    <row r="32" spans="1:8" x14ac:dyDescent="0.3">
      <c r="A32" t="s">
        <v>14</v>
      </c>
      <c r="B32">
        <v>1</v>
      </c>
      <c r="C32" s="3">
        <v>45994</v>
      </c>
      <c r="D32" t="s">
        <v>9</v>
      </c>
      <c r="E32">
        <v>116</v>
      </c>
      <c r="F32">
        <v>116</v>
      </c>
      <c r="G32" t="s">
        <v>0</v>
      </c>
    </row>
    <row r="33" spans="1:9" x14ac:dyDescent="0.3">
      <c r="A33" t="s">
        <v>14</v>
      </c>
      <c r="B33">
        <v>1</v>
      </c>
      <c r="C33" s="3">
        <v>46032</v>
      </c>
      <c r="D33" t="s">
        <v>8</v>
      </c>
      <c r="E33">
        <v>146</v>
      </c>
      <c r="F33">
        <v>137</v>
      </c>
      <c r="G33" t="s">
        <v>0</v>
      </c>
    </row>
    <row r="34" spans="1:9" s="4" customFormat="1" x14ac:dyDescent="0.3">
      <c r="A34" s="4" t="s">
        <v>14</v>
      </c>
      <c r="B34" s="4">
        <v>1</v>
      </c>
      <c r="C34" s="5">
        <v>46060</v>
      </c>
      <c r="D34" s="4" t="s">
        <v>7</v>
      </c>
    </row>
    <row r="35" spans="1:9" s="4" customFormat="1" x14ac:dyDescent="0.3">
      <c r="A35" s="4" t="s">
        <v>14</v>
      </c>
      <c r="B35" s="4">
        <v>1</v>
      </c>
      <c r="C35" s="5">
        <v>46088</v>
      </c>
      <c r="D35" s="4" t="s">
        <v>6</v>
      </c>
      <c r="E35" s="4" t="s">
        <v>32</v>
      </c>
      <c r="F35" s="4" t="s">
        <v>0</v>
      </c>
      <c r="G35" s="4" t="s">
        <v>0</v>
      </c>
      <c r="H35" s="4" t="s">
        <v>33</v>
      </c>
    </row>
    <row r="36" spans="1:9" x14ac:dyDescent="0.3">
      <c r="A36" t="s">
        <v>14</v>
      </c>
      <c r="B36">
        <v>1</v>
      </c>
      <c r="C36" s="3">
        <v>46116</v>
      </c>
      <c r="D36" t="s">
        <v>5</v>
      </c>
      <c r="E36">
        <v>140</v>
      </c>
      <c r="F36" t="s">
        <v>0</v>
      </c>
      <c r="G36" t="s">
        <v>0</v>
      </c>
      <c r="H36" t="s">
        <v>31</v>
      </c>
    </row>
    <row r="37" spans="1:9" x14ac:dyDescent="0.3">
      <c r="A37" t="s">
        <v>14</v>
      </c>
      <c r="B37">
        <v>1</v>
      </c>
      <c r="C37" s="3">
        <v>46144</v>
      </c>
      <c r="D37" t="s">
        <v>4</v>
      </c>
      <c r="E37">
        <v>142</v>
      </c>
      <c r="F37">
        <v>140</v>
      </c>
      <c r="G37">
        <v>100</v>
      </c>
    </row>
    <row r="38" spans="1:9" x14ac:dyDescent="0.3">
      <c r="A38" t="s">
        <v>14</v>
      </c>
      <c r="B38">
        <v>1</v>
      </c>
      <c r="C38" s="3">
        <v>46183</v>
      </c>
      <c r="D38" t="s">
        <v>3</v>
      </c>
      <c r="E38">
        <v>117</v>
      </c>
      <c r="F38" t="s">
        <v>0</v>
      </c>
      <c r="G38">
        <v>65</v>
      </c>
      <c r="I38" t="s">
        <v>26</v>
      </c>
    </row>
    <row r="39" spans="1:9" ht="15" thickBot="1" x14ac:dyDescent="0.35">
      <c r="A39" t="s">
        <v>14</v>
      </c>
      <c r="B39">
        <v>1</v>
      </c>
      <c r="C39" s="3">
        <v>46210</v>
      </c>
      <c r="D39" t="s">
        <v>1</v>
      </c>
      <c r="E39">
        <v>140</v>
      </c>
      <c r="F39">
        <v>104</v>
      </c>
      <c r="G39">
        <v>143</v>
      </c>
      <c r="I39" t="s">
        <v>41</v>
      </c>
    </row>
    <row r="40" spans="1:9" s="8" customFormat="1" ht="58.2" thickBot="1" x14ac:dyDescent="0.35">
      <c r="A40" s="7" t="s">
        <v>38</v>
      </c>
      <c r="C40" s="9"/>
      <c r="E40" s="8">
        <f>E39-E28</f>
        <v>-15</v>
      </c>
      <c r="F40" s="8">
        <f>F39-F28</f>
        <v>8</v>
      </c>
      <c r="G40" s="8">
        <f>G39-G28</f>
        <v>87</v>
      </c>
    </row>
    <row r="41" spans="1:9" x14ac:dyDescent="0.3">
      <c r="A41" t="s">
        <v>14</v>
      </c>
      <c r="B41">
        <v>2</v>
      </c>
      <c r="C41" s="3">
        <v>45876</v>
      </c>
      <c r="D41" t="s">
        <v>13</v>
      </c>
      <c r="E41" t="s">
        <v>36</v>
      </c>
    </row>
    <row r="42" spans="1:9" x14ac:dyDescent="0.3">
      <c r="A42" t="s">
        <v>14</v>
      </c>
      <c r="B42">
        <v>2</v>
      </c>
      <c r="C42" s="3">
        <v>45905</v>
      </c>
      <c r="D42" t="s">
        <v>12</v>
      </c>
    </row>
    <row r="43" spans="1:9" x14ac:dyDescent="0.3">
      <c r="A43" t="s">
        <v>14</v>
      </c>
      <c r="B43">
        <v>2</v>
      </c>
      <c r="C43" s="3">
        <v>45933</v>
      </c>
      <c r="D43" t="s">
        <v>11</v>
      </c>
    </row>
    <row r="44" spans="1:9" x14ac:dyDescent="0.3">
      <c r="A44" t="s">
        <v>14</v>
      </c>
      <c r="B44">
        <v>2</v>
      </c>
      <c r="C44" s="3">
        <v>45967</v>
      </c>
      <c r="D44" t="s">
        <v>10</v>
      </c>
    </row>
    <row r="45" spans="1:9" x14ac:dyDescent="0.3">
      <c r="A45" t="s">
        <v>14</v>
      </c>
      <c r="B45">
        <v>2</v>
      </c>
      <c r="C45" s="3">
        <v>45994</v>
      </c>
      <c r="D45" t="s">
        <v>9</v>
      </c>
      <c r="E45">
        <v>125</v>
      </c>
      <c r="F45">
        <v>118</v>
      </c>
      <c r="G45" t="s">
        <v>0</v>
      </c>
    </row>
    <row r="46" spans="1:9" x14ac:dyDescent="0.3">
      <c r="A46" t="s">
        <v>14</v>
      </c>
      <c r="B46">
        <v>2</v>
      </c>
      <c r="C46" s="3">
        <v>46032</v>
      </c>
      <c r="D46" t="s">
        <v>8</v>
      </c>
      <c r="E46">
        <v>136</v>
      </c>
      <c r="F46">
        <v>130.5</v>
      </c>
      <c r="G46" t="s">
        <v>0</v>
      </c>
    </row>
    <row r="47" spans="1:9" s="4" customFormat="1" x14ac:dyDescent="0.3">
      <c r="A47" s="4" t="s">
        <v>14</v>
      </c>
      <c r="B47" s="4">
        <v>2</v>
      </c>
      <c r="C47" s="5">
        <v>46060</v>
      </c>
      <c r="D47" s="4" t="s">
        <v>7</v>
      </c>
    </row>
    <row r="48" spans="1:9" s="4" customFormat="1" x14ac:dyDescent="0.3">
      <c r="A48" s="4" t="s">
        <v>14</v>
      </c>
      <c r="B48" s="4">
        <v>2</v>
      </c>
      <c r="C48" s="5">
        <v>46088</v>
      </c>
      <c r="D48" s="4" t="s">
        <v>6</v>
      </c>
      <c r="E48" s="4">
        <v>122</v>
      </c>
      <c r="F48" s="4">
        <v>95</v>
      </c>
      <c r="G48" s="4" t="s">
        <v>0</v>
      </c>
      <c r="H48" s="4" t="s">
        <v>34</v>
      </c>
    </row>
    <row r="49" spans="1:9" x14ac:dyDescent="0.3">
      <c r="A49" t="s">
        <v>14</v>
      </c>
      <c r="B49">
        <v>2</v>
      </c>
      <c r="C49" s="3">
        <v>46116</v>
      </c>
      <c r="D49" t="s">
        <v>5</v>
      </c>
      <c r="E49">
        <v>128</v>
      </c>
      <c r="F49">
        <v>88</v>
      </c>
      <c r="G49" t="s">
        <v>0</v>
      </c>
      <c r="H49" t="s">
        <v>30</v>
      </c>
    </row>
    <row r="50" spans="1:9" x14ac:dyDescent="0.3">
      <c r="A50" t="s">
        <v>14</v>
      </c>
      <c r="B50">
        <v>2</v>
      </c>
      <c r="C50" s="3">
        <v>46144</v>
      </c>
      <c r="D50" t="s">
        <v>4</v>
      </c>
      <c r="E50">
        <v>120</v>
      </c>
      <c r="F50" t="s">
        <v>0</v>
      </c>
      <c r="G50" t="s">
        <v>0</v>
      </c>
      <c r="I50" t="s">
        <v>28</v>
      </c>
    </row>
    <row r="51" spans="1:9" x14ac:dyDescent="0.3">
      <c r="A51" t="s">
        <v>14</v>
      </c>
      <c r="B51">
        <v>2</v>
      </c>
      <c r="C51" s="3">
        <v>46183</v>
      </c>
      <c r="D51" t="s">
        <v>3</v>
      </c>
      <c r="E51">
        <v>118</v>
      </c>
      <c r="F51">
        <v>90</v>
      </c>
      <c r="G51">
        <v>90</v>
      </c>
      <c r="I51" t="s">
        <v>25</v>
      </c>
    </row>
    <row r="52" spans="1:9" ht="15" thickBot="1" x14ac:dyDescent="0.35">
      <c r="A52" t="s">
        <v>14</v>
      </c>
      <c r="B52">
        <v>2</v>
      </c>
      <c r="C52" s="3">
        <v>46210</v>
      </c>
      <c r="D52" t="s">
        <v>1</v>
      </c>
      <c r="E52">
        <v>124</v>
      </c>
      <c r="F52">
        <v>74</v>
      </c>
      <c r="G52" t="s">
        <v>0</v>
      </c>
      <c r="I52" t="s">
        <v>42</v>
      </c>
    </row>
    <row r="53" spans="1:9" s="8" customFormat="1" ht="58.2" thickBot="1" x14ac:dyDescent="0.35">
      <c r="A53" s="7" t="s">
        <v>38</v>
      </c>
      <c r="C53" s="9"/>
      <c r="E53" s="8">
        <f>E52-E45</f>
        <v>-1</v>
      </c>
      <c r="F53" s="8">
        <f>F52-F45</f>
        <v>-44</v>
      </c>
      <c r="G53" s="8" t="s">
        <v>0</v>
      </c>
    </row>
    <row r="54" spans="1:9" x14ac:dyDescent="0.3">
      <c r="A54" t="s">
        <v>15</v>
      </c>
      <c r="B54">
        <v>1</v>
      </c>
      <c r="C54" s="3">
        <v>45875</v>
      </c>
      <c r="D54" t="s">
        <v>13</v>
      </c>
      <c r="E54">
        <v>153</v>
      </c>
      <c r="F54">
        <v>72</v>
      </c>
      <c r="G54" t="s">
        <v>0</v>
      </c>
    </row>
    <row r="55" spans="1:9" x14ac:dyDescent="0.3">
      <c r="A55" t="s">
        <v>15</v>
      </c>
      <c r="B55">
        <v>1</v>
      </c>
      <c r="C55" s="3">
        <v>45906</v>
      </c>
      <c r="D55" t="s">
        <v>12</v>
      </c>
    </row>
    <row r="56" spans="1:9" x14ac:dyDescent="0.3">
      <c r="A56" t="s">
        <v>15</v>
      </c>
      <c r="B56">
        <v>1</v>
      </c>
      <c r="C56" s="3">
        <v>45937</v>
      </c>
      <c r="D56" t="s">
        <v>11</v>
      </c>
    </row>
    <row r="57" spans="1:9" x14ac:dyDescent="0.3">
      <c r="A57" t="s">
        <v>15</v>
      </c>
      <c r="B57">
        <v>1</v>
      </c>
      <c r="C57" s="3">
        <v>45965</v>
      </c>
      <c r="D57" t="s">
        <v>10</v>
      </c>
      <c r="E57">
        <v>148</v>
      </c>
      <c r="F57">
        <v>44</v>
      </c>
      <c r="G57" t="s">
        <v>0</v>
      </c>
    </row>
    <row r="58" spans="1:9" x14ac:dyDescent="0.3">
      <c r="A58" t="s">
        <v>15</v>
      </c>
      <c r="B58">
        <v>1</v>
      </c>
      <c r="C58" s="3">
        <v>46002</v>
      </c>
      <c r="D58" t="s">
        <v>9</v>
      </c>
      <c r="E58">
        <v>146</v>
      </c>
      <c r="F58">
        <v>46</v>
      </c>
      <c r="G58" t="s">
        <v>0</v>
      </c>
      <c r="H58" t="s">
        <v>35</v>
      </c>
    </row>
    <row r="59" spans="1:9" x14ac:dyDescent="0.3">
      <c r="A59" t="s">
        <v>15</v>
      </c>
      <c r="B59">
        <v>1</v>
      </c>
      <c r="C59" s="3">
        <v>46045</v>
      </c>
      <c r="D59" t="s">
        <v>8</v>
      </c>
      <c r="E59">
        <v>144</v>
      </c>
      <c r="F59" t="s">
        <v>0</v>
      </c>
      <c r="G59" t="s">
        <v>0</v>
      </c>
    </row>
    <row r="60" spans="1:9" s="4" customFormat="1" x14ac:dyDescent="0.3">
      <c r="A60" s="4" t="s">
        <v>15</v>
      </c>
      <c r="B60" s="4">
        <v>1</v>
      </c>
      <c r="C60" s="5">
        <v>46073</v>
      </c>
      <c r="D60" s="4" t="s">
        <v>7</v>
      </c>
      <c r="E60" s="4">
        <v>137</v>
      </c>
      <c r="F60" s="4">
        <v>56</v>
      </c>
      <c r="G60" s="4" t="s">
        <v>0</v>
      </c>
    </row>
    <row r="61" spans="1:9" s="4" customFormat="1" x14ac:dyDescent="0.3">
      <c r="A61" s="4" t="s">
        <v>15</v>
      </c>
      <c r="B61" s="4">
        <v>1</v>
      </c>
      <c r="C61" s="5">
        <v>46100</v>
      </c>
      <c r="D61" s="4" t="s">
        <v>6</v>
      </c>
      <c r="E61" s="4" t="s">
        <v>39</v>
      </c>
      <c r="F61" s="4" t="s">
        <v>40</v>
      </c>
      <c r="G61" s="4" t="s">
        <v>0</v>
      </c>
    </row>
    <row r="62" spans="1:9" x14ac:dyDescent="0.3">
      <c r="A62" t="s">
        <v>15</v>
      </c>
      <c r="B62">
        <v>1</v>
      </c>
      <c r="C62" s="3">
        <v>46129</v>
      </c>
      <c r="D62" t="s">
        <v>5</v>
      </c>
      <c r="E62">
        <v>39</v>
      </c>
      <c r="F62">
        <v>16</v>
      </c>
      <c r="G62" t="s">
        <v>0</v>
      </c>
    </row>
    <row r="63" spans="1:9" x14ac:dyDescent="0.3">
      <c r="A63" t="s">
        <v>15</v>
      </c>
      <c r="B63">
        <v>1</v>
      </c>
      <c r="C63" s="3">
        <v>46156</v>
      </c>
      <c r="D63" t="s">
        <v>4</v>
      </c>
      <c r="E63">
        <v>139</v>
      </c>
      <c r="F63">
        <v>58</v>
      </c>
      <c r="G63" t="s">
        <v>0</v>
      </c>
    </row>
    <row r="64" spans="1:9" x14ac:dyDescent="0.3">
      <c r="A64" t="s">
        <v>15</v>
      </c>
      <c r="B64">
        <v>1</v>
      </c>
      <c r="C64" s="3" t="s">
        <v>0</v>
      </c>
      <c r="D64" t="s">
        <v>3</v>
      </c>
      <c r="E64" t="s">
        <v>27</v>
      </c>
      <c r="F64" t="s">
        <v>27</v>
      </c>
      <c r="G64" t="s">
        <v>27</v>
      </c>
    </row>
    <row r="65" spans="1:10" ht="15" thickBot="1" x14ac:dyDescent="0.35">
      <c r="A65" t="s">
        <v>15</v>
      </c>
      <c r="B65">
        <v>1</v>
      </c>
      <c r="C65" s="3">
        <v>46211</v>
      </c>
      <c r="D65" t="s">
        <v>1</v>
      </c>
      <c r="E65">
        <v>97</v>
      </c>
      <c r="F65" t="s">
        <v>0</v>
      </c>
      <c r="G65" t="s">
        <v>0</v>
      </c>
    </row>
    <row r="66" spans="1:10" s="8" customFormat="1" ht="58.2" thickBot="1" x14ac:dyDescent="0.35">
      <c r="A66" s="7" t="s">
        <v>38</v>
      </c>
      <c r="C66" s="9"/>
      <c r="E66" s="8">
        <f>E65-E54</f>
        <v>-56</v>
      </c>
      <c r="F66" s="8">
        <f>F63-F54</f>
        <v>-14</v>
      </c>
      <c r="G66" s="8" t="s">
        <v>0</v>
      </c>
    </row>
    <row r="67" spans="1:10" x14ac:dyDescent="0.3">
      <c r="A67" t="s">
        <v>15</v>
      </c>
      <c r="B67">
        <v>2</v>
      </c>
      <c r="C67" s="3">
        <v>45875</v>
      </c>
      <c r="D67" t="s">
        <v>13</v>
      </c>
      <c r="E67">
        <v>210</v>
      </c>
      <c r="F67">
        <v>120</v>
      </c>
      <c r="G67">
        <v>53</v>
      </c>
      <c r="J67" t="s">
        <v>37</v>
      </c>
    </row>
    <row r="68" spans="1:10" x14ac:dyDescent="0.3">
      <c r="A68" t="s">
        <v>15</v>
      </c>
      <c r="B68">
        <v>2</v>
      </c>
      <c r="C68" s="3">
        <v>45906</v>
      </c>
      <c r="D68" t="s">
        <v>12</v>
      </c>
    </row>
    <row r="69" spans="1:10" x14ac:dyDescent="0.3">
      <c r="A69" t="s">
        <v>15</v>
      </c>
      <c r="B69">
        <v>2</v>
      </c>
      <c r="C69" s="3">
        <v>45937</v>
      </c>
      <c r="D69" t="s">
        <v>11</v>
      </c>
    </row>
    <row r="70" spans="1:10" x14ac:dyDescent="0.3">
      <c r="A70" t="s">
        <v>15</v>
      </c>
      <c r="B70">
        <v>2</v>
      </c>
      <c r="C70" s="3">
        <v>45965</v>
      </c>
      <c r="D70" t="s">
        <v>10</v>
      </c>
      <c r="E70">
        <v>148</v>
      </c>
      <c r="F70">
        <v>91</v>
      </c>
      <c r="G70">
        <v>24</v>
      </c>
    </row>
    <row r="71" spans="1:10" x14ac:dyDescent="0.3">
      <c r="A71" t="s">
        <v>15</v>
      </c>
      <c r="B71">
        <v>2</v>
      </c>
      <c r="C71" s="3">
        <v>46002</v>
      </c>
      <c r="D71" t="s">
        <v>9</v>
      </c>
      <c r="E71">
        <v>108</v>
      </c>
      <c r="F71">
        <v>82</v>
      </c>
      <c r="G71">
        <v>20</v>
      </c>
    </row>
    <row r="72" spans="1:10" x14ac:dyDescent="0.3">
      <c r="A72" t="s">
        <v>15</v>
      </c>
      <c r="B72">
        <v>2</v>
      </c>
      <c r="C72" s="3">
        <v>46045</v>
      </c>
      <c r="D72" t="s">
        <v>8</v>
      </c>
      <c r="E72">
        <v>22</v>
      </c>
      <c r="F72">
        <v>22</v>
      </c>
      <c r="G72">
        <v>22</v>
      </c>
    </row>
    <row r="73" spans="1:10" s="4" customFormat="1" x14ac:dyDescent="0.3">
      <c r="A73" s="4" t="s">
        <v>15</v>
      </c>
      <c r="B73" s="4">
        <v>2</v>
      </c>
      <c r="C73" s="5">
        <v>46073</v>
      </c>
      <c r="D73" s="4" t="s">
        <v>7</v>
      </c>
      <c r="E73" s="4">
        <v>32</v>
      </c>
      <c r="F73" s="4">
        <v>32</v>
      </c>
      <c r="G73" s="4" t="s">
        <v>0</v>
      </c>
    </row>
    <row r="74" spans="1:10" s="4" customFormat="1" x14ac:dyDescent="0.3">
      <c r="A74" s="4" t="s">
        <v>15</v>
      </c>
      <c r="B74" s="4">
        <v>2</v>
      </c>
      <c r="C74" s="5">
        <v>46100</v>
      </c>
      <c r="D74" s="4" t="s">
        <v>6</v>
      </c>
      <c r="E74" s="4">
        <v>29.5</v>
      </c>
      <c r="F74" s="4">
        <v>26.5</v>
      </c>
      <c r="G74" s="4" t="s">
        <v>0</v>
      </c>
    </row>
    <row r="75" spans="1:10" x14ac:dyDescent="0.3">
      <c r="A75" t="s">
        <v>15</v>
      </c>
      <c r="B75">
        <v>2</v>
      </c>
      <c r="C75" s="3">
        <v>46129</v>
      </c>
      <c r="D75" t="s">
        <v>5</v>
      </c>
      <c r="E75">
        <v>29</v>
      </c>
      <c r="F75">
        <v>29</v>
      </c>
      <c r="G75" t="s">
        <v>0</v>
      </c>
    </row>
    <row r="76" spans="1:10" x14ac:dyDescent="0.3">
      <c r="A76" t="s">
        <v>15</v>
      </c>
      <c r="B76">
        <v>2</v>
      </c>
      <c r="C76" s="3">
        <v>46156</v>
      </c>
      <c r="D76" t="s">
        <v>4</v>
      </c>
      <c r="E76">
        <v>17</v>
      </c>
      <c r="F76" t="s">
        <v>0</v>
      </c>
      <c r="G76" t="s">
        <v>0</v>
      </c>
    </row>
    <row r="77" spans="1:10" x14ac:dyDescent="0.3">
      <c r="A77" t="s">
        <v>15</v>
      </c>
      <c r="B77">
        <v>2</v>
      </c>
      <c r="C77" s="3">
        <v>46182</v>
      </c>
      <c r="D77" t="s">
        <v>3</v>
      </c>
      <c r="E77">
        <f>17-50</f>
        <v>-33</v>
      </c>
      <c r="F77">
        <v>0</v>
      </c>
      <c r="G77">
        <v>0</v>
      </c>
      <c r="H77" t="s">
        <v>43</v>
      </c>
    </row>
    <row r="78" spans="1:10" ht="15" thickBot="1" x14ac:dyDescent="0.35">
      <c r="A78" t="s">
        <v>15</v>
      </c>
      <c r="B78">
        <v>2</v>
      </c>
      <c r="C78" s="3">
        <v>46211</v>
      </c>
      <c r="D78" t="s">
        <v>1</v>
      </c>
      <c r="E78">
        <f>E77-3</f>
        <v>-36</v>
      </c>
      <c r="F78" t="s">
        <v>0</v>
      </c>
      <c r="G78" t="s">
        <v>0</v>
      </c>
      <c r="H78" t="s">
        <v>44</v>
      </c>
    </row>
    <row r="79" spans="1:10" s="8" customFormat="1" ht="58.2" thickBot="1" x14ac:dyDescent="0.35">
      <c r="A79" s="7" t="s">
        <v>38</v>
      </c>
      <c r="C79" s="9"/>
      <c r="E79" s="8">
        <f>E78-E67</f>
        <v>-246</v>
      </c>
      <c r="F79" s="8">
        <f ca="1">F79-F67</f>
        <v>0</v>
      </c>
      <c r="G79" s="8">
        <f>G77-G67</f>
        <v>-53</v>
      </c>
    </row>
    <row r="80" spans="1:10" x14ac:dyDescent="0.3">
      <c r="A80" t="s">
        <v>2</v>
      </c>
      <c r="B80">
        <v>1</v>
      </c>
      <c r="C80" s="3">
        <v>45877</v>
      </c>
      <c r="D80" t="s">
        <v>13</v>
      </c>
      <c r="E80" t="s">
        <v>0</v>
      </c>
    </row>
    <row r="81" spans="1:7" x14ac:dyDescent="0.3">
      <c r="A81" t="s">
        <v>2</v>
      </c>
      <c r="B81">
        <v>1</v>
      </c>
      <c r="C81" s="3">
        <v>45908</v>
      </c>
      <c r="D81" t="s">
        <v>12</v>
      </c>
      <c r="E81" t="s">
        <v>0</v>
      </c>
    </row>
    <row r="82" spans="1:7" x14ac:dyDescent="0.3">
      <c r="A82" t="s">
        <v>2</v>
      </c>
      <c r="B82">
        <v>1</v>
      </c>
      <c r="C82" s="3">
        <v>45936</v>
      </c>
      <c r="D82" t="s">
        <v>11</v>
      </c>
      <c r="E82" t="s">
        <v>0</v>
      </c>
    </row>
    <row r="83" spans="1:7" x14ac:dyDescent="0.3">
      <c r="A83" t="s">
        <v>2</v>
      </c>
      <c r="B83">
        <v>1</v>
      </c>
      <c r="C83" s="3">
        <v>45964</v>
      </c>
      <c r="D83" t="s">
        <v>10</v>
      </c>
      <c r="E83" t="s">
        <v>0</v>
      </c>
    </row>
    <row r="84" spans="1:7" x14ac:dyDescent="0.3">
      <c r="A84" t="s">
        <v>2</v>
      </c>
      <c r="B84">
        <v>1</v>
      </c>
      <c r="C84" s="3">
        <v>45993</v>
      </c>
      <c r="D84" t="s">
        <v>9</v>
      </c>
      <c r="E84" t="s">
        <v>0</v>
      </c>
      <c r="F84">
        <v>680</v>
      </c>
      <c r="G84">
        <v>9</v>
      </c>
    </row>
    <row r="85" spans="1:7" x14ac:dyDescent="0.3">
      <c r="A85" t="s">
        <v>2</v>
      </c>
      <c r="B85">
        <v>1</v>
      </c>
      <c r="C85" s="3">
        <v>46033</v>
      </c>
      <c r="D85" t="s">
        <v>8</v>
      </c>
      <c r="E85" t="s">
        <v>0</v>
      </c>
      <c r="F85">
        <v>606</v>
      </c>
      <c r="G85">
        <v>25</v>
      </c>
    </row>
    <row r="86" spans="1:7" x14ac:dyDescent="0.3">
      <c r="A86" t="s">
        <v>2</v>
      </c>
      <c r="B86">
        <v>1</v>
      </c>
      <c r="C86" s="3">
        <v>46059</v>
      </c>
      <c r="D86" t="s">
        <v>7</v>
      </c>
    </row>
    <row r="87" spans="1:7" s="4" customFormat="1" x14ac:dyDescent="0.3">
      <c r="A87" s="4" t="s">
        <v>2</v>
      </c>
      <c r="B87" s="4">
        <v>1</v>
      </c>
      <c r="C87" s="5">
        <v>46087</v>
      </c>
      <c r="D87" s="4" t="s">
        <v>6</v>
      </c>
      <c r="E87" s="4" t="s">
        <v>0</v>
      </c>
      <c r="F87" s="4">
        <v>681</v>
      </c>
      <c r="G87" s="4">
        <v>23</v>
      </c>
    </row>
    <row r="88" spans="1:7" x14ac:dyDescent="0.3">
      <c r="A88" t="s">
        <v>2</v>
      </c>
      <c r="B88">
        <v>1</v>
      </c>
      <c r="C88" s="3">
        <v>46115</v>
      </c>
      <c r="D88" t="s">
        <v>5</v>
      </c>
      <c r="E88" t="s">
        <v>0</v>
      </c>
      <c r="F88">
        <v>570</v>
      </c>
      <c r="G88">
        <v>29</v>
      </c>
    </row>
    <row r="89" spans="1:7" x14ac:dyDescent="0.3">
      <c r="A89" t="s">
        <v>2</v>
      </c>
      <c r="B89">
        <v>1</v>
      </c>
      <c r="C89" s="3">
        <v>46142</v>
      </c>
      <c r="D89" t="s">
        <v>4</v>
      </c>
      <c r="E89" t="s">
        <v>0</v>
      </c>
      <c r="F89">
        <v>522</v>
      </c>
      <c r="G89">
        <v>17</v>
      </c>
    </row>
    <row r="90" spans="1:7" x14ac:dyDescent="0.3">
      <c r="A90" t="s">
        <v>2</v>
      </c>
      <c r="B90">
        <v>1</v>
      </c>
      <c r="C90" s="3">
        <v>46185</v>
      </c>
      <c r="D90" t="s">
        <v>3</v>
      </c>
      <c r="E90" t="s">
        <v>0</v>
      </c>
      <c r="F90">
        <v>684</v>
      </c>
      <c r="G90">
        <v>34</v>
      </c>
    </row>
    <row r="91" spans="1:7" ht="15" thickBot="1" x14ac:dyDescent="0.35">
      <c r="A91" t="s">
        <v>2</v>
      </c>
      <c r="B91">
        <v>1</v>
      </c>
      <c r="C91" s="3">
        <v>46209</v>
      </c>
      <c r="D91" t="s">
        <v>1</v>
      </c>
      <c r="E91" t="s">
        <v>0</v>
      </c>
      <c r="F91">
        <v>634</v>
      </c>
      <c r="G91">
        <v>13</v>
      </c>
    </row>
    <row r="92" spans="1:7" s="8" customFormat="1" ht="58.2" thickBot="1" x14ac:dyDescent="0.35">
      <c r="A92" s="7" t="s">
        <v>38</v>
      </c>
      <c r="C92" s="9"/>
      <c r="F92" s="8">
        <f>F91-F84</f>
        <v>-46</v>
      </c>
      <c r="G92" s="8">
        <f>G91-G84</f>
        <v>4</v>
      </c>
    </row>
    <row r="93" spans="1:7" x14ac:dyDescent="0.3">
      <c r="A93" t="s">
        <v>2</v>
      </c>
      <c r="B93">
        <v>2</v>
      </c>
      <c r="C93" s="3">
        <v>45877</v>
      </c>
      <c r="D93" t="s">
        <v>13</v>
      </c>
      <c r="E93" t="s">
        <v>0</v>
      </c>
    </row>
    <row r="94" spans="1:7" x14ac:dyDescent="0.3">
      <c r="A94" t="s">
        <v>2</v>
      </c>
      <c r="B94">
        <v>2</v>
      </c>
      <c r="C94" s="3">
        <v>45908</v>
      </c>
      <c r="D94" t="s">
        <v>12</v>
      </c>
      <c r="E94" t="s">
        <v>0</v>
      </c>
    </row>
    <row r="95" spans="1:7" x14ac:dyDescent="0.3">
      <c r="A95" t="s">
        <v>2</v>
      </c>
      <c r="B95">
        <v>2</v>
      </c>
      <c r="C95" s="3">
        <v>45936</v>
      </c>
      <c r="D95" t="s">
        <v>11</v>
      </c>
      <c r="E95" t="s">
        <v>0</v>
      </c>
    </row>
    <row r="96" spans="1:7" x14ac:dyDescent="0.3">
      <c r="A96" t="s">
        <v>2</v>
      </c>
      <c r="B96">
        <v>2</v>
      </c>
      <c r="C96" s="3">
        <v>45964</v>
      </c>
      <c r="D96" t="s">
        <v>10</v>
      </c>
      <c r="E96" t="s">
        <v>0</v>
      </c>
    </row>
    <row r="97" spans="1:7" x14ac:dyDescent="0.3">
      <c r="A97" t="s">
        <v>2</v>
      </c>
      <c r="B97">
        <v>2</v>
      </c>
      <c r="C97" s="3">
        <v>45993</v>
      </c>
      <c r="D97" t="s">
        <v>9</v>
      </c>
      <c r="E97" t="s">
        <v>0</v>
      </c>
      <c r="F97">
        <v>745</v>
      </c>
      <c r="G97">
        <v>7</v>
      </c>
    </row>
    <row r="98" spans="1:7" x14ac:dyDescent="0.3">
      <c r="A98" t="s">
        <v>2</v>
      </c>
      <c r="B98">
        <v>2</v>
      </c>
      <c r="C98" s="3">
        <v>46033</v>
      </c>
      <c r="D98" t="s">
        <v>8</v>
      </c>
      <c r="E98" t="s">
        <v>0</v>
      </c>
      <c r="F98">
        <v>586</v>
      </c>
      <c r="G98">
        <v>11</v>
      </c>
    </row>
    <row r="99" spans="1:7" x14ac:dyDescent="0.3">
      <c r="A99" t="s">
        <v>2</v>
      </c>
      <c r="B99">
        <v>2</v>
      </c>
      <c r="C99" s="3">
        <v>46059</v>
      </c>
      <c r="D99" t="s">
        <v>7</v>
      </c>
      <c r="E99" t="s">
        <v>0</v>
      </c>
    </row>
    <row r="100" spans="1:7" s="4" customFormat="1" x14ac:dyDescent="0.3">
      <c r="A100" s="4" t="s">
        <v>2</v>
      </c>
      <c r="B100" s="4">
        <v>2</v>
      </c>
      <c r="C100" s="5">
        <v>46087</v>
      </c>
      <c r="D100" s="4" t="s">
        <v>6</v>
      </c>
      <c r="E100" s="4" t="s">
        <v>0</v>
      </c>
      <c r="F100" s="4">
        <v>6</v>
      </c>
      <c r="G100" s="4">
        <v>12</v>
      </c>
    </row>
    <row r="101" spans="1:7" x14ac:dyDescent="0.3">
      <c r="A101" t="s">
        <v>2</v>
      </c>
      <c r="B101">
        <v>2</v>
      </c>
      <c r="C101" s="3">
        <v>46115</v>
      </c>
      <c r="D101" t="s">
        <v>5</v>
      </c>
      <c r="E101" t="s">
        <v>0</v>
      </c>
      <c r="F101">
        <v>600</v>
      </c>
      <c r="G101">
        <v>16</v>
      </c>
    </row>
    <row r="102" spans="1:7" x14ac:dyDescent="0.3">
      <c r="A102" t="s">
        <v>2</v>
      </c>
      <c r="B102">
        <v>2</v>
      </c>
      <c r="C102" s="3">
        <v>46142</v>
      </c>
      <c r="D102" t="s">
        <v>4</v>
      </c>
      <c r="E102" t="s">
        <v>0</v>
      </c>
      <c r="F102">
        <v>647</v>
      </c>
      <c r="G102">
        <v>10</v>
      </c>
    </row>
    <row r="103" spans="1:7" x14ac:dyDescent="0.3">
      <c r="A103" t="s">
        <v>2</v>
      </c>
      <c r="B103">
        <v>2</v>
      </c>
      <c r="C103" s="3">
        <v>46185</v>
      </c>
      <c r="D103" t="s">
        <v>3</v>
      </c>
      <c r="E103" t="s">
        <v>0</v>
      </c>
      <c r="F103">
        <v>735</v>
      </c>
      <c r="G103">
        <v>9</v>
      </c>
    </row>
    <row r="104" spans="1:7" ht="15" thickBot="1" x14ac:dyDescent="0.35">
      <c r="A104" t="s">
        <v>2</v>
      </c>
      <c r="B104">
        <v>2</v>
      </c>
      <c r="C104" s="3">
        <v>46209</v>
      </c>
      <c r="D104" t="s">
        <v>1</v>
      </c>
      <c r="E104" t="s">
        <v>0</v>
      </c>
      <c r="F104">
        <v>600</v>
      </c>
      <c r="G104">
        <v>9</v>
      </c>
    </row>
    <row r="105" spans="1:7" s="10" customFormat="1" ht="58.2" thickBot="1" x14ac:dyDescent="0.35">
      <c r="A105" s="7" t="s">
        <v>38</v>
      </c>
      <c r="C105" s="11"/>
      <c r="F105" s="8">
        <f>F104-F97</f>
        <v>-145</v>
      </c>
      <c r="G105" s="8">
        <f>G104-G97</f>
        <v>2</v>
      </c>
    </row>
  </sheetData>
  <sortState xmlns:xlrd2="http://schemas.microsoft.com/office/spreadsheetml/2017/richdata2" ref="A2:I104">
    <sortCondition ref="A2:A104"/>
    <sortCondition ref="B2:B104"/>
    <sortCondition ref="C2:C104"/>
  </sortState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marsh_edge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Savannah Miller</dc:creator>
  <cp:lastModifiedBy>Savannah Karin Miller</cp:lastModifiedBy>
  <dcterms:created xsi:type="dcterms:W3CDTF">2026-06-16T21:27:50Z</dcterms:created>
  <dcterms:modified xsi:type="dcterms:W3CDTF">2026-08-05T06:09:30Z</dcterms:modified>
</cp:coreProperties>
</file>