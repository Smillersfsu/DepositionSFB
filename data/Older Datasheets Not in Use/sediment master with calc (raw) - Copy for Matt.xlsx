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Code/GitHub/DepositionSFB/data/"/>
    </mc:Choice>
  </mc:AlternateContent>
  <xr:revisionPtr revIDLastSave="37" documentId="8_{F3B3BCA2-F84D-424D-9330-FD0ED96F47A4}" xr6:coauthVersionLast="47" xr6:coauthVersionMax="47" xr10:uidLastSave="{3E9959E5-10B9-40C2-9CF0-5D5A31822AD6}"/>
  <bookViews>
    <workbookView xWindow="28680" yWindow="-120" windowWidth="29040" windowHeight="16440" xr2:uid="{4590F79B-3558-41AA-8CC7-A2C40F685B87}"/>
  </bookViews>
  <sheets>
    <sheet name="sediment master with calc (raw)" sheetId="1" r:id="rId1"/>
  </sheets>
  <definedNames>
    <definedName name="_xlnm._FilterDatabase" localSheetId="0" hidden="1">'sediment master with calc (raw)'!$A$1:$T$2164</definedName>
  </definedNames>
  <calcPr calcId="0"/>
</workbook>
</file>

<file path=xl/calcChain.xml><?xml version="1.0" encoding="utf-8"?>
<calcChain xmlns="http://schemas.openxmlformats.org/spreadsheetml/2006/main">
  <c r="N834" i="1" l="1"/>
  <c r="P834" i="1" s="1"/>
  <c r="O834" i="1"/>
  <c r="R834" i="1"/>
  <c r="N1020" i="1"/>
  <c r="P1020" i="1" s="1"/>
  <c r="O1020" i="1"/>
  <c r="R1020" i="1"/>
  <c r="N1021" i="1"/>
  <c r="P1021" i="1" s="1"/>
  <c r="O1021" i="1"/>
  <c r="R1021" i="1"/>
  <c r="N1022" i="1"/>
  <c r="P1022" i="1" s="1"/>
  <c r="O1022" i="1"/>
  <c r="R1022" i="1"/>
  <c r="N1023" i="1"/>
  <c r="P1023" i="1" s="1"/>
  <c r="O1023" i="1"/>
  <c r="R1023" i="1"/>
  <c r="N1024" i="1"/>
  <c r="P1024" i="1" s="1"/>
  <c r="O1024" i="1"/>
  <c r="R1024" i="1"/>
  <c r="N1025" i="1"/>
  <c r="P1025" i="1" s="1"/>
  <c r="O1025" i="1"/>
  <c r="R1025" i="1"/>
  <c r="N1026" i="1"/>
  <c r="P1026" i="1" s="1"/>
  <c r="O1026" i="1"/>
  <c r="R1026" i="1"/>
  <c r="N1027" i="1"/>
  <c r="P1027" i="1" s="1"/>
  <c r="O1027" i="1"/>
  <c r="R1027" i="1"/>
  <c r="N1028" i="1"/>
  <c r="P1028" i="1" s="1"/>
  <c r="O1028" i="1"/>
  <c r="R1028" i="1"/>
  <c r="N1029" i="1"/>
  <c r="P1029" i="1" s="1"/>
  <c r="O1029" i="1"/>
  <c r="R1029" i="1"/>
  <c r="N1030" i="1"/>
  <c r="P1030" i="1" s="1"/>
  <c r="O1030" i="1"/>
  <c r="R1030" i="1"/>
  <c r="N1031" i="1"/>
  <c r="P1031" i="1" s="1"/>
  <c r="O1031" i="1"/>
  <c r="R1031" i="1"/>
  <c r="N1032" i="1"/>
  <c r="P1032" i="1" s="1"/>
  <c r="O1032" i="1"/>
  <c r="R1032" i="1"/>
  <c r="N1033" i="1"/>
  <c r="P1033" i="1" s="1"/>
  <c r="O1033" i="1"/>
  <c r="R1033" i="1"/>
  <c r="N1034" i="1"/>
  <c r="P1034" i="1" s="1"/>
  <c r="O1034" i="1"/>
  <c r="R1034" i="1"/>
  <c r="N1035" i="1"/>
  <c r="P1035" i="1" s="1"/>
  <c r="O1035" i="1"/>
  <c r="R1035" i="1"/>
  <c r="N1036" i="1"/>
  <c r="P1036" i="1" s="1"/>
  <c r="O1036" i="1"/>
  <c r="R1036" i="1"/>
  <c r="N1040" i="1"/>
  <c r="P1040" i="1" s="1"/>
  <c r="O1040" i="1"/>
  <c r="R1040" i="1"/>
  <c r="N1041" i="1"/>
  <c r="P1041" i="1" s="1"/>
  <c r="O1041" i="1"/>
  <c r="R1041" i="1"/>
  <c r="N1042" i="1"/>
  <c r="P1042" i="1" s="1"/>
  <c r="O1042" i="1"/>
  <c r="R1042" i="1"/>
  <c r="N1043" i="1"/>
  <c r="P1043" i="1" s="1"/>
  <c r="O1043" i="1"/>
  <c r="R1043" i="1"/>
  <c r="N1044" i="1"/>
  <c r="P1044" i="1" s="1"/>
  <c r="O1044" i="1"/>
  <c r="R1044" i="1"/>
  <c r="N1045" i="1"/>
  <c r="P1045" i="1" s="1"/>
  <c r="O1045" i="1"/>
  <c r="R1045" i="1"/>
  <c r="N1046" i="1"/>
  <c r="P1046" i="1" s="1"/>
  <c r="O1046" i="1"/>
  <c r="R1046" i="1"/>
  <c r="N1047" i="1"/>
  <c r="P1047" i="1" s="1"/>
  <c r="O1047" i="1"/>
  <c r="R1047" i="1"/>
  <c r="N1048" i="1"/>
  <c r="P1048" i="1" s="1"/>
  <c r="O1048" i="1"/>
  <c r="R1048" i="1"/>
  <c r="N1049" i="1"/>
  <c r="P1049" i="1" s="1"/>
  <c r="O1049" i="1"/>
  <c r="R1049" i="1"/>
  <c r="N1050" i="1"/>
  <c r="P1050" i="1" s="1"/>
  <c r="O1050" i="1"/>
  <c r="R1050" i="1"/>
  <c r="N1051" i="1"/>
  <c r="P1051" i="1" s="1"/>
  <c r="O1051" i="1"/>
  <c r="R1051" i="1"/>
  <c r="N1052" i="1"/>
  <c r="P1052" i="1" s="1"/>
  <c r="O1052" i="1"/>
  <c r="R1052" i="1"/>
  <c r="N1053" i="1"/>
  <c r="P1053" i="1" s="1"/>
  <c r="O1053" i="1"/>
  <c r="R1053" i="1"/>
  <c r="N1054" i="1"/>
  <c r="P1054" i="1" s="1"/>
  <c r="O1054" i="1"/>
  <c r="R1054" i="1"/>
  <c r="N1055" i="1"/>
  <c r="P1055" i="1" s="1"/>
  <c r="O1055" i="1"/>
  <c r="R1055" i="1"/>
  <c r="N1056" i="1"/>
  <c r="P1056" i="1" s="1"/>
  <c r="O1056" i="1"/>
  <c r="R1056" i="1"/>
  <c r="N1057" i="1"/>
  <c r="P1057" i="1" s="1"/>
  <c r="O1057" i="1"/>
  <c r="R1057" i="1"/>
  <c r="N1037" i="1"/>
  <c r="P1037" i="1" s="1"/>
  <c r="O1037" i="1"/>
  <c r="R1037" i="1"/>
  <c r="N1038" i="1"/>
  <c r="P1038" i="1" s="1"/>
  <c r="O1038" i="1"/>
  <c r="R1038" i="1"/>
  <c r="N1039" i="1"/>
  <c r="P1039" i="1" s="1"/>
  <c r="O1039" i="1"/>
  <c r="R1039" i="1"/>
  <c r="N1058" i="1"/>
  <c r="P1058" i="1" s="1"/>
  <c r="O1058" i="1"/>
  <c r="R1058" i="1"/>
  <c r="N2" i="1"/>
  <c r="P2" i="1" s="1"/>
  <c r="O2" i="1"/>
  <c r="R2" i="1"/>
  <c r="N3" i="1"/>
  <c r="P3" i="1" s="1"/>
  <c r="O3" i="1"/>
  <c r="R3" i="1"/>
  <c r="N4" i="1"/>
  <c r="P4" i="1" s="1"/>
  <c r="O4" i="1"/>
  <c r="R4" i="1"/>
  <c r="N5" i="1"/>
  <c r="P5" i="1" s="1"/>
  <c r="O5" i="1"/>
  <c r="R5" i="1"/>
  <c r="N6" i="1"/>
  <c r="P6" i="1" s="1"/>
  <c r="O6" i="1"/>
  <c r="R6" i="1"/>
  <c r="N7" i="1"/>
  <c r="P7" i="1" s="1"/>
  <c r="O7" i="1"/>
  <c r="R7" i="1"/>
  <c r="N8" i="1"/>
  <c r="P8" i="1" s="1"/>
  <c r="O8" i="1"/>
  <c r="R8" i="1"/>
  <c r="N9" i="1"/>
  <c r="P9" i="1" s="1"/>
  <c r="O9" i="1"/>
  <c r="R9" i="1"/>
  <c r="N10" i="1"/>
  <c r="P10" i="1" s="1"/>
  <c r="O10" i="1"/>
  <c r="R10" i="1"/>
  <c r="N11" i="1"/>
  <c r="P11" i="1" s="1"/>
  <c r="O11" i="1"/>
  <c r="R11" i="1"/>
  <c r="N12" i="1"/>
  <c r="P12" i="1" s="1"/>
  <c r="O12" i="1"/>
  <c r="R12" i="1"/>
  <c r="N13" i="1"/>
  <c r="P13" i="1" s="1"/>
  <c r="O13" i="1"/>
  <c r="R13" i="1"/>
  <c r="N17" i="1"/>
  <c r="P17" i="1" s="1"/>
  <c r="O17" i="1"/>
  <c r="R17" i="1"/>
  <c r="N18" i="1"/>
  <c r="P18" i="1" s="1"/>
  <c r="O18" i="1"/>
  <c r="R18" i="1"/>
  <c r="N19" i="1"/>
  <c r="P19" i="1" s="1"/>
  <c r="O19" i="1"/>
  <c r="R19" i="1"/>
  <c r="N20" i="1"/>
  <c r="P20" i="1" s="1"/>
  <c r="O20" i="1"/>
  <c r="R20" i="1"/>
  <c r="N21" i="1"/>
  <c r="P21" i="1" s="1"/>
  <c r="O21" i="1"/>
  <c r="R21" i="1"/>
  <c r="N22" i="1"/>
  <c r="P22" i="1" s="1"/>
  <c r="O22" i="1"/>
  <c r="R22" i="1"/>
  <c r="N23" i="1"/>
  <c r="P23" i="1" s="1"/>
  <c r="O23" i="1"/>
  <c r="R23" i="1"/>
  <c r="N24" i="1"/>
  <c r="P24" i="1" s="1"/>
  <c r="O24" i="1"/>
  <c r="R24" i="1"/>
  <c r="N25" i="1"/>
  <c r="P25" i="1" s="1"/>
  <c r="O25" i="1"/>
  <c r="R25" i="1"/>
  <c r="N26" i="1"/>
  <c r="P26" i="1" s="1"/>
  <c r="O26" i="1"/>
  <c r="R26" i="1"/>
  <c r="N27" i="1"/>
  <c r="P27" i="1" s="1"/>
  <c r="O27" i="1"/>
  <c r="R27" i="1"/>
  <c r="N28" i="1"/>
  <c r="P28" i="1" s="1"/>
  <c r="O28" i="1"/>
  <c r="R28" i="1"/>
  <c r="N29" i="1"/>
  <c r="P29" i="1" s="1"/>
  <c r="O29" i="1"/>
  <c r="R29" i="1"/>
  <c r="N30" i="1"/>
  <c r="P30" i="1" s="1"/>
  <c r="O30" i="1"/>
  <c r="R30" i="1"/>
  <c r="N31" i="1"/>
  <c r="P31" i="1" s="1"/>
  <c r="O31" i="1"/>
  <c r="R31" i="1"/>
  <c r="N32" i="1"/>
  <c r="P32" i="1" s="1"/>
  <c r="O32" i="1"/>
  <c r="R32" i="1"/>
  <c r="N33" i="1"/>
  <c r="P33" i="1" s="1"/>
  <c r="O33" i="1"/>
  <c r="R33" i="1"/>
  <c r="N34" i="1"/>
  <c r="P34" i="1" s="1"/>
  <c r="O34" i="1"/>
  <c r="R34" i="1"/>
  <c r="N35" i="1"/>
  <c r="P35" i="1" s="1"/>
  <c r="O35" i="1"/>
  <c r="R35" i="1"/>
  <c r="N36" i="1"/>
  <c r="P36" i="1" s="1"/>
  <c r="O36" i="1"/>
  <c r="R36" i="1"/>
  <c r="N37" i="1"/>
  <c r="P37" i="1" s="1"/>
  <c r="O37" i="1"/>
  <c r="R37" i="1"/>
  <c r="N38" i="1"/>
  <c r="P38" i="1" s="1"/>
  <c r="O38" i="1"/>
  <c r="R38" i="1"/>
  <c r="N39" i="1"/>
  <c r="P39" i="1" s="1"/>
  <c r="O39" i="1"/>
  <c r="R39" i="1"/>
  <c r="N40" i="1"/>
  <c r="P40" i="1" s="1"/>
  <c r="O40" i="1"/>
  <c r="R40" i="1"/>
  <c r="N14" i="1"/>
  <c r="P14" i="1" s="1"/>
  <c r="O14" i="1"/>
  <c r="R14" i="1"/>
  <c r="N15" i="1"/>
  <c r="P15" i="1" s="1"/>
  <c r="O15" i="1"/>
  <c r="R15" i="1"/>
  <c r="N16" i="1"/>
  <c r="P16" i="1" s="1"/>
  <c r="O16" i="1"/>
  <c r="R16" i="1"/>
  <c r="N41" i="1"/>
  <c r="P41" i="1" s="1"/>
  <c r="O41" i="1"/>
  <c r="R41" i="1"/>
  <c r="N82" i="1"/>
  <c r="P82" i="1" s="1"/>
  <c r="O82" i="1"/>
  <c r="R82" i="1"/>
  <c r="N83" i="1"/>
  <c r="P83" i="1" s="1"/>
  <c r="O83" i="1"/>
  <c r="R83" i="1"/>
  <c r="N84" i="1"/>
  <c r="P84" i="1" s="1"/>
  <c r="O84" i="1"/>
  <c r="R84" i="1"/>
  <c r="N85" i="1"/>
  <c r="P85" i="1" s="1"/>
  <c r="O85" i="1"/>
  <c r="R85" i="1"/>
  <c r="N86" i="1"/>
  <c r="P86" i="1" s="1"/>
  <c r="O86" i="1"/>
  <c r="R86" i="1"/>
  <c r="N87" i="1"/>
  <c r="P87" i="1" s="1"/>
  <c r="O87" i="1"/>
  <c r="R87" i="1"/>
  <c r="N88" i="1"/>
  <c r="P88" i="1" s="1"/>
  <c r="O88" i="1"/>
  <c r="R88" i="1"/>
  <c r="N89" i="1"/>
  <c r="P89" i="1" s="1"/>
  <c r="O89" i="1"/>
  <c r="R89" i="1"/>
  <c r="N90" i="1"/>
  <c r="P90" i="1" s="1"/>
  <c r="O90" i="1"/>
  <c r="R90" i="1"/>
  <c r="N91" i="1"/>
  <c r="P91" i="1" s="1"/>
  <c r="O91" i="1"/>
  <c r="R91" i="1"/>
  <c r="N92" i="1"/>
  <c r="P92" i="1" s="1"/>
  <c r="O92" i="1"/>
  <c r="R92" i="1"/>
  <c r="N93" i="1"/>
  <c r="P93" i="1" s="1"/>
  <c r="O93" i="1"/>
  <c r="R93" i="1"/>
  <c r="N94" i="1"/>
  <c r="P94" i="1" s="1"/>
  <c r="O94" i="1"/>
  <c r="R94" i="1"/>
  <c r="N95" i="1"/>
  <c r="P95" i="1" s="1"/>
  <c r="O95" i="1"/>
  <c r="R95" i="1"/>
  <c r="N96" i="1"/>
  <c r="P96" i="1" s="1"/>
  <c r="O96" i="1"/>
  <c r="R96" i="1"/>
  <c r="N97" i="1"/>
  <c r="P97" i="1" s="1"/>
  <c r="O97" i="1"/>
  <c r="R97" i="1"/>
  <c r="N98" i="1"/>
  <c r="P98" i="1" s="1"/>
  <c r="O98" i="1"/>
  <c r="R98" i="1"/>
  <c r="N99" i="1"/>
  <c r="P99" i="1" s="1"/>
  <c r="O99" i="1"/>
  <c r="R99" i="1"/>
  <c r="N100" i="1"/>
  <c r="P100" i="1" s="1"/>
  <c r="O100" i="1"/>
  <c r="R100" i="1"/>
  <c r="N101" i="1"/>
  <c r="P101" i="1" s="1"/>
  <c r="O101" i="1"/>
  <c r="R101" i="1"/>
  <c r="N102" i="1"/>
  <c r="P102" i="1" s="1"/>
  <c r="O102" i="1"/>
  <c r="R102" i="1"/>
  <c r="N103" i="1"/>
  <c r="P103" i="1" s="1"/>
  <c r="O103" i="1"/>
  <c r="R103" i="1"/>
  <c r="N104" i="1"/>
  <c r="P104" i="1" s="1"/>
  <c r="O104" i="1"/>
  <c r="R104" i="1"/>
  <c r="N105" i="1"/>
  <c r="P105" i="1" s="1"/>
  <c r="O105" i="1"/>
  <c r="R105" i="1"/>
  <c r="N106" i="1"/>
  <c r="P106" i="1" s="1"/>
  <c r="O106" i="1"/>
  <c r="R106" i="1"/>
  <c r="N107" i="1"/>
  <c r="P107" i="1" s="1"/>
  <c r="O107" i="1"/>
  <c r="R107" i="1"/>
  <c r="N108" i="1"/>
  <c r="P108" i="1" s="1"/>
  <c r="O108" i="1"/>
  <c r="R108" i="1"/>
  <c r="N109" i="1"/>
  <c r="P109" i="1" s="1"/>
  <c r="O109" i="1"/>
  <c r="R109" i="1"/>
  <c r="N110" i="1"/>
  <c r="P110" i="1" s="1"/>
  <c r="O110" i="1"/>
  <c r="R110" i="1"/>
  <c r="N111" i="1"/>
  <c r="P111" i="1" s="1"/>
  <c r="O111" i="1"/>
  <c r="R111" i="1"/>
  <c r="N112" i="1"/>
  <c r="P112" i="1" s="1"/>
  <c r="O112" i="1"/>
  <c r="R112" i="1"/>
  <c r="N113" i="1"/>
  <c r="P113" i="1" s="1"/>
  <c r="O113" i="1"/>
  <c r="R113" i="1"/>
  <c r="N114" i="1"/>
  <c r="P114" i="1" s="1"/>
  <c r="O114" i="1"/>
  <c r="R114" i="1"/>
  <c r="N115" i="1"/>
  <c r="P115" i="1" s="1"/>
  <c r="O115" i="1"/>
  <c r="R115" i="1"/>
  <c r="N116" i="1"/>
  <c r="P116" i="1" s="1"/>
  <c r="O116" i="1"/>
  <c r="R116" i="1"/>
  <c r="N117" i="1"/>
  <c r="P117" i="1" s="1"/>
  <c r="O117" i="1"/>
  <c r="R117" i="1"/>
  <c r="N118" i="1"/>
  <c r="P118" i="1" s="1"/>
  <c r="O118" i="1"/>
  <c r="R118" i="1"/>
  <c r="N119" i="1"/>
  <c r="P119" i="1" s="1"/>
  <c r="O119" i="1"/>
  <c r="R119" i="1"/>
  <c r="N120" i="1"/>
  <c r="P120" i="1" s="1"/>
  <c r="O120" i="1"/>
  <c r="R120" i="1"/>
  <c r="N121" i="1"/>
  <c r="P121" i="1" s="1"/>
  <c r="O121" i="1"/>
  <c r="R121" i="1"/>
  <c r="N42" i="1"/>
  <c r="P42" i="1" s="1"/>
  <c r="O42" i="1"/>
  <c r="R42" i="1"/>
  <c r="N43" i="1"/>
  <c r="P43" i="1" s="1"/>
  <c r="O43" i="1"/>
  <c r="R43" i="1"/>
  <c r="N44" i="1"/>
  <c r="P44" i="1" s="1"/>
  <c r="O44" i="1"/>
  <c r="R44" i="1"/>
  <c r="N45" i="1"/>
  <c r="P45" i="1" s="1"/>
  <c r="O45" i="1"/>
  <c r="R45" i="1"/>
  <c r="N46" i="1"/>
  <c r="P46" i="1" s="1"/>
  <c r="O46" i="1"/>
  <c r="R46" i="1"/>
  <c r="N47" i="1"/>
  <c r="P47" i="1" s="1"/>
  <c r="O47" i="1"/>
  <c r="R47" i="1"/>
  <c r="N48" i="1"/>
  <c r="P48" i="1" s="1"/>
  <c r="O48" i="1"/>
  <c r="R48" i="1"/>
  <c r="N49" i="1"/>
  <c r="P49" i="1" s="1"/>
  <c r="O49" i="1"/>
  <c r="R49" i="1"/>
  <c r="N50" i="1"/>
  <c r="P50" i="1" s="1"/>
  <c r="O50" i="1"/>
  <c r="R50" i="1"/>
  <c r="N51" i="1"/>
  <c r="P51" i="1" s="1"/>
  <c r="O51" i="1"/>
  <c r="R51" i="1"/>
  <c r="N52" i="1"/>
  <c r="P52" i="1" s="1"/>
  <c r="O52" i="1"/>
  <c r="R52" i="1"/>
  <c r="N53" i="1"/>
  <c r="P53" i="1" s="1"/>
  <c r="O53" i="1"/>
  <c r="R53" i="1"/>
  <c r="N54" i="1"/>
  <c r="P54" i="1" s="1"/>
  <c r="O54" i="1"/>
  <c r="R54" i="1"/>
  <c r="N55" i="1"/>
  <c r="P55" i="1" s="1"/>
  <c r="O55" i="1"/>
  <c r="R55" i="1"/>
  <c r="N56" i="1"/>
  <c r="P56" i="1" s="1"/>
  <c r="O56" i="1"/>
  <c r="R56" i="1"/>
  <c r="N57" i="1"/>
  <c r="P57" i="1" s="1"/>
  <c r="O57" i="1"/>
  <c r="R57" i="1"/>
  <c r="N58" i="1"/>
  <c r="P58" i="1" s="1"/>
  <c r="O58" i="1"/>
  <c r="R58" i="1"/>
  <c r="N59" i="1"/>
  <c r="P59" i="1" s="1"/>
  <c r="O59" i="1"/>
  <c r="R59" i="1"/>
  <c r="N60" i="1"/>
  <c r="P60" i="1" s="1"/>
  <c r="O60" i="1"/>
  <c r="R60" i="1"/>
  <c r="N61" i="1"/>
  <c r="P61" i="1" s="1"/>
  <c r="O61" i="1"/>
  <c r="R61" i="1"/>
  <c r="N62" i="1"/>
  <c r="P62" i="1" s="1"/>
  <c r="O62" i="1"/>
  <c r="R62" i="1"/>
  <c r="N63" i="1"/>
  <c r="P63" i="1" s="1"/>
  <c r="O63" i="1"/>
  <c r="R63" i="1"/>
  <c r="N64" i="1"/>
  <c r="P64" i="1" s="1"/>
  <c r="O64" i="1"/>
  <c r="R64" i="1"/>
  <c r="N65" i="1"/>
  <c r="P65" i="1" s="1"/>
  <c r="O65" i="1"/>
  <c r="R65" i="1"/>
  <c r="N66" i="1"/>
  <c r="P66" i="1" s="1"/>
  <c r="O66" i="1"/>
  <c r="R66" i="1"/>
  <c r="N67" i="1"/>
  <c r="P67" i="1" s="1"/>
  <c r="O67" i="1"/>
  <c r="R67" i="1"/>
  <c r="N68" i="1"/>
  <c r="P68" i="1" s="1"/>
  <c r="O68" i="1"/>
  <c r="R68" i="1"/>
  <c r="N69" i="1"/>
  <c r="P69" i="1" s="1"/>
  <c r="O69" i="1"/>
  <c r="R69" i="1"/>
  <c r="N70" i="1"/>
  <c r="P70" i="1" s="1"/>
  <c r="O70" i="1"/>
  <c r="R70" i="1"/>
  <c r="N71" i="1"/>
  <c r="P71" i="1" s="1"/>
  <c r="O71" i="1"/>
  <c r="R71" i="1"/>
  <c r="N72" i="1"/>
  <c r="P72" i="1" s="1"/>
  <c r="O72" i="1"/>
  <c r="R72" i="1"/>
  <c r="N73" i="1"/>
  <c r="P73" i="1" s="1"/>
  <c r="O73" i="1"/>
  <c r="R73" i="1"/>
  <c r="N74" i="1"/>
  <c r="P74" i="1" s="1"/>
  <c r="O74" i="1"/>
  <c r="R74" i="1"/>
  <c r="N75" i="1"/>
  <c r="P75" i="1" s="1"/>
  <c r="O75" i="1"/>
  <c r="R75" i="1"/>
  <c r="N76" i="1"/>
  <c r="P76" i="1" s="1"/>
  <c r="O76" i="1"/>
  <c r="R76" i="1"/>
  <c r="N77" i="1"/>
  <c r="P77" i="1" s="1"/>
  <c r="O77" i="1"/>
  <c r="R77" i="1"/>
  <c r="N78" i="1"/>
  <c r="P78" i="1" s="1"/>
  <c r="O78" i="1"/>
  <c r="R78" i="1"/>
  <c r="N79" i="1"/>
  <c r="P79" i="1" s="1"/>
  <c r="O79" i="1"/>
  <c r="R79" i="1"/>
  <c r="N80" i="1"/>
  <c r="P80" i="1" s="1"/>
  <c r="O80" i="1"/>
  <c r="R80" i="1"/>
  <c r="N81" i="1"/>
  <c r="P81" i="1" s="1"/>
  <c r="O81" i="1"/>
  <c r="R81" i="1"/>
  <c r="N122" i="1"/>
  <c r="P122" i="1" s="1"/>
  <c r="O122" i="1"/>
  <c r="R122" i="1"/>
  <c r="N123" i="1"/>
  <c r="P123" i="1" s="1"/>
  <c r="O123" i="1"/>
  <c r="R123" i="1"/>
  <c r="N124" i="1"/>
  <c r="P124" i="1" s="1"/>
  <c r="O124" i="1"/>
  <c r="R124" i="1"/>
  <c r="N125" i="1"/>
  <c r="P125" i="1" s="1"/>
  <c r="O125" i="1"/>
  <c r="R125" i="1"/>
  <c r="N126" i="1"/>
  <c r="P126" i="1" s="1"/>
  <c r="O126" i="1"/>
  <c r="R126" i="1"/>
  <c r="N127" i="1"/>
  <c r="P127" i="1" s="1"/>
  <c r="O127" i="1"/>
  <c r="R127" i="1"/>
  <c r="N128" i="1"/>
  <c r="P128" i="1" s="1"/>
  <c r="O128" i="1"/>
  <c r="R128" i="1"/>
  <c r="N129" i="1"/>
  <c r="P129" i="1" s="1"/>
  <c r="O129" i="1"/>
  <c r="R129" i="1"/>
  <c r="N130" i="1"/>
  <c r="P130" i="1" s="1"/>
  <c r="O130" i="1"/>
  <c r="R130" i="1"/>
  <c r="N131" i="1"/>
  <c r="P131" i="1" s="1"/>
  <c r="O131" i="1"/>
  <c r="R131" i="1"/>
  <c r="N132" i="1"/>
  <c r="P132" i="1" s="1"/>
  <c r="O132" i="1"/>
  <c r="R132" i="1"/>
  <c r="N133" i="1"/>
  <c r="P133" i="1" s="1"/>
  <c r="O133" i="1"/>
  <c r="R133" i="1"/>
  <c r="N134" i="1"/>
  <c r="P134" i="1" s="1"/>
  <c r="O134" i="1"/>
  <c r="R134" i="1"/>
  <c r="N135" i="1"/>
  <c r="P135" i="1" s="1"/>
  <c r="O135" i="1"/>
  <c r="R135" i="1"/>
  <c r="N136" i="1"/>
  <c r="P136" i="1" s="1"/>
  <c r="O136" i="1"/>
  <c r="R136" i="1"/>
  <c r="N137" i="1"/>
  <c r="P137" i="1" s="1"/>
  <c r="O137" i="1"/>
  <c r="R137" i="1"/>
  <c r="N138" i="1"/>
  <c r="P138" i="1" s="1"/>
  <c r="O138" i="1"/>
  <c r="R138" i="1"/>
  <c r="N139" i="1"/>
  <c r="P139" i="1" s="1"/>
  <c r="O139" i="1"/>
  <c r="R139" i="1"/>
  <c r="N140" i="1"/>
  <c r="P140" i="1" s="1"/>
  <c r="O140" i="1"/>
  <c r="R140" i="1"/>
  <c r="N141" i="1"/>
  <c r="P141" i="1" s="1"/>
  <c r="O141" i="1"/>
  <c r="R141" i="1"/>
  <c r="N142" i="1"/>
  <c r="P142" i="1" s="1"/>
  <c r="O142" i="1"/>
  <c r="R142" i="1"/>
  <c r="N143" i="1"/>
  <c r="P143" i="1" s="1"/>
  <c r="O143" i="1"/>
  <c r="R143" i="1"/>
  <c r="N144" i="1"/>
  <c r="P144" i="1" s="1"/>
  <c r="O144" i="1"/>
  <c r="R144" i="1"/>
  <c r="N145" i="1"/>
  <c r="P145" i="1" s="1"/>
  <c r="O145" i="1"/>
  <c r="R145" i="1"/>
  <c r="N146" i="1"/>
  <c r="P146" i="1" s="1"/>
  <c r="O146" i="1"/>
  <c r="R146" i="1"/>
  <c r="N147" i="1"/>
  <c r="P147" i="1" s="1"/>
  <c r="O147" i="1"/>
  <c r="R147" i="1"/>
  <c r="N148" i="1"/>
  <c r="P148" i="1" s="1"/>
  <c r="O148" i="1"/>
  <c r="R148" i="1"/>
  <c r="N149" i="1"/>
  <c r="P149" i="1" s="1"/>
  <c r="O149" i="1"/>
  <c r="R149" i="1"/>
  <c r="N150" i="1"/>
  <c r="P150" i="1" s="1"/>
  <c r="O150" i="1"/>
  <c r="R150" i="1"/>
  <c r="N151" i="1"/>
  <c r="P151" i="1" s="1"/>
  <c r="O151" i="1"/>
  <c r="R151" i="1"/>
  <c r="N152" i="1"/>
  <c r="P152" i="1" s="1"/>
  <c r="O152" i="1"/>
  <c r="R152" i="1"/>
  <c r="N153" i="1"/>
  <c r="P153" i="1" s="1"/>
  <c r="O153" i="1"/>
  <c r="R153" i="1"/>
  <c r="N154" i="1"/>
  <c r="P154" i="1" s="1"/>
  <c r="O154" i="1"/>
  <c r="R154" i="1"/>
  <c r="N155" i="1"/>
  <c r="P155" i="1" s="1"/>
  <c r="O155" i="1"/>
  <c r="R155" i="1"/>
  <c r="N156" i="1"/>
  <c r="P156" i="1" s="1"/>
  <c r="O156" i="1"/>
  <c r="R156" i="1"/>
  <c r="N157" i="1"/>
  <c r="P157" i="1" s="1"/>
  <c r="O157" i="1"/>
  <c r="R157" i="1"/>
  <c r="N158" i="1"/>
  <c r="P158" i="1" s="1"/>
  <c r="O158" i="1"/>
  <c r="R158" i="1"/>
  <c r="N159" i="1"/>
  <c r="P159" i="1" s="1"/>
  <c r="O159" i="1"/>
  <c r="R159" i="1"/>
  <c r="N160" i="1"/>
  <c r="P160" i="1" s="1"/>
  <c r="O160" i="1"/>
  <c r="R160" i="1"/>
  <c r="N161" i="1"/>
  <c r="P161" i="1" s="1"/>
  <c r="O161" i="1"/>
  <c r="R161" i="1"/>
  <c r="N162" i="1"/>
  <c r="P162" i="1" s="1"/>
  <c r="O162" i="1"/>
  <c r="R162" i="1"/>
  <c r="N163" i="1"/>
  <c r="P163" i="1" s="1"/>
  <c r="O163" i="1"/>
  <c r="R163" i="1"/>
  <c r="N164" i="1"/>
  <c r="P164" i="1" s="1"/>
  <c r="O164" i="1"/>
  <c r="R164" i="1"/>
  <c r="N165" i="1"/>
  <c r="P165" i="1" s="1"/>
  <c r="O165" i="1"/>
  <c r="R165" i="1"/>
  <c r="N166" i="1"/>
  <c r="P166" i="1" s="1"/>
  <c r="O166" i="1"/>
  <c r="R166" i="1"/>
  <c r="N167" i="1"/>
  <c r="P167" i="1" s="1"/>
  <c r="O167" i="1"/>
  <c r="R167" i="1"/>
  <c r="N168" i="1"/>
  <c r="P168" i="1" s="1"/>
  <c r="O168" i="1"/>
  <c r="R168" i="1"/>
  <c r="N169" i="1"/>
  <c r="P169" i="1" s="1"/>
  <c r="O169" i="1"/>
  <c r="R169" i="1"/>
  <c r="N170" i="1"/>
  <c r="P170" i="1" s="1"/>
  <c r="O170" i="1"/>
  <c r="R170" i="1"/>
  <c r="N171" i="1"/>
  <c r="P171" i="1" s="1"/>
  <c r="Q171" i="1" s="1"/>
  <c r="O171" i="1"/>
  <c r="R171" i="1"/>
  <c r="N172" i="1"/>
  <c r="P172" i="1" s="1"/>
  <c r="O172" i="1"/>
  <c r="R172" i="1"/>
  <c r="N173" i="1"/>
  <c r="P173" i="1" s="1"/>
  <c r="O173" i="1"/>
  <c r="R173" i="1"/>
  <c r="N174" i="1"/>
  <c r="P174" i="1" s="1"/>
  <c r="O174" i="1"/>
  <c r="R174" i="1"/>
  <c r="N175" i="1"/>
  <c r="P175" i="1" s="1"/>
  <c r="O175" i="1"/>
  <c r="R175" i="1"/>
  <c r="N176" i="1"/>
  <c r="P176" i="1" s="1"/>
  <c r="O176" i="1"/>
  <c r="R176" i="1"/>
  <c r="N177" i="1"/>
  <c r="P177" i="1" s="1"/>
  <c r="O177" i="1"/>
  <c r="R177" i="1"/>
  <c r="N178" i="1"/>
  <c r="P178" i="1" s="1"/>
  <c r="O178" i="1"/>
  <c r="R178" i="1"/>
  <c r="N179" i="1"/>
  <c r="P179" i="1" s="1"/>
  <c r="O179" i="1"/>
  <c r="R179" i="1"/>
  <c r="N180" i="1"/>
  <c r="P180" i="1" s="1"/>
  <c r="O180" i="1"/>
  <c r="R180" i="1"/>
  <c r="N181" i="1"/>
  <c r="P181" i="1" s="1"/>
  <c r="O181" i="1"/>
  <c r="R181" i="1"/>
  <c r="N182" i="1"/>
  <c r="P182" i="1" s="1"/>
  <c r="O182" i="1"/>
  <c r="R182" i="1"/>
  <c r="N183" i="1"/>
  <c r="P183" i="1" s="1"/>
  <c r="O183" i="1"/>
  <c r="R183" i="1"/>
  <c r="N184" i="1"/>
  <c r="P184" i="1" s="1"/>
  <c r="O184" i="1"/>
  <c r="R184" i="1"/>
  <c r="N185" i="1"/>
  <c r="P185" i="1" s="1"/>
  <c r="O185" i="1"/>
  <c r="R185" i="1"/>
  <c r="N186" i="1"/>
  <c r="P186" i="1" s="1"/>
  <c r="O186" i="1"/>
  <c r="R186" i="1"/>
  <c r="N187" i="1"/>
  <c r="P187" i="1" s="1"/>
  <c r="O187" i="1"/>
  <c r="R187" i="1"/>
  <c r="N188" i="1"/>
  <c r="P188" i="1" s="1"/>
  <c r="O188" i="1"/>
  <c r="R188" i="1"/>
  <c r="N189" i="1"/>
  <c r="P189" i="1" s="1"/>
  <c r="O189" i="1"/>
  <c r="R189" i="1"/>
  <c r="N190" i="1"/>
  <c r="P190" i="1" s="1"/>
  <c r="O190" i="1"/>
  <c r="R190" i="1"/>
  <c r="N191" i="1"/>
  <c r="P191" i="1" s="1"/>
  <c r="O191" i="1"/>
  <c r="R191" i="1"/>
  <c r="N192" i="1"/>
  <c r="P192" i="1" s="1"/>
  <c r="O192" i="1"/>
  <c r="R192" i="1"/>
  <c r="N193" i="1"/>
  <c r="P193" i="1" s="1"/>
  <c r="O193" i="1"/>
  <c r="R193" i="1"/>
  <c r="N194" i="1"/>
  <c r="P194" i="1" s="1"/>
  <c r="O194" i="1"/>
  <c r="R194" i="1"/>
  <c r="N195" i="1"/>
  <c r="P195" i="1" s="1"/>
  <c r="O195" i="1"/>
  <c r="R195" i="1"/>
  <c r="N196" i="1"/>
  <c r="P196" i="1" s="1"/>
  <c r="O196" i="1"/>
  <c r="R196" i="1"/>
  <c r="N197" i="1"/>
  <c r="P197" i="1" s="1"/>
  <c r="O197" i="1"/>
  <c r="R197" i="1"/>
  <c r="N198" i="1"/>
  <c r="P198" i="1" s="1"/>
  <c r="O198" i="1"/>
  <c r="R198" i="1"/>
  <c r="N199" i="1"/>
  <c r="P199" i="1" s="1"/>
  <c r="O199" i="1"/>
  <c r="R199" i="1"/>
  <c r="N200" i="1"/>
  <c r="P200" i="1" s="1"/>
  <c r="O200" i="1"/>
  <c r="R200" i="1"/>
  <c r="N201" i="1"/>
  <c r="P201" i="1" s="1"/>
  <c r="O201" i="1"/>
  <c r="R201" i="1"/>
  <c r="N202" i="1"/>
  <c r="P202" i="1" s="1"/>
  <c r="O202" i="1"/>
  <c r="R202" i="1"/>
  <c r="N203" i="1"/>
  <c r="P203" i="1" s="1"/>
  <c r="O203" i="1"/>
  <c r="R203" i="1"/>
  <c r="N204" i="1"/>
  <c r="P204" i="1" s="1"/>
  <c r="O204" i="1"/>
  <c r="R204" i="1"/>
  <c r="N245" i="1"/>
  <c r="P245" i="1" s="1"/>
  <c r="O245" i="1"/>
  <c r="R245" i="1"/>
  <c r="N246" i="1"/>
  <c r="P246" i="1" s="1"/>
  <c r="O246" i="1"/>
  <c r="R246" i="1"/>
  <c r="N247" i="1"/>
  <c r="P247" i="1" s="1"/>
  <c r="O247" i="1"/>
  <c r="R247" i="1"/>
  <c r="N248" i="1"/>
  <c r="P248" i="1" s="1"/>
  <c r="O248" i="1"/>
  <c r="R248" i="1"/>
  <c r="N249" i="1"/>
  <c r="P249" i="1" s="1"/>
  <c r="O249" i="1"/>
  <c r="R249" i="1"/>
  <c r="N250" i="1"/>
  <c r="P250" i="1" s="1"/>
  <c r="O250" i="1"/>
  <c r="R250" i="1"/>
  <c r="N251" i="1"/>
  <c r="P251" i="1" s="1"/>
  <c r="O251" i="1"/>
  <c r="R251" i="1"/>
  <c r="N252" i="1"/>
  <c r="P252" i="1" s="1"/>
  <c r="O252" i="1"/>
  <c r="R252" i="1"/>
  <c r="N253" i="1"/>
  <c r="P253" i="1" s="1"/>
  <c r="O253" i="1"/>
  <c r="R253" i="1"/>
  <c r="N254" i="1"/>
  <c r="P254" i="1" s="1"/>
  <c r="O254" i="1"/>
  <c r="R254" i="1"/>
  <c r="N255" i="1"/>
  <c r="P255" i="1" s="1"/>
  <c r="O255" i="1"/>
  <c r="R255" i="1"/>
  <c r="N256" i="1"/>
  <c r="P256" i="1" s="1"/>
  <c r="O256" i="1"/>
  <c r="R256" i="1"/>
  <c r="N257" i="1"/>
  <c r="P257" i="1" s="1"/>
  <c r="O257" i="1"/>
  <c r="R257" i="1"/>
  <c r="N258" i="1"/>
  <c r="P258" i="1" s="1"/>
  <c r="O258" i="1"/>
  <c r="R258" i="1"/>
  <c r="N259" i="1"/>
  <c r="P259" i="1" s="1"/>
  <c r="O259" i="1"/>
  <c r="R259" i="1"/>
  <c r="N260" i="1"/>
  <c r="P260" i="1" s="1"/>
  <c r="O260" i="1"/>
  <c r="R260" i="1"/>
  <c r="N261" i="1"/>
  <c r="P261" i="1" s="1"/>
  <c r="O261" i="1"/>
  <c r="R261" i="1"/>
  <c r="N262" i="1"/>
  <c r="P262" i="1" s="1"/>
  <c r="O262" i="1"/>
  <c r="R262" i="1"/>
  <c r="N263" i="1"/>
  <c r="P263" i="1" s="1"/>
  <c r="O263" i="1"/>
  <c r="R263" i="1"/>
  <c r="N264" i="1"/>
  <c r="P264" i="1" s="1"/>
  <c r="O264" i="1"/>
  <c r="R264" i="1"/>
  <c r="N265" i="1"/>
  <c r="P265" i="1" s="1"/>
  <c r="O265" i="1"/>
  <c r="R265" i="1"/>
  <c r="N266" i="1"/>
  <c r="P266" i="1" s="1"/>
  <c r="O266" i="1"/>
  <c r="R266" i="1"/>
  <c r="N267" i="1"/>
  <c r="P267" i="1" s="1"/>
  <c r="O267" i="1"/>
  <c r="R267" i="1"/>
  <c r="N268" i="1"/>
  <c r="P268" i="1" s="1"/>
  <c r="O268" i="1"/>
  <c r="R268" i="1"/>
  <c r="N269" i="1"/>
  <c r="P269" i="1" s="1"/>
  <c r="O269" i="1"/>
  <c r="R269" i="1"/>
  <c r="N270" i="1"/>
  <c r="P270" i="1" s="1"/>
  <c r="O270" i="1"/>
  <c r="R270" i="1"/>
  <c r="N271" i="1"/>
  <c r="P271" i="1" s="1"/>
  <c r="O271" i="1"/>
  <c r="R271" i="1"/>
  <c r="N272" i="1"/>
  <c r="P272" i="1" s="1"/>
  <c r="O272" i="1"/>
  <c r="R272" i="1"/>
  <c r="N273" i="1"/>
  <c r="P273" i="1" s="1"/>
  <c r="O273" i="1"/>
  <c r="R273" i="1"/>
  <c r="N274" i="1"/>
  <c r="P274" i="1" s="1"/>
  <c r="O274" i="1"/>
  <c r="R274" i="1"/>
  <c r="N275" i="1"/>
  <c r="P275" i="1" s="1"/>
  <c r="O275" i="1"/>
  <c r="R275" i="1"/>
  <c r="N276" i="1"/>
  <c r="P276" i="1" s="1"/>
  <c r="O276" i="1"/>
  <c r="R276" i="1"/>
  <c r="N277" i="1"/>
  <c r="P277" i="1" s="1"/>
  <c r="O277" i="1"/>
  <c r="R277" i="1"/>
  <c r="N278" i="1"/>
  <c r="P278" i="1" s="1"/>
  <c r="O278" i="1"/>
  <c r="R278" i="1"/>
  <c r="N279" i="1"/>
  <c r="P279" i="1" s="1"/>
  <c r="O279" i="1"/>
  <c r="R279" i="1"/>
  <c r="N280" i="1"/>
  <c r="P280" i="1" s="1"/>
  <c r="O280" i="1"/>
  <c r="R280" i="1"/>
  <c r="N281" i="1"/>
  <c r="P281" i="1" s="1"/>
  <c r="O281" i="1"/>
  <c r="R281" i="1"/>
  <c r="N282" i="1"/>
  <c r="P282" i="1" s="1"/>
  <c r="O282" i="1"/>
  <c r="R282" i="1"/>
  <c r="N283" i="1"/>
  <c r="P283" i="1" s="1"/>
  <c r="O283" i="1"/>
  <c r="R283" i="1"/>
  <c r="N284" i="1"/>
  <c r="P284" i="1" s="1"/>
  <c r="O284" i="1"/>
  <c r="R284" i="1"/>
  <c r="N205" i="1"/>
  <c r="P205" i="1" s="1"/>
  <c r="O205" i="1"/>
  <c r="R205" i="1"/>
  <c r="N206" i="1"/>
  <c r="P206" i="1" s="1"/>
  <c r="O206" i="1"/>
  <c r="R206" i="1"/>
  <c r="N207" i="1"/>
  <c r="P207" i="1" s="1"/>
  <c r="O207" i="1"/>
  <c r="R207" i="1"/>
  <c r="N208" i="1"/>
  <c r="P208" i="1" s="1"/>
  <c r="O208" i="1"/>
  <c r="R208" i="1"/>
  <c r="N209" i="1"/>
  <c r="P209" i="1" s="1"/>
  <c r="O209" i="1"/>
  <c r="R209" i="1"/>
  <c r="N210" i="1"/>
  <c r="P210" i="1" s="1"/>
  <c r="O210" i="1"/>
  <c r="R210" i="1"/>
  <c r="N211" i="1"/>
  <c r="P211" i="1" s="1"/>
  <c r="O211" i="1"/>
  <c r="R211" i="1"/>
  <c r="N212" i="1"/>
  <c r="P212" i="1" s="1"/>
  <c r="O212" i="1"/>
  <c r="R212" i="1"/>
  <c r="N213" i="1"/>
  <c r="P213" i="1" s="1"/>
  <c r="O213" i="1"/>
  <c r="R213" i="1"/>
  <c r="N214" i="1"/>
  <c r="P214" i="1" s="1"/>
  <c r="O214" i="1"/>
  <c r="R214" i="1"/>
  <c r="N215" i="1"/>
  <c r="P215" i="1" s="1"/>
  <c r="O215" i="1"/>
  <c r="R215" i="1"/>
  <c r="N216" i="1"/>
  <c r="P216" i="1" s="1"/>
  <c r="O216" i="1"/>
  <c r="R216" i="1"/>
  <c r="N217" i="1"/>
  <c r="P217" i="1" s="1"/>
  <c r="O217" i="1"/>
  <c r="R217" i="1"/>
  <c r="N218" i="1"/>
  <c r="P218" i="1" s="1"/>
  <c r="O218" i="1"/>
  <c r="R218" i="1"/>
  <c r="N219" i="1"/>
  <c r="P219" i="1" s="1"/>
  <c r="O219" i="1"/>
  <c r="R219" i="1"/>
  <c r="N220" i="1"/>
  <c r="P220" i="1" s="1"/>
  <c r="O220" i="1"/>
  <c r="R220" i="1"/>
  <c r="N221" i="1"/>
  <c r="P221" i="1" s="1"/>
  <c r="O221" i="1"/>
  <c r="R221" i="1"/>
  <c r="N222" i="1"/>
  <c r="P222" i="1" s="1"/>
  <c r="O222" i="1"/>
  <c r="R222" i="1"/>
  <c r="N223" i="1"/>
  <c r="P223" i="1" s="1"/>
  <c r="O223" i="1"/>
  <c r="R223" i="1"/>
  <c r="N224" i="1"/>
  <c r="P224" i="1" s="1"/>
  <c r="O224" i="1"/>
  <c r="R224" i="1"/>
  <c r="N225" i="1"/>
  <c r="P225" i="1" s="1"/>
  <c r="O225" i="1"/>
  <c r="R225" i="1"/>
  <c r="N226" i="1"/>
  <c r="P226" i="1" s="1"/>
  <c r="O226" i="1"/>
  <c r="R226" i="1"/>
  <c r="N227" i="1"/>
  <c r="P227" i="1" s="1"/>
  <c r="O227" i="1"/>
  <c r="R227" i="1"/>
  <c r="N228" i="1"/>
  <c r="P228" i="1" s="1"/>
  <c r="O228" i="1"/>
  <c r="R228" i="1"/>
  <c r="N229" i="1"/>
  <c r="P229" i="1" s="1"/>
  <c r="O229" i="1"/>
  <c r="R229" i="1"/>
  <c r="N230" i="1"/>
  <c r="P230" i="1" s="1"/>
  <c r="O230" i="1"/>
  <c r="R230" i="1"/>
  <c r="N231" i="1"/>
  <c r="P231" i="1" s="1"/>
  <c r="O231" i="1"/>
  <c r="R231" i="1"/>
  <c r="N232" i="1"/>
  <c r="P232" i="1" s="1"/>
  <c r="O232" i="1"/>
  <c r="R232" i="1"/>
  <c r="N233" i="1"/>
  <c r="P233" i="1" s="1"/>
  <c r="O233" i="1"/>
  <c r="R233" i="1"/>
  <c r="N234" i="1"/>
  <c r="P234" i="1" s="1"/>
  <c r="O234" i="1"/>
  <c r="R234" i="1"/>
  <c r="N235" i="1"/>
  <c r="P235" i="1" s="1"/>
  <c r="O235" i="1"/>
  <c r="R235" i="1"/>
  <c r="N236" i="1"/>
  <c r="P236" i="1" s="1"/>
  <c r="O236" i="1"/>
  <c r="R236" i="1"/>
  <c r="N237" i="1"/>
  <c r="P237" i="1" s="1"/>
  <c r="O237" i="1"/>
  <c r="R237" i="1"/>
  <c r="N238" i="1"/>
  <c r="P238" i="1" s="1"/>
  <c r="O238" i="1"/>
  <c r="R238" i="1"/>
  <c r="N239" i="1"/>
  <c r="P239" i="1" s="1"/>
  <c r="O239" i="1"/>
  <c r="R239" i="1"/>
  <c r="N240" i="1"/>
  <c r="P240" i="1" s="1"/>
  <c r="O240" i="1"/>
  <c r="R240" i="1"/>
  <c r="N241" i="1"/>
  <c r="P241" i="1" s="1"/>
  <c r="O241" i="1"/>
  <c r="R241" i="1"/>
  <c r="N242" i="1"/>
  <c r="P242" i="1" s="1"/>
  <c r="O242" i="1"/>
  <c r="R242" i="1"/>
  <c r="N243" i="1"/>
  <c r="P243" i="1" s="1"/>
  <c r="O243" i="1"/>
  <c r="R243" i="1"/>
  <c r="N244" i="1"/>
  <c r="P244" i="1" s="1"/>
  <c r="O244" i="1"/>
  <c r="R244" i="1"/>
  <c r="N285" i="1"/>
  <c r="P285" i="1" s="1"/>
  <c r="O285" i="1"/>
  <c r="R285" i="1"/>
  <c r="N286" i="1"/>
  <c r="P286" i="1" s="1"/>
  <c r="O286" i="1"/>
  <c r="R286" i="1"/>
  <c r="N287" i="1"/>
  <c r="P287" i="1" s="1"/>
  <c r="O287" i="1"/>
  <c r="R287" i="1"/>
  <c r="N288" i="1"/>
  <c r="P288" i="1" s="1"/>
  <c r="O288" i="1"/>
  <c r="R288" i="1"/>
  <c r="N289" i="1"/>
  <c r="P289" i="1" s="1"/>
  <c r="O289" i="1"/>
  <c r="R289" i="1"/>
  <c r="N290" i="1"/>
  <c r="P290" i="1" s="1"/>
  <c r="O290" i="1"/>
  <c r="R290" i="1"/>
  <c r="N291" i="1"/>
  <c r="P291" i="1" s="1"/>
  <c r="O291" i="1"/>
  <c r="R291" i="1"/>
  <c r="N292" i="1"/>
  <c r="P292" i="1" s="1"/>
  <c r="O292" i="1"/>
  <c r="R292" i="1"/>
  <c r="N293" i="1"/>
  <c r="P293" i="1" s="1"/>
  <c r="O293" i="1"/>
  <c r="R293" i="1"/>
  <c r="N294" i="1"/>
  <c r="P294" i="1" s="1"/>
  <c r="O294" i="1"/>
  <c r="R294" i="1"/>
  <c r="N295" i="1"/>
  <c r="P295" i="1" s="1"/>
  <c r="O295" i="1"/>
  <c r="R295" i="1"/>
  <c r="N296" i="1"/>
  <c r="P296" i="1" s="1"/>
  <c r="O296" i="1"/>
  <c r="R296" i="1"/>
  <c r="N297" i="1"/>
  <c r="P297" i="1" s="1"/>
  <c r="O297" i="1"/>
  <c r="R297" i="1"/>
  <c r="N298" i="1"/>
  <c r="P298" i="1" s="1"/>
  <c r="O298" i="1"/>
  <c r="R298" i="1"/>
  <c r="N299" i="1"/>
  <c r="P299" i="1" s="1"/>
  <c r="O299" i="1"/>
  <c r="R299" i="1"/>
  <c r="N300" i="1"/>
  <c r="P300" i="1" s="1"/>
  <c r="O300" i="1"/>
  <c r="R300" i="1"/>
  <c r="N301" i="1"/>
  <c r="P301" i="1" s="1"/>
  <c r="O301" i="1"/>
  <c r="R301" i="1"/>
  <c r="N302" i="1"/>
  <c r="P302" i="1" s="1"/>
  <c r="O302" i="1"/>
  <c r="R302" i="1"/>
  <c r="N303" i="1"/>
  <c r="P303" i="1" s="1"/>
  <c r="O303" i="1"/>
  <c r="R303" i="1"/>
  <c r="N304" i="1"/>
  <c r="P304" i="1" s="1"/>
  <c r="O304" i="1"/>
  <c r="R304" i="1"/>
  <c r="N305" i="1"/>
  <c r="P305" i="1" s="1"/>
  <c r="O305" i="1"/>
  <c r="R305" i="1"/>
  <c r="N306" i="1"/>
  <c r="P306" i="1" s="1"/>
  <c r="O306" i="1"/>
  <c r="R306" i="1"/>
  <c r="N307" i="1"/>
  <c r="P307" i="1" s="1"/>
  <c r="O307" i="1"/>
  <c r="R307" i="1"/>
  <c r="N308" i="1"/>
  <c r="P308" i="1" s="1"/>
  <c r="O308" i="1"/>
  <c r="R308" i="1"/>
  <c r="N309" i="1"/>
  <c r="P309" i="1" s="1"/>
  <c r="O309" i="1"/>
  <c r="R309" i="1"/>
  <c r="N310" i="1"/>
  <c r="P310" i="1" s="1"/>
  <c r="O310" i="1"/>
  <c r="R310" i="1"/>
  <c r="N311" i="1"/>
  <c r="P311" i="1" s="1"/>
  <c r="O311" i="1"/>
  <c r="R311" i="1"/>
  <c r="N312" i="1"/>
  <c r="P312" i="1" s="1"/>
  <c r="O312" i="1"/>
  <c r="R312" i="1"/>
  <c r="N313" i="1"/>
  <c r="P313" i="1" s="1"/>
  <c r="O313" i="1"/>
  <c r="R313" i="1"/>
  <c r="N314" i="1"/>
  <c r="P314" i="1" s="1"/>
  <c r="O314" i="1"/>
  <c r="R314" i="1"/>
  <c r="N315" i="1"/>
  <c r="P315" i="1" s="1"/>
  <c r="O315" i="1"/>
  <c r="R315" i="1"/>
  <c r="N316" i="1"/>
  <c r="P316" i="1" s="1"/>
  <c r="O316" i="1"/>
  <c r="R316" i="1"/>
  <c r="N317" i="1"/>
  <c r="P317" i="1" s="1"/>
  <c r="O317" i="1"/>
  <c r="R317" i="1"/>
  <c r="N318" i="1"/>
  <c r="P318" i="1" s="1"/>
  <c r="O318" i="1"/>
  <c r="R318" i="1"/>
  <c r="N319" i="1"/>
  <c r="P319" i="1" s="1"/>
  <c r="O319" i="1"/>
  <c r="R319" i="1"/>
  <c r="N320" i="1"/>
  <c r="P320" i="1" s="1"/>
  <c r="O320" i="1"/>
  <c r="R320" i="1"/>
  <c r="N321" i="1"/>
  <c r="P321" i="1" s="1"/>
  <c r="O321" i="1"/>
  <c r="R321" i="1"/>
  <c r="N322" i="1"/>
  <c r="P322" i="1" s="1"/>
  <c r="O322" i="1"/>
  <c r="R322" i="1"/>
  <c r="N323" i="1"/>
  <c r="P323" i="1" s="1"/>
  <c r="O323" i="1"/>
  <c r="R323" i="1"/>
  <c r="N324" i="1"/>
  <c r="P324" i="1" s="1"/>
  <c r="O324" i="1"/>
  <c r="R324" i="1"/>
  <c r="N325" i="1"/>
  <c r="P325" i="1" s="1"/>
  <c r="O325" i="1"/>
  <c r="R325" i="1"/>
  <c r="N326" i="1"/>
  <c r="P326" i="1" s="1"/>
  <c r="O326" i="1"/>
  <c r="R326" i="1"/>
  <c r="N327" i="1"/>
  <c r="P327" i="1" s="1"/>
  <c r="O327" i="1"/>
  <c r="R327" i="1"/>
  <c r="N328" i="1"/>
  <c r="P328" i="1" s="1"/>
  <c r="O328" i="1"/>
  <c r="R328" i="1"/>
  <c r="N329" i="1"/>
  <c r="P329" i="1" s="1"/>
  <c r="O329" i="1"/>
  <c r="R329" i="1"/>
  <c r="N330" i="1"/>
  <c r="P330" i="1" s="1"/>
  <c r="O330" i="1"/>
  <c r="R330" i="1"/>
  <c r="N331" i="1"/>
  <c r="P331" i="1" s="1"/>
  <c r="O331" i="1"/>
  <c r="R331" i="1"/>
  <c r="N332" i="1"/>
  <c r="P332" i="1" s="1"/>
  <c r="O332" i="1"/>
  <c r="R332" i="1"/>
  <c r="N333" i="1"/>
  <c r="P333" i="1" s="1"/>
  <c r="O333" i="1"/>
  <c r="R333" i="1"/>
  <c r="N334" i="1"/>
  <c r="P334" i="1" s="1"/>
  <c r="O334" i="1"/>
  <c r="R334" i="1"/>
  <c r="N335" i="1"/>
  <c r="P335" i="1" s="1"/>
  <c r="O335" i="1"/>
  <c r="R335" i="1"/>
  <c r="N336" i="1"/>
  <c r="P336" i="1" s="1"/>
  <c r="O336" i="1"/>
  <c r="R336" i="1"/>
  <c r="N337" i="1"/>
  <c r="P337" i="1" s="1"/>
  <c r="O337" i="1"/>
  <c r="R337" i="1"/>
  <c r="N338" i="1"/>
  <c r="P338" i="1" s="1"/>
  <c r="O338" i="1"/>
  <c r="R338" i="1"/>
  <c r="N339" i="1"/>
  <c r="P339" i="1" s="1"/>
  <c r="O339" i="1"/>
  <c r="R339" i="1"/>
  <c r="N340" i="1"/>
  <c r="P340" i="1" s="1"/>
  <c r="O340" i="1"/>
  <c r="R340" i="1"/>
  <c r="N341" i="1"/>
  <c r="P341" i="1" s="1"/>
  <c r="O341" i="1"/>
  <c r="R341" i="1"/>
  <c r="N342" i="1"/>
  <c r="P342" i="1" s="1"/>
  <c r="O342" i="1"/>
  <c r="R342" i="1"/>
  <c r="N343" i="1"/>
  <c r="P343" i="1" s="1"/>
  <c r="O343" i="1"/>
  <c r="R343" i="1"/>
  <c r="N344" i="1"/>
  <c r="P344" i="1" s="1"/>
  <c r="O344" i="1"/>
  <c r="R344" i="1"/>
  <c r="N345" i="1"/>
  <c r="P345" i="1" s="1"/>
  <c r="O345" i="1"/>
  <c r="R345" i="1"/>
  <c r="N346" i="1"/>
  <c r="P346" i="1" s="1"/>
  <c r="O346" i="1"/>
  <c r="R346" i="1"/>
  <c r="N347" i="1"/>
  <c r="P347" i="1" s="1"/>
  <c r="O347" i="1"/>
  <c r="R347" i="1"/>
  <c r="N348" i="1"/>
  <c r="P348" i="1" s="1"/>
  <c r="O348" i="1"/>
  <c r="R348" i="1"/>
  <c r="N349" i="1"/>
  <c r="P349" i="1" s="1"/>
  <c r="O349" i="1"/>
  <c r="R349" i="1"/>
  <c r="N350" i="1"/>
  <c r="P350" i="1" s="1"/>
  <c r="O350" i="1"/>
  <c r="R350" i="1"/>
  <c r="N351" i="1"/>
  <c r="P351" i="1" s="1"/>
  <c r="O351" i="1"/>
  <c r="R351" i="1"/>
  <c r="N352" i="1"/>
  <c r="P352" i="1" s="1"/>
  <c r="O352" i="1"/>
  <c r="R352" i="1"/>
  <c r="N353" i="1"/>
  <c r="P353" i="1" s="1"/>
  <c r="O353" i="1"/>
  <c r="R353" i="1"/>
  <c r="N354" i="1"/>
  <c r="P354" i="1" s="1"/>
  <c r="O354" i="1"/>
  <c r="R354" i="1"/>
  <c r="N355" i="1"/>
  <c r="P355" i="1" s="1"/>
  <c r="O355" i="1"/>
  <c r="R355" i="1"/>
  <c r="N356" i="1"/>
  <c r="P356" i="1" s="1"/>
  <c r="O356" i="1"/>
  <c r="R356" i="1"/>
  <c r="N357" i="1"/>
  <c r="P357" i="1" s="1"/>
  <c r="O357" i="1"/>
  <c r="R357" i="1"/>
  <c r="N358" i="1"/>
  <c r="P358" i="1" s="1"/>
  <c r="O358" i="1"/>
  <c r="R358" i="1"/>
  <c r="N359" i="1"/>
  <c r="P359" i="1" s="1"/>
  <c r="O359" i="1"/>
  <c r="R359" i="1"/>
  <c r="N360" i="1"/>
  <c r="P360" i="1" s="1"/>
  <c r="O360" i="1"/>
  <c r="R360" i="1"/>
  <c r="N361" i="1"/>
  <c r="P361" i="1" s="1"/>
  <c r="O361" i="1"/>
  <c r="R361" i="1"/>
  <c r="N362" i="1"/>
  <c r="P362" i="1" s="1"/>
  <c r="O362" i="1"/>
  <c r="R362" i="1"/>
  <c r="N363" i="1"/>
  <c r="P363" i="1" s="1"/>
  <c r="O363" i="1"/>
  <c r="R363" i="1"/>
  <c r="N364" i="1"/>
  <c r="P364" i="1" s="1"/>
  <c r="O364" i="1"/>
  <c r="R364" i="1"/>
  <c r="N365" i="1"/>
  <c r="P365" i="1" s="1"/>
  <c r="O365" i="1"/>
  <c r="R365" i="1"/>
  <c r="N366" i="1"/>
  <c r="P366" i="1" s="1"/>
  <c r="O366" i="1"/>
  <c r="R366" i="1"/>
  <c r="N367" i="1"/>
  <c r="P367" i="1" s="1"/>
  <c r="O367" i="1"/>
  <c r="R367" i="1"/>
  <c r="N408" i="1"/>
  <c r="P408" i="1" s="1"/>
  <c r="O408" i="1"/>
  <c r="R408" i="1"/>
  <c r="N409" i="1"/>
  <c r="P409" i="1" s="1"/>
  <c r="O409" i="1"/>
  <c r="R409" i="1"/>
  <c r="N410" i="1"/>
  <c r="P410" i="1" s="1"/>
  <c r="O410" i="1"/>
  <c r="R410" i="1"/>
  <c r="N411" i="1"/>
  <c r="P411" i="1" s="1"/>
  <c r="O411" i="1"/>
  <c r="R411" i="1"/>
  <c r="N412" i="1"/>
  <c r="P412" i="1" s="1"/>
  <c r="O412" i="1"/>
  <c r="R412" i="1"/>
  <c r="N413" i="1"/>
  <c r="P413" i="1" s="1"/>
  <c r="O413" i="1"/>
  <c r="R413" i="1"/>
  <c r="N414" i="1"/>
  <c r="P414" i="1" s="1"/>
  <c r="O414" i="1"/>
  <c r="R414" i="1"/>
  <c r="N415" i="1"/>
  <c r="P415" i="1" s="1"/>
  <c r="O415" i="1"/>
  <c r="R415" i="1"/>
  <c r="N416" i="1"/>
  <c r="P416" i="1" s="1"/>
  <c r="O416" i="1"/>
  <c r="R416" i="1"/>
  <c r="N417" i="1"/>
  <c r="P417" i="1" s="1"/>
  <c r="O417" i="1"/>
  <c r="R417" i="1"/>
  <c r="N418" i="1"/>
  <c r="P418" i="1" s="1"/>
  <c r="O418" i="1"/>
  <c r="R418" i="1"/>
  <c r="N419" i="1"/>
  <c r="P419" i="1" s="1"/>
  <c r="O419" i="1"/>
  <c r="R419" i="1"/>
  <c r="N420" i="1"/>
  <c r="P420" i="1" s="1"/>
  <c r="O420" i="1"/>
  <c r="R420" i="1"/>
  <c r="N421" i="1"/>
  <c r="P421" i="1" s="1"/>
  <c r="O421" i="1"/>
  <c r="R421" i="1"/>
  <c r="N422" i="1"/>
  <c r="P422" i="1" s="1"/>
  <c r="O422" i="1"/>
  <c r="R422" i="1"/>
  <c r="N423" i="1"/>
  <c r="P423" i="1" s="1"/>
  <c r="O423" i="1"/>
  <c r="R423" i="1"/>
  <c r="N424" i="1"/>
  <c r="P424" i="1" s="1"/>
  <c r="O424" i="1"/>
  <c r="R424" i="1"/>
  <c r="N425" i="1"/>
  <c r="P425" i="1" s="1"/>
  <c r="O425" i="1"/>
  <c r="R425" i="1"/>
  <c r="N426" i="1"/>
  <c r="P426" i="1" s="1"/>
  <c r="O426" i="1"/>
  <c r="R426" i="1"/>
  <c r="N427" i="1"/>
  <c r="P427" i="1" s="1"/>
  <c r="O427" i="1"/>
  <c r="R427" i="1"/>
  <c r="N428" i="1"/>
  <c r="P428" i="1" s="1"/>
  <c r="O428" i="1"/>
  <c r="R428" i="1"/>
  <c r="N429" i="1"/>
  <c r="P429" i="1" s="1"/>
  <c r="O429" i="1"/>
  <c r="R429" i="1"/>
  <c r="N430" i="1"/>
  <c r="P430" i="1" s="1"/>
  <c r="O430" i="1"/>
  <c r="R430" i="1"/>
  <c r="N431" i="1"/>
  <c r="P431" i="1" s="1"/>
  <c r="O431" i="1"/>
  <c r="R431" i="1"/>
  <c r="N432" i="1"/>
  <c r="P432" i="1" s="1"/>
  <c r="O432" i="1"/>
  <c r="R432" i="1"/>
  <c r="N433" i="1"/>
  <c r="P433" i="1" s="1"/>
  <c r="O433" i="1"/>
  <c r="R433" i="1"/>
  <c r="N434" i="1"/>
  <c r="P434" i="1" s="1"/>
  <c r="O434" i="1"/>
  <c r="R434" i="1"/>
  <c r="N435" i="1"/>
  <c r="P435" i="1" s="1"/>
  <c r="O435" i="1"/>
  <c r="R435" i="1"/>
  <c r="N436" i="1"/>
  <c r="P436" i="1" s="1"/>
  <c r="O436" i="1"/>
  <c r="R436" i="1"/>
  <c r="N437" i="1"/>
  <c r="P437" i="1" s="1"/>
  <c r="O437" i="1"/>
  <c r="R437" i="1"/>
  <c r="N438" i="1"/>
  <c r="P438" i="1" s="1"/>
  <c r="O438" i="1"/>
  <c r="R438" i="1"/>
  <c r="N439" i="1"/>
  <c r="P439" i="1" s="1"/>
  <c r="O439" i="1"/>
  <c r="R439" i="1"/>
  <c r="N440" i="1"/>
  <c r="P440" i="1" s="1"/>
  <c r="O440" i="1"/>
  <c r="R440" i="1"/>
  <c r="N441" i="1"/>
  <c r="P441" i="1" s="1"/>
  <c r="O441" i="1"/>
  <c r="R441" i="1"/>
  <c r="N442" i="1"/>
  <c r="P442" i="1" s="1"/>
  <c r="O442" i="1"/>
  <c r="R442" i="1"/>
  <c r="N443" i="1"/>
  <c r="P443" i="1" s="1"/>
  <c r="O443" i="1"/>
  <c r="R443" i="1"/>
  <c r="N444" i="1"/>
  <c r="P444" i="1" s="1"/>
  <c r="O444" i="1"/>
  <c r="R444" i="1"/>
  <c r="N445" i="1"/>
  <c r="P445" i="1" s="1"/>
  <c r="O445" i="1"/>
  <c r="R445" i="1"/>
  <c r="N446" i="1"/>
  <c r="P446" i="1" s="1"/>
  <c r="O446" i="1"/>
  <c r="R446" i="1"/>
  <c r="N447" i="1"/>
  <c r="P447" i="1" s="1"/>
  <c r="O447" i="1"/>
  <c r="R447" i="1"/>
  <c r="N368" i="1"/>
  <c r="P368" i="1" s="1"/>
  <c r="O368" i="1"/>
  <c r="R368" i="1"/>
  <c r="N369" i="1"/>
  <c r="P369" i="1" s="1"/>
  <c r="O369" i="1"/>
  <c r="R369" i="1"/>
  <c r="N370" i="1"/>
  <c r="P370" i="1" s="1"/>
  <c r="O370" i="1"/>
  <c r="R370" i="1"/>
  <c r="N371" i="1"/>
  <c r="P371" i="1" s="1"/>
  <c r="O371" i="1"/>
  <c r="R371" i="1"/>
  <c r="N372" i="1"/>
  <c r="P372" i="1" s="1"/>
  <c r="O372" i="1"/>
  <c r="R372" i="1"/>
  <c r="N373" i="1"/>
  <c r="P373" i="1" s="1"/>
  <c r="O373" i="1"/>
  <c r="R373" i="1"/>
  <c r="N374" i="1"/>
  <c r="P374" i="1" s="1"/>
  <c r="O374" i="1"/>
  <c r="R374" i="1"/>
  <c r="N375" i="1"/>
  <c r="P375" i="1" s="1"/>
  <c r="O375" i="1"/>
  <c r="R375" i="1"/>
  <c r="N376" i="1"/>
  <c r="P376" i="1" s="1"/>
  <c r="O376" i="1"/>
  <c r="R376" i="1"/>
  <c r="N377" i="1"/>
  <c r="P377" i="1" s="1"/>
  <c r="O377" i="1"/>
  <c r="R377" i="1"/>
  <c r="N378" i="1"/>
  <c r="P378" i="1" s="1"/>
  <c r="O378" i="1"/>
  <c r="R378" i="1"/>
  <c r="N379" i="1"/>
  <c r="P379" i="1" s="1"/>
  <c r="O379" i="1"/>
  <c r="R379" i="1"/>
  <c r="N380" i="1"/>
  <c r="P380" i="1" s="1"/>
  <c r="O380" i="1"/>
  <c r="R380" i="1"/>
  <c r="N381" i="1"/>
  <c r="P381" i="1" s="1"/>
  <c r="O381" i="1"/>
  <c r="R381" i="1"/>
  <c r="N382" i="1"/>
  <c r="P382" i="1" s="1"/>
  <c r="O382" i="1"/>
  <c r="R382" i="1"/>
  <c r="N383" i="1"/>
  <c r="P383" i="1" s="1"/>
  <c r="Q383" i="1" s="1"/>
  <c r="O383" i="1"/>
  <c r="R383" i="1"/>
  <c r="N384" i="1"/>
  <c r="P384" i="1" s="1"/>
  <c r="O384" i="1"/>
  <c r="R384" i="1"/>
  <c r="N385" i="1"/>
  <c r="P385" i="1" s="1"/>
  <c r="O385" i="1"/>
  <c r="R385" i="1"/>
  <c r="N386" i="1"/>
  <c r="P386" i="1" s="1"/>
  <c r="O386" i="1"/>
  <c r="R386" i="1"/>
  <c r="N387" i="1"/>
  <c r="P387" i="1" s="1"/>
  <c r="O387" i="1"/>
  <c r="R387" i="1"/>
  <c r="N388" i="1"/>
  <c r="P388" i="1" s="1"/>
  <c r="O388" i="1"/>
  <c r="R388" i="1"/>
  <c r="N389" i="1"/>
  <c r="P389" i="1" s="1"/>
  <c r="O389" i="1"/>
  <c r="R389" i="1"/>
  <c r="N390" i="1"/>
  <c r="P390" i="1" s="1"/>
  <c r="O390" i="1"/>
  <c r="R390" i="1"/>
  <c r="N391" i="1"/>
  <c r="P391" i="1" s="1"/>
  <c r="O391" i="1"/>
  <c r="R391" i="1"/>
  <c r="N392" i="1"/>
  <c r="P392" i="1" s="1"/>
  <c r="O392" i="1"/>
  <c r="R392" i="1"/>
  <c r="N393" i="1"/>
  <c r="P393" i="1" s="1"/>
  <c r="O393" i="1"/>
  <c r="R393" i="1"/>
  <c r="N394" i="1"/>
  <c r="P394" i="1" s="1"/>
  <c r="O394" i="1"/>
  <c r="R394" i="1"/>
  <c r="N395" i="1"/>
  <c r="P395" i="1" s="1"/>
  <c r="O395" i="1"/>
  <c r="R395" i="1"/>
  <c r="N396" i="1"/>
  <c r="P396" i="1" s="1"/>
  <c r="O396" i="1"/>
  <c r="R396" i="1"/>
  <c r="N397" i="1"/>
  <c r="P397" i="1" s="1"/>
  <c r="O397" i="1"/>
  <c r="R397" i="1"/>
  <c r="N398" i="1"/>
  <c r="P398" i="1" s="1"/>
  <c r="O398" i="1"/>
  <c r="R398" i="1"/>
  <c r="N399" i="1"/>
  <c r="P399" i="1" s="1"/>
  <c r="O399" i="1"/>
  <c r="R399" i="1"/>
  <c r="N400" i="1"/>
  <c r="P400" i="1" s="1"/>
  <c r="O400" i="1"/>
  <c r="R400" i="1"/>
  <c r="N401" i="1"/>
  <c r="P401" i="1" s="1"/>
  <c r="O401" i="1"/>
  <c r="R401" i="1"/>
  <c r="N402" i="1"/>
  <c r="P402" i="1" s="1"/>
  <c r="O402" i="1"/>
  <c r="R402" i="1"/>
  <c r="N403" i="1"/>
  <c r="P403" i="1" s="1"/>
  <c r="O403" i="1"/>
  <c r="R403" i="1"/>
  <c r="N404" i="1"/>
  <c r="P404" i="1" s="1"/>
  <c r="O404" i="1"/>
  <c r="R404" i="1"/>
  <c r="N405" i="1"/>
  <c r="P405" i="1" s="1"/>
  <c r="O405" i="1"/>
  <c r="R405" i="1"/>
  <c r="N406" i="1"/>
  <c r="P406" i="1" s="1"/>
  <c r="O406" i="1"/>
  <c r="R406" i="1"/>
  <c r="N407" i="1"/>
  <c r="P407" i="1" s="1"/>
  <c r="O407" i="1"/>
  <c r="R407" i="1"/>
  <c r="N448" i="1"/>
  <c r="P448" i="1" s="1"/>
  <c r="O448" i="1"/>
  <c r="R448" i="1"/>
  <c r="N449" i="1"/>
  <c r="P449" i="1" s="1"/>
  <c r="O449" i="1"/>
  <c r="R449" i="1"/>
  <c r="N450" i="1"/>
  <c r="P450" i="1" s="1"/>
  <c r="O450" i="1"/>
  <c r="R450" i="1"/>
  <c r="N451" i="1"/>
  <c r="P451" i="1" s="1"/>
  <c r="O451" i="1"/>
  <c r="R451" i="1"/>
  <c r="N452" i="1"/>
  <c r="P452" i="1" s="1"/>
  <c r="O452" i="1"/>
  <c r="R452" i="1"/>
  <c r="N453" i="1"/>
  <c r="P453" i="1" s="1"/>
  <c r="O453" i="1"/>
  <c r="R453" i="1"/>
  <c r="N454" i="1"/>
  <c r="P454" i="1" s="1"/>
  <c r="O454" i="1"/>
  <c r="R454" i="1"/>
  <c r="N455" i="1"/>
  <c r="P455" i="1" s="1"/>
  <c r="O455" i="1"/>
  <c r="R455" i="1"/>
  <c r="N456" i="1"/>
  <c r="P456" i="1" s="1"/>
  <c r="O456" i="1"/>
  <c r="R456" i="1"/>
  <c r="N457" i="1"/>
  <c r="P457" i="1" s="1"/>
  <c r="O457" i="1"/>
  <c r="R457" i="1"/>
  <c r="N458" i="1"/>
  <c r="P458" i="1" s="1"/>
  <c r="O458" i="1"/>
  <c r="R458" i="1"/>
  <c r="N459" i="1"/>
  <c r="P459" i="1" s="1"/>
  <c r="O459" i="1"/>
  <c r="R459" i="1"/>
  <c r="N460" i="1"/>
  <c r="P460" i="1" s="1"/>
  <c r="O460" i="1"/>
  <c r="R460" i="1"/>
  <c r="N461" i="1"/>
  <c r="P461" i="1" s="1"/>
  <c r="O461" i="1"/>
  <c r="R461" i="1"/>
  <c r="N462" i="1"/>
  <c r="P462" i="1" s="1"/>
  <c r="O462" i="1"/>
  <c r="R462" i="1"/>
  <c r="N463" i="1"/>
  <c r="P463" i="1" s="1"/>
  <c r="O463" i="1"/>
  <c r="R463" i="1"/>
  <c r="N464" i="1"/>
  <c r="P464" i="1" s="1"/>
  <c r="O464" i="1"/>
  <c r="R464" i="1"/>
  <c r="N465" i="1"/>
  <c r="P465" i="1" s="1"/>
  <c r="O465" i="1"/>
  <c r="R465" i="1"/>
  <c r="N466" i="1"/>
  <c r="P466" i="1" s="1"/>
  <c r="O466" i="1"/>
  <c r="R466" i="1"/>
  <c r="N467" i="1"/>
  <c r="P467" i="1" s="1"/>
  <c r="O467" i="1"/>
  <c r="R467" i="1"/>
  <c r="N468" i="1"/>
  <c r="P468" i="1" s="1"/>
  <c r="O468" i="1"/>
  <c r="R468" i="1"/>
  <c r="N469" i="1"/>
  <c r="P469" i="1" s="1"/>
  <c r="O469" i="1"/>
  <c r="R469" i="1"/>
  <c r="N470" i="1"/>
  <c r="P470" i="1" s="1"/>
  <c r="O470" i="1"/>
  <c r="R470" i="1"/>
  <c r="N471" i="1"/>
  <c r="P471" i="1" s="1"/>
  <c r="O471" i="1"/>
  <c r="R471" i="1"/>
  <c r="N472" i="1"/>
  <c r="P472" i="1" s="1"/>
  <c r="O472" i="1"/>
  <c r="R472" i="1"/>
  <c r="N473" i="1"/>
  <c r="P473" i="1" s="1"/>
  <c r="O473" i="1"/>
  <c r="R473" i="1"/>
  <c r="N474" i="1"/>
  <c r="P474" i="1" s="1"/>
  <c r="O474" i="1"/>
  <c r="R474" i="1"/>
  <c r="N475" i="1"/>
  <c r="P475" i="1" s="1"/>
  <c r="O475" i="1"/>
  <c r="R475" i="1"/>
  <c r="N476" i="1"/>
  <c r="P476" i="1" s="1"/>
  <c r="O476" i="1"/>
  <c r="R476" i="1"/>
  <c r="N477" i="1"/>
  <c r="P477" i="1" s="1"/>
  <c r="O477" i="1"/>
  <c r="R477" i="1"/>
  <c r="N478" i="1"/>
  <c r="P478" i="1" s="1"/>
  <c r="O478" i="1"/>
  <c r="R478" i="1"/>
  <c r="N479" i="1"/>
  <c r="P479" i="1" s="1"/>
  <c r="O479" i="1"/>
  <c r="R479" i="1"/>
  <c r="N480" i="1"/>
  <c r="P480" i="1" s="1"/>
  <c r="O480" i="1"/>
  <c r="R480" i="1"/>
  <c r="N481" i="1"/>
  <c r="P481" i="1" s="1"/>
  <c r="O481" i="1"/>
  <c r="R481" i="1"/>
  <c r="N482" i="1"/>
  <c r="P482" i="1" s="1"/>
  <c r="O482" i="1"/>
  <c r="R482" i="1"/>
  <c r="N483" i="1"/>
  <c r="P483" i="1" s="1"/>
  <c r="O483" i="1"/>
  <c r="R483" i="1"/>
  <c r="N484" i="1"/>
  <c r="P484" i="1" s="1"/>
  <c r="O484" i="1"/>
  <c r="R484" i="1"/>
  <c r="N485" i="1"/>
  <c r="P485" i="1" s="1"/>
  <c r="O485" i="1"/>
  <c r="R485" i="1"/>
  <c r="N486" i="1"/>
  <c r="P486" i="1" s="1"/>
  <c r="O486" i="1"/>
  <c r="R486" i="1"/>
  <c r="N487" i="1"/>
  <c r="P487" i="1" s="1"/>
  <c r="O487" i="1"/>
  <c r="R487" i="1"/>
  <c r="N488" i="1"/>
  <c r="P488" i="1" s="1"/>
  <c r="O488" i="1"/>
  <c r="R488" i="1"/>
  <c r="N489" i="1"/>
  <c r="P489" i="1" s="1"/>
  <c r="O489" i="1"/>
  <c r="R489" i="1"/>
  <c r="N490" i="1"/>
  <c r="P490" i="1" s="1"/>
  <c r="O490" i="1"/>
  <c r="R490" i="1"/>
  <c r="N491" i="1"/>
  <c r="P491" i="1" s="1"/>
  <c r="O491" i="1"/>
  <c r="R491" i="1"/>
  <c r="N492" i="1"/>
  <c r="P492" i="1" s="1"/>
  <c r="O492" i="1"/>
  <c r="R492" i="1"/>
  <c r="N493" i="1"/>
  <c r="P493" i="1" s="1"/>
  <c r="O493" i="1"/>
  <c r="R493" i="1"/>
  <c r="N494" i="1"/>
  <c r="P494" i="1" s="1"/>
  <c r="O494" i="1"/>
  <c r="R494" i="1"/>
  <c r="N495" i="1"/>
  <c r="P495" i="1" s="1"/>
  <c r="O495" i="1"/>
  <c r="R495" i="1"/>
  <c r="N496" i="1"/>
  <c r="P496" i="1" s="1"/>
  <c r="O496" i="1"/>
  <c r="R496" i="1"/>
  <c r="N497" i="1"/>
  <c r="P497" i="1" s="1"/>
  <c r="O497" i="1"/>
  <c r="R497" i="1"/>
  <c r="N498" i="1"/>
  <c r="P498" i="1" s="1"/>
  <c r="O498" i="1"/>
  <c r="R498" i="1"/>
  <c r="N499" i="1"/>
  <c r="P499" i="1" s="1"/>
  <c r="O499" i="1"/>
  <c r="R499" i="1"/>
  <c r="N500" i="1"/>
  <c r="P500" i="1" s="1"/>
  <c r="O500" i="1"/>
  <c r="R500" i="1"/>
  <c r="N501" i="1"/>
  <c r="P501" i="1" s="1"/>
  <c r="O501" i="1"/>
  <c r="R501" i="1"/>
  <c r="N502" i="1"/>
  <c r="P502" i="1" s="1"/>
  <c r="O502" i="1"/>
  <c r="R502" i="1"/>
  <c r="N503" i="1"/>
  <c r="P503" i="1" s="1"/>
  <c r="O503" i="1"/>
  <c r="R503" i="1"/>
  <c r="N504" i="1"/>
  <c r="P504" i="1" s="1"/>
  <c r="O504" i="1"/>
  <c r="R504" i="1"/>
  <c r="N505" i="1"/>
  <c r="P505" i="1" s="1"/>
  <c r="O505" i="1"/>
  <c r="R505" i="1"/>
  <c r="N506" i="1"/>
  <c r="P506" i="1" s="1"/>
  <c r="O506" i="1"/>
  <c r="R506" i="1"/>
  <c r="N507" i="1"/>
  <c r="P507" i="1" s="1"/>
  <c r="O507" i="1"/>
  <c r="R507" i="1"/>
  <c r="N508" i="1"/>
  <c r="P508" i="1" s="1"/>
  <c r="O508" i="1"/>
  <c r="R508" i="1"/>
  <c r="N509" i="1"/>
  <c r="P509" i="1" s="1"/>
  <c r="O509" i="1"/>
  <c r="R509" i="1"/>
  <c r="N510" i="1"/>
  <c r="P510" i="1" s="1"/>
  <c r="O510" i="1"/>
  <c r="R510" i="1"/>
  <c r="N511" i="1"/>
  <c r="P511" i="1" s="1"/>
  <c r="O511" i="1"/>
  <c r="R511" i="1"/>
  <c r="N512" i="1"/>
  <c r="P512" i="1" s="1"/>
  <c r="O512" i="1"/>
  <c r="R512" i="1"/>
  <c r="N513" i="1"/>
  <c r="P513" i="1" s="1"/>
  <c r="O513" i="1"/>
  <c r="R513" i="1"/>
  <c r="N514" i="1"/>
  <c r="P514" i="1" s="1"/>
  <c r="O514" i="1"/>
  <c r="R514" i="1"/>
  <c r="N515" i="1"/>
  <c r="P515" i="1" s="1"/>
  <c r="O515" i="1"/>
  <c r="R515" i="1"/>
  <c r="N516" i="1"/>
  <c r="P516" i="1" s="1"/>
  <c r="O516" i="1"/>
  <c r="R516" i="1"/>
  <c r="N517" i="1"/>
  <c r="P517" i="1" s="1"/>
  <c r="O517" i="1"/>
  <c r="R517" i="1"/>
  <c r="N518" i="1"/>
  <c r="P518" i="1" s="1"/>
  <c r="O518" i="1"/>
  <c r="R518" i="1"/>
  <c r="N519" i="1"/>
  <c r="P519" i="1" s="1"/>
  <c r="O519" i="1"/>
  <c r="R519" i="1"/>
  <c r="N520" i="1"/>
  <c r="P520" i="1" s="1"/>
  <c r="O520" i="1"/>
  <c r="R520" i="1"/>
  <c r="N521" i="1"/>
  <c r="P521" i="1" s="1"/>
  <c r="O521" i="1"/>
  <c r="R521" i="1"/>
  <c r="N522" i="1"/>
  <c r="P522" i="1" s="1"/>
  <c r="O522" i="1"/>
  <c r="R522" i="1"/>
  <c r="N523" i="1"/>
  <c r="P523" i="1" s="1"/>
  <c r="O523" i="1"/>
  <c r="R523" i="1"/>
  <c r="N524" i="1"/>
  <c r="P524" i="1" s="1"/>
  <c r="O524" i="1"/>
  <c r="R524" i="1"/>
  <c r="N525" i="1"/>
  <c r="P525" i="1" s="1"/>
  <c r="O525" i="1"/>
  <c r="R525" i="1"/>
  <c r="N526" i="1"/>
  <c r="P526" i="1" s="1"/>
  <c r="O526" i="1"/>
  <c r="R526" i="1"/>
  <c r="N527" i="1"/>
  <c r="P527" i="1" s="1"/>
  <c r="O527" i="1"/>
  <c r="R527" i="1"/>
  <c r="N528" i="1"/>
  <c r="P528" i="1" s="1"/>
  <c r="O528" i="1"/>
  <c r="R528" i="1"/>
  <c r="N529" i="1"/>
  <c r="P529" i="1" s="1"/>
  <c r="O529" i="1"/>
  <c r="R529" i="1"/>
  <c r="N530" i="1"/>
  <c r="P530" i="1" s="1"/>
  <c r="O530" i="1"/>
  <c r="R530" i="1"/>
  <c r="N571" i="1"/>
  <c r="P571" i="1" s="1"/>
  <c r="O571" i="1"/>
  <c r="R571" i="1"/>
  <c r="N572" i="1"/>
  <c r="P572" i="1" s="1"/>
  <c r="O572" i="1"/>
  <c r="R572" i="1"/>
  <c r="N573" i="1"/>
  <c r="P573" i="1" s="1"/>
  <c r="O573" i="1"/>
  <c r="R573" i="1"/>
  <c r="N574" i="1"/>
  <c r="P574" i="1" s="1"/>
  <c r="O574" i="1"/>
  <c r="R574" i="1"/>
  <c r="N575" i="1"/>
  <c r="P575" i="1" s="1"/>
  <c r="O575" i="1"/>
  <c r="R575" i="1"/>
  <c r="N576" i="1"/>
  <c r="P576" i="1" s="1"/>
  <c r="O576" i="1"/>
  <c r="R576" i="1"/>
  <c r="N577" i="1"/>
  <c r="P577" i="1" s="1"/>
  <c r="O577" i="1"/>
  <c r="R577" i="1"/>
  <c r="N578" i="1"/>
  <c r="P578" i="1" s="1"/>
  <c r="O578" i="1"/>
  <c r="R578" i="1"/>
  <c r="N579" i="1"/>
  <c r="P579" i="1" s="1"/>
  <c r="O579" i="1"/>
  <c r="R579" i="1"/>
  <c r="N580" i="1"/>
  <c r="P580" i="1" s="1"/>
  <c r="O580" i="1"/>
  <c r="R580" i="1"/>
  <c r="N581" i="1"/>
  <c r="P581" i="1" s="1"/>
  <c r="O581" i="1"/>
  <c r="R581" i="1"/>
  <c r="N582" i="1"/>
  <c r="P582" i="1" s="1"/>
  <c r="O582" i="1"/>
  <c r="R582" i="1"/>
  <c r="N583" i="1"/>
  <c r="P583" i="1" s="1"/>
  <c r="O583" i="1"/>
  <c r="R583" i="1"/>
  <c r="N584" i="1"/>
  <c r="P584" i="1" s="1"/>
  <c r="Q584" i="1" s="1"/>
  <c r="O584" i="1"/>
  <c r="R584" i="1"/>
  <c r="N585" i="1"/>
  <c r="P585" i="1" s="1"/>
  <c r="O585" i="1"/>
  <c r="R585" i="1"/>
  <c r="N586" i="1"/>
  <c r="P586" i="1" s="1"/>
  <c r="O586" i="1"/>
  <c r="R586" i="1"/>
  <c r="N587" i="1"/>
  <c r="P587" i="1" s="1"/>
  <c r="O587" i="1"/>
  <c r="R587" i="1"/>
  <c r="N588" i="1"/>
  <c r="P588" i="1" s="1"/>
  <c r="O588" i="1"/>
  <c r="R588" i="1"/>
  <c r="N589" i="1"/>
  <c r="P589" i="1" s="1"/>
  <c r="O589" i="1"/>
  <c r="R589" i="1"/>
  <c r="N590" i="1"/>
  <c r="P590" i="1" s="1"/>
  <c r="O590" i="1"/>
  <c r="R590" i="1"/>
  <c r="N591" i="1"/>
  <c r="P591" i="1" s="1"/>
  <c r="O591" i="1"/>
  <c r="R591" i="1"/>
  <c r="N592" i="1"/>
  <c r="P592" i="1" s="1"/>
  <c r="O592" i="1"/>
  <c r="R592" i="1"/>
  <c r="N593" i="1"/>
  <c r="P593" i="1" s="1"/>
  <c r="O593" i="1"/>
  <c r="R593" i="1"/>
  <c r="N594" i="1"/>
  <c r="P594" i="1" s="1"/>
  <c r="O594" i="1"/>
  <c r="R594" i="1"/>
  <c r="N595" i="1"/>
  <c r="P595" i="1" s="1"/>
  <c r="O595" i="1"/>
  <c r="R595" i="1"/>
  <c r="N596" i="1"/>
  <c r="P596" i="1" s="1"/>
  <c r="O596" i="1"/>
  <c r="R596" i="1"/>
  <c r="N597" i="1"/>
  <c r="P597" i="1" s="1"/>
  <c r="O597" i="1"/>
  <c r="R597" i="1"/>
  <c r="N598" i="1"/>
  <c r="P598" i="1" s="1"/>
  <c r="O598" i="1"/>
  <c r="R598" i="1"/>
  <c r="N599" i="1"/>
  <c r="P599" i="1" s="1"/>
  <c r="O599" i="1"/>
  <c r="R599" i="1"/>
  <c r="N600" i="1"/>
  <c r="P600" i="1" s="1"/>
  <c r="O600" i="1"/>
  <c r="R600" i="1"/>
  <c r="N601" i="1"/>
  <c r="P601" i="1" s="1"/>
  <c r="O601" i="1"/>
  <c r="R601" i="1"/>
  <c r="N602" i="1"/>
  <c r="P602" i="1" s="1"/>
  <c r="O602" i="1"/>
  <c r="R602" i="1"/>
  <c r="N603" i="1"/>
  <c r="P603" i="1" s="1"/>
  <c r="O603" i="1"/>
  <c r="R603" i="1"/>
  <c r="N604" i="1"/>
  <c r="P604" i="1" s="1"/>
  <c r="O604" i="1"/>
  <c r="R604" i="1"/>
  <c r="N605" i="1"/>
  <c r="P605" i="1" s="1"/>
  <c r="O605" i="1"/>
  <c r="R605" i="1"/>
  <c r="N606" i="1"/>
  <c r="P606" i="1" s="1"/>
  <c r="O606" i="1"/>
  <c r="R606" i="1"/>
  <c r="N607" i="1"/>
  <c r="P607" i="1" s="1"/>
  <c r="O607" i="1"/>
  <c r="R607" i="1"/>
  <c r="N608" i="1"/>
  <c r="P608" i="1" s="1"/>
  <c r="O608" i="1"/>
  <c r="R608" i="1"/>
  <c r="N609" i="1"/>
  <c r="P609" i="1" s="1"/>
  <c r="O609" i="1"/>
  <c r="R609" i="1"/>
  <c r="N610" i="1"/>
  <c r="P610" i="1" s="1"/>
  <c r="O610" i="1"/>
  <c r="R610" i="1"/>
  <c r="N531" i="1"/>
  <c r="P531" i="1" s="1"/>
  <c r="O531" i="1"/>
  <c r="R531" i="1"/>
  <c r="N532" i="1"/>
  <c r="P532" i="1" s="1"/>
  <c r="O532" i="1"/>
  <c r="R532" i="1"/>
  <c r="N533" i="1"/>
  <c r="P533" i="1" s="1"/>
  <c r="O533" i="1"/>
  <c r="R533" i="1"/>
  <c r="N534" i="1"/>
  <c r="P534" i="1" s="1"/>
  <c r="O534" i="1"/>
  <c r="R534" i="1"/>
  <c r="N535" i="1"/>
  <c r="P535" i="1" s="1"/>
  <c r="O535" i="1"/>
  <c r="R535" i="1"/>
  <c r="N536" i="1"/>
  <c r="P536" i="1" s="1"/>
  <c r="O536" i="1"/>
  <c r="R536" i="1"/>
  <c r="N537" i="1"/>
  <c r="P537" i="1" s="1"/>
  <c r="O537" i="1"/>
  <c r="R537" i="1"/>
  <c r="N538" i="1"/>
  <c r="P538" i="1" s="1"/>
  <c r="O538" i="1"/>
  <c r="R538" i="1"/>
  <c r="N539" i="1"/>
  <c r="P539" i="1" s="1"/>
  <c r="O539" i="1"/>
  <c r="R539" i="1"/>
  <c r="N540" i="1"/>
  <c r="P540" i="1" s="1"/>
  <c r="O540" i="1"/>
  <c r="R540" i="1"/>
  <c r="N541" i="1"/>
  <c r="P541" i="1" s="1"/>
  <c r="O541" i="1"/>
  <c r="R541" i="1"/>
  <c r="N542" i="1"/>
  <c r="P542" i="1" s="1"/>
  <c r="O542" i="1"/>
  <c r="R542" i="1"/>
  <c r="N543" i="1"/>
  <c r="P543" i="1" s="1"/>
  <c r="O543" i="1"/>
  <c r="R543" i="1"/>
  <c r="N544" i="1"/>
  <c r="P544" i="1" s="1"/>
  <c r="O544" i="1"/>
  <c r="R544" i="1"/>
  <c r="N545" i="1"/>
  <c r="P545" i="1" s="1"/>
  <c r="O545" i="1"/>
  <c r="R545" i="1"/>
  <c r="N546" i="1"/>
  <c r="P546" i="1" s="1"/>
  <c r="O546" i="1"/>
  <c r="R546" i="1"/>
  <c r="N547" i="1"/>
  <c r="P547" i="1" s="1"/>
  <c r="O547" i="1"/>
  <c r="R547" i="1"/>
  <c r="N548" i="1"/>
  <c r="P548" i="1" s="1"/>
  <c r="O548" i="1"/>
  <c r="R548" i="1"/>
  <c r="N549" i="1"/>
  <c r="P549" i="1" s="1"/>
  <c r="O549" i="1"/>
  <c r="R549" i="1"/>
  <c r="N550" i="1"/>
  <c r="P550" i="1" s="1"/>
  <c r="O550" i="1"/>
  <c r="R550" i="1"/>
  <c r="N551" i="1"/>
  <c r="P551" i="1" s="1"/>
  <c r="O551" i="1"/>
  <c r="R551" i="1"/>
  <c r="N552" i="1"/>
  <c r="P552" i="1" s="1"/>
  <c r="O552" i="1"/>
  <c r="R552" i="1"/>
  <c r="N553" i="1"/>
  <c r="P553" i="1" s="1"/>
  <c r="O553" i="1"/>
  <c r="R553" i="1"/>
  <c r="N554" i="1"/>
  <c r="P554" i="1" s="1"/>
  <c r="O554" i="1"/>
  <c r="R554" i="1"/>
  <c r="N555" i="1"/>
  <c r="P555" i="1" s="1"/>
  <c r="O555" i="1"/>
  <c r="R555" i="1"/>
  <c r="N556" i="1"/>
  <c r="P556" i="1" s="1"/>
  <c r="O556" i="1"/>
  <c r="R556" i="1"/>
  <c r="N557" i="1"/>
  <c r="P557" i="1" s="1"/>
  <c r="O557" i="1"/>
  <c r="R557" i="1"/>
  <c r="N558" i="1"/>
  <c r="P558" i="1" s="1"/>
  <c r="O558" i="1"/>
  <c r="R558" i="1"/>
  <c r="N559" i="1"/>
  <c r="P559" i="1" s="1"/>
  <c r="O559" i="1"/>
  <c r="R559" i="1"/>
  <c r="N560" i="1"/>
  <c r="P560" i="1" s="1"/>
  <c r="O560" i="1"/>
  <c r="R560" i="1"/>
  <c r="N561" i="1"/>
  <c r="P561" i="1" s="1"/>
  <c r="O561" i="1"/>
  <c r="R561" i="1"/>
  <c r="N562" i="1"/>
  <c r="P562" i="1" s="1"/>
  <c r="O562" i="1"/>
  <c r="R562" i="1"/>
  <c r="N563" i="1"/>
  <c r="P563" i="1" s="1"/>
  <c r="O563" i="1"/>
  <c r="R563" i="1"/>
  <c r="N564" i="1"/>
  <c r="P564" i="1" s="1"/>
  <c r="O564" i="1"/>
  <c r="R564" i="1"/>
  <c r="N565" i="1"/>
  <c r="P565" i="1" s="1"/>
  <c r="O565" i="1"/>
  <c r="R565" i="1"/>
  <c r="N566" i="1"/>
  <c r="P566" i="1" s="1"/>
  <c r="O566" i="1"/>
  <c r="R566" i="1"/>
  <c r="N567" i="1"/>
  <c r="P567" i="1" s="1"/>
  <c r="O567" i="1"/>
  <c r="R567" i="1"/>
  <c r="N568" i="1"/>
  <c r="P568" i="1" s="1"/>
  <c r="O568" i="1"/>
  <c r="R568" i="1"/>
  <c r="N569" i="1"/>
  <c r="P569" i="1" s="1"/>
  <c r="O569" i="1"/>
  <c r="R569" i="1"/>
  <c r="N570" i="1"/>
  <c r="P570" i="1" s="1"/>
  <c r="O570" i="1"/>
  <c r="R570" i="1"/>
  <c r="N611" i="1"/>
  <c r="O611" i="1"/>
  <c r="R611" i="1"/>
  <c r="N612" i="1"/>
  <c r="P612" i="1" s="1"/>
  <c r="O612" i="1"/>
  <c r="R612" i="1"/>
  <c r="N613" i="1"/>
  <c r="P613" i="1" s="1"/>
  <c r="O613" i="1"/>
  <c r="R613" i="1"/>
  <c r="N614" i="1"/>
  <c r="P614" i="1" s="1"/>
  <c r="O614" i="1"/>
  <c r="R614" i="1"/>
  <c r="N615" i="1"/>
  <c r="P615" i="1" s="1"/>
  <c r="O615" i="1"/>
  <c r="R615" i="1"/>
  <c r="N616" i="1"/>
  <c r="P616" i="1" s="1"/>
  <c r="O616" i="1"/>
  <c r="R616" i="1"/>
  <c r="N617" i="1"/>
  <c r="P617" i="1" s="1"/>
  <c r="O617" i="1"/>
  <c r="R617" i="1"/>
  <c r="N618" i="1"/>
  <c r="P618" i="1" s="1"/>
  <c r="O618" i="1"/>
  <c r="R618" i="1"/>
  <c r="N619" i="1"/>
  <c r="P619" i="1" s="1"/>
  <c r="O619" i="1"/>
  <c r="R619" i="1"/>
  <c r="N620" i="1"/>
  <c r="P620" i="1" s="1"/>
  <c r="O620" i="1"/>
  <c r="R620" i="1"/>
  <c r="N621" i="1"/>
  <c r="P621" i="1" s="1"/>
  <c r="O621" i="1"/>
  <c r="R621" i="1"/>
  <c r="N622" i="1"/>
  <c r="P622" i="1" s="1"/>
  <c r="O622" i="1"/>
  <c r="R622" i="1"/>
  <c r="N623" i="1"/>
  <c r="P623" i="1" s="1"/>
  <c r="O623" i="1"/>
  <c r="R623" i="1"/>
  <c r="N624" i="1"/>
  <c r="P624" i="1" s="1"/>
  <c r="O624" i="1"/>
  <c r="R624" i="1"/>
  <c r="N625" i="1"/>
  <c r="P625" i="1" s="1"/>
  <c r="O625" i="1"/>
  <c r="R625" i="1"/>
  <c r="N626" i="1"/>
  <c r="P626" i="1" s="1"/>
  <c r="O626" i="1"/>
  <c r="R626" i="1"/>
  <c r="N627" i="1"/>
  <c r="P627" i="1" s="1"/>
  <c r="O627" i="1"/>
  <c r="R627" i="1"/>
  <c r="N628" i="1"/>
  <c r="P628" i="1" s="1"/>
  <c r="O628" i="1"/>
  <c r="R628" i="1"/>
  <c r="N629" i="1"/>
  <c r="P629" i="1" s="1"/>
  <c r="O629" i="1"/>
  <c r="R629" i="1"/>
  <c r="N630" i="1"/>
  <c r="P630" i="1" s="1"/>
  <c r="O630" i="1"/>
  <c r="R630" i="1"/>
  <c r="N631" i="1"/>
  <c r="P631" i="1" s="1"/>
  <c r="O631" i="1"/>
  <c r="R631" i="1"/>
  <c r="N632" i="1"/>
  <c r="P632" i="1" s="1"/>
  <c r="O632" i="1"/>
  <c r="R632" i="1"/>
  <c r="N633" i="1"/>
  <c r="P633" i="1" s="1"/>
  <c r="O633" i="1"/>
  <c r="R633" i="1"/>
  <c r="N634" i="1"/>
  <c r="P634" i="1" s="1"/>
  <c r="O634" i="1"/>
  <c r="R634" i="1"/>
  <c r="N635" i="1"/>
  <c r="P635" i="1" s="1"/>
  <c r="O635" i="1"/>
  <c r="R635" i="1"/>
  <c r="N636" i="1"/>
  <c r="P636" i="1" s="1"/>
  <c r="O636" i="1"/>
  <c r="R636" i="1"/>
  <c r="N637" i="1"/>
  <c r="P637" i="1" s="1"/>
  <c r="O637" i="1"/>
  <c r="R637" i="1"/>
  <c r="N638" i="1"/>
  <c r="P638" i="1" s="1"/>
  <c r="O638" i="1"/>
  <c r="R638" i="1"/>
  <c r="N639" i="1"/>
  <c r="P639" i="1" s="1"/>
  <c r="O639" i="1"/>
  <c r="R639" i="1"/>
  <c r="N640" i="1"/>
  <c r="P640" i="1" s="1"/>
  <c r="Q640" i="1" s="1"/>
  <c r="O640" i="1"/>
  <c r="R640" i="1"/>
  <c r="N641" i="1"/>
  <c r="P641" i="1" s="1"/>
  <c r="O641" i="1"/>
  <c r="R641" i="1"/>
  <c r="N642" i="1"/>
  <c r="P642" i="1" s="1"/>
  <c r="O642" i="1"/>
  <c r="R642" i="1"/>
  <c r="N643" i="1"/>
  <c r="P643" i="1" s="1"/>
  <c r="O643" i="1"/>
  <c r="R643" i="1"/>
  <c r="N644" i="1"/>
  <c r="P644" i="1" s="1"/>
  <c r="O644" i="1"/>
  <c r="R644" i="1"/>
  <c r="N645" i="1"/>
  <c r="P645" i="1" s="1"/>
  <c r="O645" i="1"/>
  <c r="R645" i="1"/>
  <c r="N646" i="1"/>
  <c r="P646" i="1" s="1"/>
  <c r="O646" i="1"/>
  <c r="R646" i="1"/>
  <c r="N647" i="1"/>
  <c r="P647" i="1" s="1"/>
  <c r="O647" i="1"/>
  <c r="R647" i="1"/>
  <c r="N648" i="1"/>
  <c r="P648" i="1" s="1"/>
  <c r="O648" i="1"/>
  <c r="R648" i="1"/>
  <c r="N649" i="1"/>
  <c r="P649" i="1" s="1"/>
  <c r="O649" i="1"/>
  <c r="R649" i="1"/>
  <c r="N650" i="1"/>
  <c r="P650" i="1" s="1"/>
  <c r="O650" i="1"/>
  <c r="R650" i="1"/>
  <c r="N651" i="1"/>
  <c r="P651" i="1" s="1"/>
  <c r="O651" i="1"/>
  <c r="R651" i="1"/>
  <c r="N652" i="1"/>
  <c r="P652" i="1" s="1"/>
  <c r="O652" i="1"/>
  <c r="R652" i="1"/>
  <c r="N653" i="1"/>
  <c r="P653" i="1" s="1"/>
  <c r="O653" i="1"/>
  <c r="R653" i="1"/>
  <c r="N654" i="1"/>
  <c r="P654" i="1" s="1"/>
  <c r="O654" i="1"/>
  <c r="R654" i="1"/>
  <c r="N655" i="1"/>
  <c r="P655" i="1" s="1"/>
  <c r="O655" i="1"/>
  <c r="R655" i="1"/>
  <c r="N656" i="1"/>
  <c r="P656" i="1" s="1"/>
  <c r="O656" i="1"/>
  <c r="R656" i="1"/>
  <c r="N657" i="1"/>
  <c r="P657" i="1" s="1"/>
  <c r="O657" i="1"/>
  <c r="R657" i="1"/>
  <c r="N658" i="1"/>
  <c r="P658" i="1" s="1"/>
  <c r="O658" i="1"/>
  <c r="R658" i="1"/>
  <c r="N659" i="1"/>
  <c r="P659" i="1" s="1"/>
  <c r="O659" i="1"/>
  <c r="R659" i="1"/>
  <c r="N660" i="1"/>
  <c r="P660" i="1" s="1"/>
  <c r="O660" i="1"/>
  <c r="R660" i="1"/>
  <c r="N661" i="1"/>
  <c r="P661" i="1" s="1"/>
  <c r="O661" i="1"/>
  <c r="R661" i="1"/>
  <c r="N662" i="1"/>
  <c r="P662" i="1" s="1"/>
  <c r="O662" i="1"/>
  <c r="R662" i="1"/>
  <c r="N663" i="1"/>
  <c r="P663" i="1" s="1"/>
  <c r="O663" i="1"/>
  <c r="R663" i="1"/>
  <c r="N664" i="1"/>
  <c r="P664" i="1" s="1"/>
  <c r="O664" i="1"/>
  <c r="R664" i="1"/>
  <c r="N665" i="1"/>
  <c r="P665" i="1" s="1"/>
  <c r="O665" i="1"/>
  <c r="R665" i="1"/>
  <c r="N666" i="1"/>
  <c r="P666" i="1" s="1"/>
  <c r="O666" i="1"/>
  <c r="R666" i="1"/>
  <c r="N667" i="1"/>
  <c r="P667" i="1" s="1"/>
  <c r="O667" i="1"/>
  <c r="R667" i="1"/>
  <c r="N668" i="1"/>
  <c r="P668" i="1" s="1"/>
  <c r="O668" i="1"/>
  <c r="R668" i="1"/>
  <c r="N669" i="1"/>
  <c r="P669" i="1" s="1"/>
  <c r="O669" i="1"/>
  <c r="R669" i="1"/>
  <c r="N670" i="1"/>
  <c r="P670" i="1" s="1"/>
  <c r="O670" i="1"/>
  <c r="R670" i="1"/>
  <c r="N671" i="1"/>
  <c r="P671" i="1" s="1"/>
  <c r="O671" i="1"/>
  <c r="R671" i="1"/>
  <c r="N672" i="1"/>
  <c r="P672" i="1" s="1"/>
  <c r="O672" i="1"/>
  <c r="R672" i="1"/>
  <c r="N673" i="1"/>
  <c r="P673" i="1" s="1"/>
  <c r="O673" i="1"/>
  <c r="R673" i="1"/>
  <c r="N674" i="1"/>
  <c r="P674" i="1" s="1"/>
  <c r="O674" i="1"/>
  <c r="R674" i="1"/>
  <c r="N675" i="1"/>
  <c r="P675" i="1" s="1"/>
  <c r="O675" i="1"/>
  <c r="R675" i="1"/>
  <c r="N676" i="1"/>
  <c r="P676" i="1" s="1"/>
  <c r="O676" i="1"/>
  <c r="R676" i="1"/>
  <c r="N677" i="1"/>
  <c r="P677" i="1" s="1"/>
  <c r="O677" i="1"/>
  <c r="R677" i="1"/>
  <c r="N678" i="1"/>
  <c r="P678" i="1" s="1"/>
  <c r="O678" i="1"/>
  <c r="R678" i="1"/>
  <c r="N679" i="1"/>
  <c r="P679" i="1" s="1"/>
  <c r="O679" i="1"/>
  <c r="R679" i="1"/>
  <c r="N680" i="1"/>
  <c r="P680" i="1" s="1"/>
  <c r="O680" i="1"/>
  <c r="R680" i="1"/>
  <c r="N681" i="1"/>
  <c r="P681" i="1" s="1"/>
  <c r="O681" i="1"/>
  <c r="R681" i="1"/>
  <c r="N682" i="1"/>
  <c r="P682" i="1" s="1"/>
  <c r="O682" i="1"/>
  <c r="R682" i="1"/>
  <c r="N686" i="1"/>
  <c r="P686" i="1" s="1"/>
  <c r="O686" i="1"/>
  <c r="R686" i="1"/>
  <c r="N687" i="1"/>
  <c r="P687" i="1" s="1"/>
  <c r="O687" i="1"/>
  <c r="R687" i="1"/>
  <c r="N688" i="1"/>
  <c r="P688" i="1" s="1"/>
  <c r="O688" i="1"/>
  <c r="R688" i="1"/>
  <c r="N689" i="1"/>
  <c r="P689" i="1" s="1"/>
  <c r="O689" i="1"/>
  <c r="R689" i="1"/>
  <c r="N690" i="1"/>
  <c r="P690" i="1" s="1"/>
  <c r="O690" i="1"/>
  <c r="R690" i="1"/>
  <c r="N691" i="1"/>
  <c r="P691" i="1" s="1"/>
  <c r="O691" i="1"/>
  <c r="R691" i="1"/>
  <c r="N692" i="1"/>
  <c r="P692" i="1" s="1"/>
  <c r="O692" i="1"/>
  <c r="R692" i="1"/>
  <c r="N693" i="1"/>
  <c r="P693" i="1" s="1"/>
  <c r="O693" i="1"/>
  <c r="R693" i="1"/>
  <c r="N694" i="1"/>
  <c r="P694" i="1" s="1"/>
  <c r="O694" i="1"/>
  <c r="R694" i="1"/>
  <c r="N695" i="1"/>
  <c r="P695" i="1" s="1"/>
  <c r="O695" i="1"/>
  <c r="R695" i="1"/>
  <c r="N742" i="1"/>
  <c r="P742" i="1" s="1"/>
  <c r="O742" i="1"/>
  <c r="R742" i="1"/>
  <c r="N743" i="1"/>
  <c r="P743" i="1" s="1"/>
  <c r="O743" i="1"/>
  <c r="R743" i="1"/>
  <c r="N744" i="1"/>
  <c r="P744" i="1" s="1"/>
  <c r="O744" i="1"/>
  <c r="R744" i="1"/>
  <c r="N745" i="1"/>
  <c r="P745" i="1" s="1"/>
  <c r="O745" i="1"/>
  <c r="R745" i="1"/>
  <c r="N746" i="1"/>
  <c r="P746" i="1" s="1"/>
  <c r="O746" i="1"/>
  <c r="R746" i="1"/>
  <c r="N747" i="1"/>
  <c r="P747" i="1" s="1"/>
  <c r="O747" i="1"/>
  <c r="R747" i="1"/>
  <c r="N748" i="1"/>
  <c r="P748" i="1" s="1"/>
  <c r="O748" i="1"/>
  <c r="R748" i="1"/>
  <c r="N749" i="1"/>
  <c r="P749" i="1" s="1"/>
  <c r="O749" i="1"/>
  <c r="R749" i="1"/>
  <c r="N750" i="1"/>
  <c r="P750" i="1" s="1"/>
  <c r="O750" i="1"/>
  <c r="R750" i="1"/>
  <c r="N751" i="1"/>
  <c r="P751" i="1" s="1"/>
  <c r="O751" i="1"/>
  <c r="R751" i="1"/>
  <c r="N752" i="1"/>
  <c r="P752" i="1" s="1"/>
  <c r="O752" i="1"/>
  <c r="R752" i="1"/>
  <c r="N753" i="1"/>
  <c r="P753" i="1" s="1"/>
  <c r="O753" i="1"/>
  <c r="R753" i="1"/>
  <c r="N757" i="1"/>
  <c r="P757" i="1" s="1"/>
  <c r="O757" i="1"/>
  <c r="R757" i="1"/>
  <c r="N758" i="1"/>
  <c r="P758" i="1" s="1"/>
  <c r="O758" i="1"/>
  <c r="R758" i="1"/>
  <c r="N759" i="1"/>
  <c r="P759" i="1" s="1"/>
  <c r="O759" i="1"/>
  <c r="R759" i="1"/>
  <c r="N760" i="1"/>
  <c r="P760" i="1" s="1"/>
  <c r="O760" i="1"/>
  <c r="R760" i="1"/>
  <c r="N761" i="1"/>
  <c r="P761" i="1" s="1"/>
  <c r="O761" i="1"/>
  <c r="R761" i="1"/>
  <c r="N762" i="1"/>
  <c r="P762" i="1" s="1"/>
  <c r="O762" i="1"/>
  <c r="R762" i="1"/>
  <c r="N763" i="1"/>
  <c r="P763" i="1" s="1"/>
  <c r="O763" i="1"/>
  <c r="R763" i="1"/>
  <c r="N764" i="1"/>
  <c r="P764" i="1" s="1"/>
  <c r="O764" i="1"/>
  <c r="R764" i="1"/>
  <c r="N765" i="1"/>
  <c r="P765" i="1" s="1"/>
  <c r="O765" i="1"/>
  <c r="R765" i="1"/>
  <c r="N766" i="1"/>
  <c r="P766" i="1" s="1"/>
  <c r="O766" i="1"/>
  <c r="R766" i="1"/>
  <c r="N767" i="1"/>
  <c r="P767" i="1" s="1"/>
  <c r="O767" i="1"/>
  <c r="R767" i="1"/>
  <c r="N768" i="1"/>
  <c r="P768" i="1" s="1"/>
  <c r="O768" i="1"/>
  <c r="R768" i="1"/>
  <c r="N769" i="1"/>
  <c r="P769" i="1" s="1"/>
  <c r="O769" i="1"/>
  <c r="R769" i="1"/>
  <c r="N770" i="1"/>
  <c r="P770" i="1" s="1"/>
  <c r="O770" i="1"/>
  <c r="R770" i="1"/>
  <c r="N771" i="1"/>
  <c r="P771" i="1" s="1"/>
  <c r="O771" i="1"/>
  <c r="R771" i="1"/>
  <c r="N772" i="1"/>
  <c r="P772" i="1" s="1"/>
  <c r="O772" i="1"/>
  <c r="R772" i="1"/>
  <c r="N773" i="1"/>
  <c r="P773" i="1" s="1"/>
  <c r="O773" i="1"/>
  <c r="R773" i="1"/>
  <c r="N774" i="1"/>
  <c r="P774" i="1" s="1"/>
  <c r="O774" i="1"/>
  <c r="R774" i="1"/>
  <c r="N778" i="1"/>
  <c r="P778" i="1" s="1"/>
  <c r="O778" i="1"/>
  <c r="R778" i="1"/>
  <c r="N779" i="1"/>
  <c r="P779" i="1" s="1"/>
  <c r="O779" i="1"/>
  <c r="R779" i="1"/>
  <c r="N780" i="1"/>
  <c r="P780" i="1" s="1"/>
  <c r="O780" i="1"/>
  <c r="R780" i="1"/>
  <c r="N781" i="1"/>
  <c r="P781" i="1" s="1"/>
  <c r="O781" i="1"/>
  <c r="R781" i="1"/>
  <c r="N782" i="1"/>
  <c r="P782" i="1" s="1"/>
  <c r="O782" i="1"/>
  <c r="R782" i="1"/>
  <c r="N783" i="1"/>
  <c r="P783" i="1" s="1"/>
  <c r="O783" i="1"/>
  <c r="R783" i="1"/>
  <c r="N784" i="1"/>
  <c r="P784" i="1" s="1"/>
  <c r="O784" i="1"/>
  <c r="R784" i="1"/>
  <c r="N785" i="1"/>
  <c r="P785" i="1" s="1"/>
  <c r="O785" i="1"/>
  <c r="R785" i="1"/>
  <c r="N786" i="1"/>
  <c r="P786" i="1" s="1"/>
  <c r="O786" i="1"/>
  <c r="R786" i="1"/>
  <c r="N787" i="1"/>
  <c r="P787" i="1" s="1"/>
  <c r="O787" i="1"/>
  <c r="R787" i="1"/>
  <c r="N696" i="1"/>
  <c r="P696" i="1" s="1"/>
  <c r="O696" i="1"/>
  <c r="R696" i="1"/>
  <c r="N697" i="1"/>
  <c r="P697" i="1" s="1"/>
  <c r="O697" i="1"/>
  <c r="R697" i="1"/>
  <c r="N698" i="1"/>
  <c r="P698" i="1" s="1"/>
  <c r="O698" i="1"/>
  <c r="R698" i="1"/>
  <c r="N699" i="1"/>
  <c r="P699" i="1" s="1"/>
  <c r="O699" i="1"/>
  <c r="R699" i="1"/>
  <c r="N700" i="1"/>
  <c r="P700" i="1" s="1"/>
  <c r="O700" i="1"/>
  <c r="R700" i="1"/>
  <c r="N701" i="1"/>
  <c r="P701" i="1" s="1"/>
  <c r="O701" i="1"/>
  <c r="R701" i="1"/>
  <c r="N702" i="1"/>
  <c r="P702" i="1" s="1"/>
  <c r="O702" i="1"/>
  <c r="R702" i="1"/>
  <c r="N703" i="1"/>
  <c r="P703" i="1" s="1"/>
  <c r="O703" i="1"/>
  <c r="R703" i="1"/>
  <c r="N704" i="1"/>
  <c r="P704" i="1" s="1"/>
  <c r="O704" i="1"/>
  <c r="R704" i="1"/>
  <c r="N705" i="1"/>
  <c r="P705" i="1" s="1"/>
  <c r="O705" i="1"/>
  <c r="R705" i="1"/>
  <c r="N706" i="1"/>
  <c r="P706" i="1" s="1"/>
  <c r="O706" i="1"/>
  <c r="R706" i="1"/>
  <c r="N707" i="1"/>
  <c r="P707" i="1" s="1"/>
  <c r="O707" i="1"/>
  <c r="R707" i="1"/>
  <c r="N711" i="1"/>
  <c r="P711" i="1" s="1"/>
  <c r="O711" i="1"/>
  <c r="R711" i="1"/>
  <c r="N712" i="1"/>
  <c r="P712" i="1" s="1"/>
  <c r="O712" i="1"/>
  <c r="R712" i="1"/>
  <c r="N713" i="1"/>
  <c r="P713" i="1" s="1"/>
  <c r="O713" i="1"/>
  <c r="R713" i="1"/>
  <c r="N714" i="1"/>
  <c r="P714" i="1" s="1"/>
  <c r="O714" i="1"/>
  <c r="R714" i="1"/>
  <c r="N715" i="1"/>
  <c r="P715" i="1" s="1"/>
  <c r="O715" i="1"/>
  <c r="R715" i="1"/>
  <c r="N716" i="1"/>
  <c r="P716" i="1" s="1"/>
  <c r="O716" i="1"/>
  <c r="R716" i="1"/>
  <c r="N717" i="1"/>
  <c r="P717" i="1" s="1"/>
  <c r="O717" i="1"/>
  <c r="R717" i="1"/>
  <c r="N718" i="1"/>
  <c r="P718" i="1" s="1"/>
  <c r="O718" i="1"/>
  <c r="R718" i="1"/>
  <c r="N719" i="1"/>
  <c r="P719" i="1" s="1"/>
  <c r="O719" i="1"/>
  <c r="R719" i="1"/>
  <c r="N720" i="1"/>
  <c r="P720" i="1" s="1"/>
  <c r="O720" i="1"/>
  <c r="R720" i="1"/>
  <c r="N721" i="1"/>
  <c r="P721" i="1" s="1"/>
  <c r="O721" i="1"/>
  <c r="R721" i="1"/>
  <c r="N722" i="1"/>
  <c r="P722" i="1" s="1"/>
  <c r="O722" i="1"/>
  <c r="R722" i="1"/>
  <c r="N723" i="1"/>
  <c r="P723" i="1" s="1"/>
  <c r="O723" i="1"/>
  <c r="R723" i="1"/>
  <c r="N724" i="1"/>
  <c r="P724" i="1" s="1"/>
  <c r="O724" i="1"/>
  <c r="R724" i="1"/>
  <c r="N725" i="1"/>
  <c r="P725" i="1" s="1"/>
  <c r="O725" i="1"/>
  <c r="R725" i="1"/>
  <c r="N726" i="1"/>
  <c r="P726" i="1" s="1"/>
  <c r="O726" i="1"/>
  <c r="R726" i="1"/>
  <c r="N727" i="1"/>
  <c r="P727" i="1" s="1"/>
  <c r="O727" i="1"/>
  <c r="R727" i="1"/>
  <c r="N728" i="1"/>
  <c r="P728" i="1" s="1"/>
  <c r="O728" i="1"/>
  <c r="R728" i="1"/>
  <c r="N732" i="1"/>
  <c r="P732" i="1" s="1"/>
  <c r="O732" i="1"/>
  <c r="R732" i="1"/>
  <c r="N733" i="1"/>
  <c r="P733" i="1" s="1"/>
  <c r="O733" i="1"/>
  <c r="R733" i="1"/>
  <c r="N734" i="1"/>
  <c r="P734" i="1" s="1"/>
  <c r="O734" i="1"/>
  <c r="R734" i="1"/>
  <c r="N735" i="1"/>
  <c r="P735" i="1" s="1"/>
  <c r="O735" i="1"/>
  <c r="R735" i="1"/>
  <c r="N736" i="1"/>
  <c r="P736" i="1" s="1"/>
  <c r="O736" i="1"/>
  <c r="R736" i="1"/>
  <c r="N737" i="1"/>
  <c r="P737" i="1" s="1"/>
  <c r="O737" i="1"/>
  <c r="R737" i="1"/>
  <c r="N738" i="1"/>
  <c r="P738" i="1" s="1"/>
  <c r="O738" i="1"/>
  <c r="R738" i="1"/>
  <c r="N739" i="1"/>
  <c r="P739" i="1" s="1"/>
  <c r="O739" i="1"/>
  <c r="R739" i="1"/>
  <c r="N740" i="1"/>
  <c r="P740" i="1" s="1"/>
  <c r="O740" i="1"/>
  <c r="R740" i="1"/>
  <c r="N741" i="1"/>
  <c r="P741" i="1" s="1"/>
  <c r="O741" i="1"/>
  <c r="R741" i="1"/>
  <c r="N788" i="1"/>
  <c r="P788" i="1" s="1"/>
  <c r="O788" i="1"/>
  <c r="R788" i="1"/>
  <c r="N789" i="1"/>
  <c r="P789" i="1" s="1"/>
  <c r="O789" i="1"/>
  <c r="R789" i="1"/>
  <c r="N790" i="1"/>
  <c r="P790" i="1" s="1"/>
  <c r="O790" i="1"/>
  <c r="R790" i="1"/>
  <c r="N791" i="1"/>
  <c r="P791" i="1" s="1"/>
  <c r="O791" i="1"/>
  <c r="R791" i="1"/>
  <c r="N792" i="1"/>
  <c r="P792" i="1" s="1"/>
  <c r="O792" i="1"/>
  <c r="R792" i="1"/>
  <c r="N793" i="1"/>
  <c r="P793" i="1" s="1"/>
  <c r="O793" i="1"/>
  <c r="R793" i="1"/>
  <c r="N794" i="1"/>
  <c r="P794" i="1" s="1"/>
  <c r="O794" i="1"/>
  <c r="R794" i="1"/>
  <c r="N795" i="1"/>
  <c r="P795" i="1" s="1"/>
  <c r="O795" i="1"/>
  <c r="R795" i="1"/>
  <c r="N796" i="1"/>
  <c r="P796" i="1" s="1"/>
  <c r="O796" i="1"/>
  <c r="R796" i="1"/>
  <c r="N797" i="1"/>
  <c r="P797" i="1" s="1"/>
  <c r="O797" i="1"/>
  <c r="R797" i="1"/>
  <c r="N798" i="1"/>
  <c r="P798" i="1" s="1"/>
  <c r="O798" i="1"/>
  <c r="R798" i="1"/>
  <c r="N799" i="1"/>
  <c r="P799" i="1" s="1"/>
  <c r="O799" i="1"/>
  <c r="R799" i="1"/>
  <c r="N803" i="1"/>
  <c r="P803" i="1" s="1"/>
  <c r="O803" i="1"/>
  <c r="R803" i="1"/>
  <c r="N804" i="1"/>
  <c r="P804" i="1" s="1"/>
  <c r="O804" i="1"/>
  <c r="R804" i="1"/>
  <c r="N805" i="1"/>
  <c r="P805" i="1" s="1"/>
  <c r="O805" i="1"/>
  <c r="R805" i="1"/>
  <c r="N806" i="1"/>
  <c r="P806" i="1" s="1"/>
  <c r="O806" i="1"/>
  <c r="R806" i="1"/>
  <c r="N807" i="1"/>
  <c r="P807" i="1" s="1"/>
  <c r="O807" i="1"/>
  <c r="R807" i="1"/>
  <c r="N808" i="1"/>
  <c r="P808" i="1" s="1"/>
  <c r="O808" i="1"/>
  <c r="R808" i="1"/>
  <c r="N809" i="1"/>
  <c r="P809" i="1" s="1"/>
  <c r="O809" i="1"/>
  <c r="R809" i="1"/>
  <c r="N810" i="1"/>
  <c r="P810" i="1" s="1"/>
  <c r="O810" i="1"/>
  <c r="R810" i="1"/>
  <c r="N811" i="1"/>
  <c r="P811" i="1" s="1"/>
  <c r="O811" i="1"/>
  <c r="R811" i="1"/>
  <c r="N812" i="1"/>
  <c r="P812" i="1" s="1"/>
  <c r="O812" i="1"/>
  <c r="R812" i="1"/>
  <c r="N813" i="1"/>
  <c r="P813" i="1" s="1"/>
  <c r="O813" i="1"/>
  <c r="R813" i="1"/>
  <c r="N814" i="1"/>
  <c r="P814" i="1" s="1"/>
  <c r="O814" i="1"/>
  <c r="R814" i="1"/>
  <c r="N815" i="1"/>
  <c r="P815" i="1" s="1"/>
  <c r="O815" i="1"/>
  <c r="R815" i="1"/>
  <c r="N816" i="1"/>
  <c r="P816" i="1" s="1"/>
  <c r="O816" i="1"/>
  <c r="R816" i="1"/>
  <c r="N817" i="1"/>
  <c r="P817" i="1" s="1"/>
  <c r="O817" i="1"/>
  <c r="R817" i="1"/>
  <c r="N818" i="1"/>
  <c r="P818" i="1" s="1"/>
  <c r="O818" i="1"/>
  <c r="R818" i="1"/>
  <c r="N819" i="1"/>
  <c r="P819" i="1" s="1"/>
  <c r="O819" i="1"/>
  <c r="R819" i="1"/>
  <c r="N820" i="1"/>
  <c r="P820" i="1" s="1"/>
  <c r="O820" i="1"/>
  <c r="R820" i="1"/>
  <c r="N824" i="1"/>
  <c r="P824" i="1" s="1"/>
  <c r="O824" i="1"/>
  <c r="R824" i="1"/>
  <c r="N825" i="1"/>
  <c r="P825" i="1" s="1"/>
  <c r="O825" i="1"/>
  <c r="R825" i="1"/>
  <c r="N826" i="1"/>
  <c r="P826" i="1" s="1"/>
  <c r="O826" i="1"/>
  <c r="R826" i="1"/>
  <c r="N827" i="1"/>
  <c r="P827" i="1" s="1"/>
  <c r="O827" i="1"/>
  <c r="R827" i="1"/>
  <c r="N828" i="1"/>
  <c r="P828" i="1" s="1"/>
  <c r="O828" i="1"/>
  <c r="R828" i="1"/>
  <c r="N829" i="1"/>
  <c r="P829" i="1" s="1"/>
  <c r="O829" i="1"/>
  <c r="R829" i="1"/>
  <c r="N830" i="1"/>
  <c r="P830" i="1" s="1"/>
  <c r="O830" i="1"/>
  <c r="R830" i="1"/>
  <c r="N831" i="1"/>
  <c r="P831" i="1" s="1"/>
  <c r="O831" i="1"/>
  <c r="R831" i="1"/>
  <c r="N832" i="1"/>
  <c r="P832" i="1" s="1"/>
  <c r="O832" i="1"/>
  <c r="R832" i="1"/>
  <c r="N833" i="1"/>
  <c r="P833" i="1" s="1"/>
  <c r="O833" i="1"/>
  <c r="R833" i="1"/>
  <c r="N800" i="1"/>
  <c r="P800" i="1" s="1"/>
  <c r="O800" i="1"/>
  <c r="R800" i="1"/>
  <c r="N801" i="1"/>
  <c r="P801" i="1" s="1"/>
  <c r="O801" i="1"/>
  <c r="R801" i="1"/>
  <c r="N802" i="1"/>
  <c r="P802" i="1" s="1"/>
  <c r="O802" i="1"/>
  <c r="R802" i="1"/>
  <c r="N821" i="1"/>
  <c r="P821" i="1" s="1"/>
  <c r="O821" i="1"/>
  <c r="R821" i="1"/>
  <c r="N822" i="1"/>
  <c r="P822" i="1" s="1"/>
  <c r="O822" i="1"/>
  <c r="R822" i="1"/>
  <c r="N823" i="1"/>
  <c r="P823" i="1" s="1"/>
  <c r="O823" i="1"/>
  <c r="R823" i="1"/>
  <c r="N754" i="1"/>
  <c r="P754" i="1" s="1"/>
  <c r="O754" i="1"/>
  <c r="R754" i="1"/>
  <c r="N755" i="1"/>
  <c r="P755" i="1" s="1"/>
  <c r="O755" i="1"/>
  <c r="R755" i="1"/>
  <c r="N756" i="1"/>
  <c r="P756" i="1" s="1"/>
  <c r="O756" i="1"/>
  <c r="R756" i="1"/>
  <c r="N775" i="1"/>
  <c r="P775" i="1" s="1"/>
  <c r="O775" i="1"/>
  <c r="R775" i="1"/>
  <c r="N776" i="1"/>
  <c r="P776" i="1" s="1"/>
  <c r="O776" i="1"/>
  <c r="R776" i="1"/>
  <c r="N777" i="1"/>
  <c r="P777" i="1" s="1"/>
  <c r="O777" i="1"/>
  <c r="R777" i="1"/>
  <c r="N683" i="1"/>
  <c r="P683" i="1" s="1"/>
  <c r="O683" i="1"/>
  <c r="R683" i="1"/>
  <c r="N684" i="1"/>
  <c r="P684" i="1" s="1"/>
  <c r="O684" i="1"/>
  <c r="R684" i="1"/>
  <c r="N685" i="1"/>
  <c r="P685" i="1" s="1"/>
  <c r="O685" i="1"/>
  <c r="R685" i="1"/>
  <c r="N708" i="1"/>
  <c r="P708" i="1" s="1"/>
  <c r="O708" i="1"/>
  <c r="R708" i="1"/>
  <c r="N709" i="1"/>
  <c r="P709" i="1" s="1"/>
  <c r="O709" i="1"/>
  <c r="R709" i="1"/>
  <c r="N710" i="1"/>
  <c r="P710" i="1" s="1"/>
  <c r="O710" i="1"/>
  <c r="R710" i="1"/>
  <c r="N729" i="1"/>
  <c r="P729" i="1" s="1"/>
  <c r="O729" i="1"/>
  <c r="R729" i="1"/>
  <c r="N730" i="1"/>
  <c r="P730" i="1" s="1"/>
  <c r="O730" i="1"/>
  <c r="R730" i="1"/>
  <c r="N731" i="1"/>
  <c r="P731" i="1" s="1"/>
  <c r="O731" i="1"/>
  <c r="R731" i="1"/>
  <c r="N835" i="1"/>
  <c r="P835" i="1" s="1"/>
  <c r="O835" i="1"/>
  <c r="R835" i="1"/>
  <c r="N836" i="1"/>
  <c r="P836" i="1" s="1"/>
  <c r="O836" i="1"/>
  <c r="R836" i="1"/>
  <c r="N837" i="1"/>
  <c r="P837" i="1" s="1"/>
  <c r="O837" i="1"/>
  <c r="R837" i="1"/>
  <c r="N838" i="1"/>
  <c r="P838" i="1" s="1"/>
  <c r="O838" i="1"/>
  <c r="R838" i="1"/>
  <c r="N839" i="1"/>
  <c r="P839" i="1" s="1"/>
  <c r="O839" i="1"/>
  <c r="R839" i="1"/>
  <c r="N840" i="1"/>
  <c r="P840" i="1" s="1"/>
  <c r="O840" i="1"/>
  <c r="R840" i="1"/>
  <c r="N841" i="1"/>
  <c r="P841" i="1" s="1"/>
  <c r="O841" i="1"/>
  <c r="R841" i="1"/>
  <c r="N842" i="1"/>
  <c r="P842" i="1" s="1"/>
  <c r="O842" i="1"/>
  <c r="R842" i="1"/>
  <c r="N843" i="1"/>
  <c r="P843" i="1" s="1"/>
  <c r="O843" i="1"/>
  <c r="R843" i="1"/>
  <c r="N844" i="1"/>
  <c r="P844" i="1" s="1"/>
  <c r="O844" i="1"/>
  <c r="R844" i="1"/>
  <c r="N845" i="1"/>
  <c r="P845" i="1" s="1"/>
  <c r="O845" i="1"/>
  <c r="R845" i="1"/>
  <c r="N846" i="1"/>
  <c r="P846" i="1" s="1"/>
  <c r="O846" i="1"/>
  <c r="R846" i="1"/>
  <c r="N847" i="1"/>
  <c r="P847" i="1" s="1"/>
  <c r="O847" i="1"/>
  <c r="R847" i="1"/>
  <c r="N848" i="1"/>
  <c r="P848" i="1" s="1"/>
  <c r="O848" i="1"/>
  <c r="R848" i="1"/>
  <c r="N849" i="1"/>
  <c r="P849" i="1" s="1"/>
  <c r="O849" i="1"/>
  <c r="R849" i="1"/>
  <c r="N850" i="1"/>
  <c r="P850" i="1" s="1"/>
  <c r="O850" i="1"/>
  <c r="R850" i="1"/>
  <c r="N851" i="1"/>
  <c r="P851" i="1" s="1"/>
  <c r="O851" i="1"/>
  <c r="R851" i="1"/>
  <c r="N852" i="1"/>
  <c r="P852" i="1" s="1"/>
  <c r="O852" i="1"/>
  <c r="R852" i="1"/>
  <c r="N853" i="1"/>
  <c r="P853" i="1" s="1"/>
  <c r="O853" i="1"/>
  <c r="R853" i="1"/>
  <c r="N854" i="1"/>
  <c r="P854" i="1" s="1"/>
  <c r="O854" i="1"/>
  <c r="R854" i="1"/>
  <c r="N855" i="1"/>
  <c r="P855" i="1" s="1"/>
  <c r="O855" i="1"/>
  <c r="R855" i="1"/>
  <c r="N856" i="1"/>
  <c r="P856" i="1" s="1"/>
  <c r="O856" i="1"/>
  <c r="R856" i="1"/>
  <c r="N857" i="1"/>
  <c r="P857" i="1" s="1"/>
  <c r="O857" i="1"/>
  <c r="R857" i="1"/>
  <c r="N858" i="1"/>
  <c r="P858" i="1" s="1"/>
  <c r="O858" i="1"/>
  <c r="R858" i="1"/>
  <c r="N859" i="1"/>
  <c r="P859" i="1" s="1"/>
  <c r="O859" i="1"/>
  <c r="R859" i="1"/>
  <c r="N860" i="1"/>
  <c r="P860" i="1" s="1"/>
  <c r="O860" i="1"/>
  <c r="R860" i="1"/>
  <c r="N861" i="1"/>
  <c r="P861" i="1" s="1"/>
  <c r="O861" i="1"/>
  <c r="R861" i="1"/>
  <c r="N862" i="1"/>
  <c r="P862" i="1" s="1"/>
  <c r="O862" i="1"/>
  <c r="R862" i="1"/>
  <c r="N863" i="1"/>
  <c r="P863" i="1" s="1"/>
  <c r="O863" i="1"/>
  <c r="R863" i="1"/>
  <c r="N864" i="1"/>
  <c r="P864" i="1" s="1"/>
  <c r="O864" i="1"/>
  <c r="R864" i="1"/>
  <c r="N865" i="1"/>
  <c r="P865" i="1" s="1"/>
  <c r="O865" i="1"/>
  <c r="R865" i="1"/>
  <c r="N866" i="1"/>
  <c r="P866" i="1" s="1"/>
  <c r="O866" i="1"/>
  <c r="R866" i="1"/>
  <c r="N867" i="1"/>
  <c r="P867" i="1" s="1"/>
  <c r="O867" i="1"/>
  <c r="R867" i="1"/>
  <c r="N868" i="1"/>
  <c r="P868" i="1" s="1"/>
  <c r="O868" i="1"/>
  <c r="R868" i="1"/>
  <c r="N869" i="1"/>
  <c r="P869" i="1" s="1"/>
  <c r="O869" i="1"/>
  <c r="R869" i="1"/>
  <c r="N870" i="1"/>
  <c r="P870" i="1" s="1"/>
  <c r="O870" i="1"/>
  <c r="R870" i="1"/>
  <c r="N871" i="1"/>
  <c r="P871" i="1" s="1"/>
  <c r="O871" i="1"/>
  <c r="R871" i="1"/>
  <c r="N872" i="1"/>
  <c r="P872" i="1" s="1"/>
  <c r="O872" i="1"/>
  <c r="R872" i="1"/>
  <c r="N873" i="1"/>
  <c r="P873" i="1" s="1"/>
  <c r="O873" i="1"/>
  <c r="R873" i="1"/>
  <c r="N874" i="1"/>
  <c r="P874" i="1" s="1"/>
  <c r="O874" i="1"/>
  <c r="R874" i="1"/>
  <c r="N875" i="1"/>
  <c r="P875" i="1" s="1"/>
  <c r="O875" i="1"/>
  <c r="R875" i="1"/>
  <c r="N876" i="1"/>
  <c r="P876" i="1" s="1"/>
  <c r="O876" i="1"/>
  <c r="R876" i="1"/>
  <c r="N877" i="1"/>
  <c r="P877" i="1" s="1"/>
  <c r="O877" i="1"/>
  <c r="R877" i="1"/>
  <c r="N878" i="1"/>
  <c r="P878" i="1" s="1"/>
  <c r="O878" i="1"/>
  <c r="R878" i="1"/>
  <c r="N879" i="1"/>
  <c r="P879" i="1" s="1"/>
  <c r="O879" i="1"/>
  <c r="R879" i="1"/>
  <c r="N880" i="1"/>
  <c r="P880" i="1" s="1"/>
  <c r="O880" i="1"/>
  <c r="R880" i="1"/>
  <c r="N927" i="1"/>
  <c r="P927" i="1" s="1"/>
  <c r="O927" i="1"/>
  <c r="R927" i="1"/>
  <c r="N928" i="1"/>
  <c r="P928" i="1" s="1"/>
  <c r="O928" i="1"/>
  <c r="R928" i="1"/>
  <c r="N929" i="1"/>
  <c r="P929" i="1" s="1"/>
  <c r="O929" i="1"/>
  <c r="R929" i="1"/>
  <c r="N930" i="1"/>
  <c r="P930" i="1" s="1"/>
  <c r="O930" i="1"/>
  <c r="R930" i="1"/>
  <c r="N931" i="1"/>
  <c r="P931" i="1" s="1"/>
  <c r="O931" i="1"/>
  <c r="R931" i="1"/>
  <c r="N932" i="1"/>
  <c r="P932" i="1" s="1"/>
  <c r="O932" i="1"/>
  <c r="R932" i="1"/>
  <c r="N933" i="1"/>
  <c r="P933" i="1" s="1"/>
  <c r="O933" i="1"/>
  <c r="R933" i="1"/>
  <c r="N934" i="1"/>
  <c r="P934" i="1" s="1"/>
  <c r="O934" i="1"/>
  <c r="R934" i="1"/>
  <c r="N935" i="1"/>
  <c r="P935" i="1" s="1"/>
  <c r="O935" i="1"/>
  <c r="R935" i="1"/>
  <c r="N936" i="1"/>
  <c r="P936" i="1" s="1"/>
  <c r="O936" i="1"/>
  <c r="R936" i="1"/>
  <c r="N937" i="1"/>
  <c r="P937" i="1" s="1"/>
  <c r="O937" i="1"/>
  <c r="R937" i="1"/>
  <c r="N938" i="1"/>
  <c r="P938" i="1" s="1"/>
  <c r="O938" i="1"/>
  <c r="R938" i="1"/>
  <c r="N939" i="1"/>
  <c r="P939" i="1" s="1"/>
  <c r="O939" i="1"/>
  <c r="R939" i="1"/>
  <c r="N940" i="1"/>
  <c r="P940" i="1" s="1"/>
  <c r="O940" i="1"/>
  <c r="R940" i="1"/>
  <c r="N941" i="1"/>
  <c r="P941" i="1" s="1"/>
  <c r="O941" i="1"/>
  <c r="R941" i="1"/>
  <c r="N942" i="1"/>
  <c r="P942" i="1" s="1"/>
  <c r="O942" i="1"/>
  <c r="R942" i="1"/>
  <c r="N943" i="1"/>
  <c r="P943" i="1" s="1"/>
  <c r="O943" i="1"/>
  <c r="R943" i="1"/>
  <c r="N944" i="1"/>
  <c r="P944" i="1" s="1"/>
  <c r="O944" i="1"/>
  <c r="R944" i="1"/>
  <c r="N945" i="1"/>
  <c r="P945" i="1" s="1"/>
  <c r="O945" i="1"/>
  <c r="R945" i="1"/>
  <c r="N946" i="1"/>
  <c r="P946" i="1" s="1"/>
  <c r="O946" i="1"/>
  <c r="R946" i="1"/>
  <c r="N947" i="1"/>
  <c r="P947" i="1" s="1"/>
  <c r="O947" i="1"/>
  <c r="R947" i="1"/>
  <c r="N948" i="1"/>
  <c r="P948" i="1" s="1"/>
  <c r="O948" i="1"/>
  <c r="R948" i="1"/>
  <c r="N949" i="1"/>
  <c r="P949" i="1" s="1"/>
  <c r="O949" i="1"/>
  <c r="R949" i="1"/>
  <c r="N950" i="1"/>
  <c r="P950" i="1" s="1"/>
  <c r="O950" i="1"/>
  <c r="R950" i="1"/>
  <c r="N951" i="1"/>
  <c r="P951" i="1" s="1"/>
  <c r="O951" i="1"/>
  <c r="R951" i="1"/>
  <c r="N952" i="1"/>
  <c r="P952" i="1" s="1"/>
  <c r="O952" i="1"/>
  <c r="R952" i="1"/>
  <c r="N953" i="1"/>
  <c r="P953" i="1" s="1"/>
  <c r="O953" i="1"/>
  <c r="R953" i="1"/>
  <c r="N954" i="1"/>
  <c r="P954" i="1" s="1"/>
  <c r="O954" i="1"/>
  <c r="R954" i="1"/>
  <c r="N955" i="1"/>
  <c r="P955" i="1" s="1"/>
  <c r="O955" i="1"/>
  <c r="R955" i="1"/>
  <c r="N956" i="1"/>
  <c r="P956" i="1" s="1"/>
  <c r="O956" i="1"/>
  <c r="R956" i="1"/>
  <c r="N957" i="1"/>
  <c r="P957" i="1" s="1"/>
  <c r="O957" i="1"/>
  <c r="R957" i="1"/>
  <c r="N958" i="1"/>
  <c r="P958" i="1" s="1"/>
  <c r="O958" i="1"/>
  <c r="R958" i="1"/>
  <c r="N959" i="1"/>
  <c r="P959" i="1" s="1"/>
  <c r="O959" i="1"/>
  <c r="R959" i="1"/>
  <c r="N960" i="1"/>
  <c r="P960" i="1" s="1"/>
  <c r="O960" i="1"/>
  <c r="R960" i="1"/>
  <c r="N961" i="1"/>
  <c r="P961" i="1" s="1"/>
  <c r="O961" i="1"/>
  <c r="R961" i="1"/>
  <c r="N962" i="1"/>
  <c r="P962" i="1" s="1"/>
  <c r="O962" i="1"/>
  <c r="R962" i="1"/>
  <c r="N963" i="1"/>
  <c r="P963" i="1" s="1"/>
  <c r="O963" i="1"/>
  <c r="R963" i="1"/>
  <c r="N964" i="1"/>
  <c r="P964" i="1" s="1"/>
  <c r="O964" i="1"/>
  <c r="R964" i="1"/>
  <c r="N965" i="1"/>
  <c r="P965" i="1" s="1"/>
  <c r="O965" i="1"/>
  <c r="R965" i="1"/>
  <c r="N966" i="1"/>
  <c r="P966" i="1" s="1"/>
  <c r="O966" i="1"/>
  <c r="R966" i="1"/>
  <c r="N967" i="1"/>
  <c r="P967" i="1" s="1"/>
  <c r="O967" i="1"/>
  <c r="R967" i="1"/>
  <c r="N968" i="1"/>
  <c r="P968" i="1" s="1"/>
  <c r="O968" i="1"/>
  <c r="R968" i="1"/>
  <c r="N969" i="1"/>
  <c r="P969" i="1" s="1"/>
  <c r="O969" i="1"/>
  <c r="R969" i="1"/>
  <c r="N970" i="1"/>
  <c r="P970" i="1" s="1"/>
  <c r="O970" i="1"/>
  <c r="R970" i="1"/>
  <c r="N971" i="1"/>
  <c r="P971" i="1" s="1"/>
  <c r="O971" i="1"/>
  <c r="R971" i="1"/>
  <c r="N972" i="1"/>
  <c r="P972" i="1" s="1"/>
  <c r="O972" i="1"/>
  <c r="R972" i="1"/>
  <c r="N881" i="1"/>
  <c r="P881" i="1" s="1"/>
  <c r="O881" i="1"/>
  <c r="R881" i="1"/>
  <c r="N882" i="1"/>
  <c r="P882" i="1" s="1"/>
  <c r="O882" i="1"/>
  <c r="R882" i="1"/>
  <c r="N883" i="1"/>
  <c r="P883" i="1" s="1"/>
  <c r="O883" i="1"/>
  <c r="R883" i="1"/>
  <c r="N884" i="1"/>
  <c r="P884" i="1" s="1"/>
  <c r="O884" i="1"/>
  <c r="R884" i="1"/>
  <c r="N885" i="1"/>
  <c r="P885" i="1" s="1"/>
  <c r="O885" i="1"/>
  <c r="R885" i="1"/>
  <c r="N886" i="1"/>
  <c r="P886" i="1" s="1"/>
  <c r="O886" i="1"/>
  <c r="R886" i="1"/>
  <c r="N887" i="1"/>
  <c r="P887" i="1" s="1"/>
  <c r="O887" i="1"/>
  <c r="R887" i="1"/>
  <c r="N888" i="1"/>
  <c r="P888" i="1" s="1"/>
  <c r="O888" i="1"/>
  <c r="R888" i="1"/>
  <c r="N889" i="1"/>
  <c r="P889" i="1" s="1"/>
  <c r="O889" i="1"/>
  <c r="R889" i="1"/>
  <c r="N890" i="1"/>
  <c r="P890" i="1" s="1"/>
  <c r="O890" i="1"/>
  <c r="R890" i="1"/>
  <c r="N891" i="1"/>
  <c r="P891" i="1" s="1"/>
  <c r="O891" i="1"/>
  <c r="R891" i="1"/>
  <c r="N892" i="1"/>
  <c r="P892" i="1" s="1"/>
  <c r="O892" i="1"/>
  <c r="R892" i="1"/>
  <c r="N893" i="1"/>
  <c r="P893" i="1" s="1"/>
  <c r="O893" i="1"/>
  <c r="R893" i="1"/>
  <c r="N894" i="1"/>
  <c r="P894" i="1" s="1"/>
  <c r="O894" i="1"/>
  <c r="R894" i="1"/>
  <c r="N895" i="1"/>
  <c r="P895" i="1" s="1"/>
  <c r="O895" i="1"/>
  <c r="R895" i="1"/>
  <c r="N896" i="1"/>
  <c r="P896" i="1" s="1"/>
  <c r="O896" i="1"/>
  <c r="R896" i="1"/>
  <c r="N897" i="1"/>
  <c r="P897" i="1" s="1"/>
  <c r="O897" i="1"/>
  <c r="R897" i="1"/>
  <c r="N898" i="1"/>
  <c r="P898" i="1" s="1"/>
  <c r="Q898" i="1" s="1"/>
  <c r="O898" i="1"/>
  <c r="R898" i="1"/>
  <c r="N899" i="1"/>
  <c r="P899" i="1" s="1"/>
  <c r="O899" i="1"/>
  <c r="R899" i="1"/>
  <c r="N900" i="1"/>
  <c r="P900" i="1" s="1"/>
  <c r="O900" i="1"/>
  <c r="R900" i="1"/>
  <c r="N901" i="1"/>
  <c r="P901" i="1" s="1"/>
  <c r="O901" i="1"/>
  <c r="R901" i="1"/>
  <c r="N902" i="1"/>
  <c r="P902" i="1" s="1"/>
  <c r="O902" i="1"/>
  <c r="R902" i="1"/>
  <c r="N903" i="1"/>
  <c r="P903" i="1" s="1"/>
  <c r="O903" i="1"/>
  <c r="R903" i="1"/>
  <c r="N904" i="1"/>
  <c r="P904" i="1" s="1"/>
  <c r="O904" i="1"/>
  <c r="R904" i="1"/>
  <c r="N905" i="1"/>
  <c r="P905" i="1" s="1"/>
  <c r="O905" i="1"/>
  <c r="R905" i="1"/>
  <c r="N906" i="1"/>
  <c r="P906" i="1" s="1"/>
  <c r="O906" i="1"/>
  <c r="R906" i="1"/>
  <c r="N907" i="1"/>
  <c r="P907" i="1" s="1"/>
  <c r="O907" i="1"/>
  <c r="R907" i="1"/>
  <c r="N908" i="1"/>
  <c r="P908" i="1" s="1"/>
  <c r="O908" i="1"/>
  <c r="R908" i="1"/>
  <c r="N909" i="1"/>
  <c r="P909" i="1" s="1"/>
  <c r="O909" i="1"/>
  <c r="R909" i="1"/>
  <c r="N910" i="1"/>
  <c r="P910" i="1" s="1"/>
  <c r="O910" i="1"/>
  <c r="R910" i="1"/>
  <c r="N911" i="1"/>
  <c r="P911" i="1" s="1"/>
  <c r="O911" i="1"/>
  <c r="R911" i="1"/>
  <c r="N912" i="1"/>
  <c r="P912" i="1" s="1"/>
  <c r="O912" i="1"/>
  <c r="R912" i="1"/>
  <c r="N913" i="1"/>
  <c r="P913" i="1" s="1"/>
  <c r="O913" i="1"/>
  <c r="R913" i="1"/>
  <c r="N914" i="1"/>
  <c r="P914" i="1" s="1"/>
  <c r="Q914" i="1" s="1"/>
  <c r="O914" i="1"/>
  <c r="R914" i="1"/>
  <c r="N915" i="1"/>
  <c r="P915" i="1" s="1"/>
  <c r="O915" i="1"/>
  <c r="R915" i="1"/>
  <c r="N916" i="1"/>
  <c r="P916" i="1" s="1"/>
  <c r="O916" i="1"/>
  <c r="R916" i="1"/>
  <c r="N917" i="1"/>
  <c r="P917" i="1" s="1"/>
  <c r="O917" i="1"/>
  <c r="R917" i="1"/>
  <c r="N918" i="1"/>
  <c r="P918" i="1" s="1"/>
  <c r="O918" i="1"/>
  <c r="R918" i="1"/>
  <c r="N919" i="1"/>
  <c r="P919" i="1" s="1"/>
  <c r="O919" i="1"/>
  <c r="R919" i="1"/>
  <c r="N920" i="1"/>
  <c r="P920" i="1" s="1"/>
  <c r="O920" i="1"/>
  <c r="R920" i="1"/>
  <c r="N921" i="1"/>
  <c r="P921" i="1" s="1"/>
  <c r="O921" i="1"/>
  <c r="R921" i="1"/>
  <c r="N922" i="1"/>
  <c r="P922" i="1" s="1"/>
  <c r="O922" i="1"/>
  <c r="R922" i="1"/>
  <c r="N923" i="1"/>
  <c r="P923" i="1" s="1"/>
  <c r="O923" i="1"/>
  <c r="R923" i="1"/>
  <c r="N924" i="1"/>
  <c r="P924" i="1" s="1"/>
  <c r="O924" i="1"/>
  <c r="R924" i="1"/>
  <c r="N925" i="1"/>
  <c r="P925" i="1" s="1"/>
  <c r="O925" i="1"/>
  <c r="R925" i="1"/>
  <c r="N926" i="1"/>
  <c r="P926" i="1" s="1"/>
  <c r="O926" i="1"/>
  <c r="R926" i="1"/>
  <c r="N973" i="1"/>
  <c r="P973" i="1" s="1"/>
  <c r="O973" i="1"/>
  <c r="R973" i="1"/>
  <c r="N974" i="1"/>
  <c r="P974" i="1" s="1"/>
  <c r="O974" i="1"/>
  <c r="R974" i="1"/>
  <c r="N975" i="1"/>
  <c r="P975" i="1" s="1"/>
  <c r="O975" i="1"/>
  <c r="R975" i="1"/>
  <c r="N976" i="1"/>
  <c r="P976" i="1" s="1"/>
  <c r="O976" i="1"/>
  <c r="R976" i="1"/>
  <c r="N977" i="1"/>
  <c r="P977" i="1" s="1"/>
  <c r="O977" i="1"/>
  <c r="R977" i="1"/>
  <c r="N978" i="1"/>
  <c r="P978" i="1" s="1"/>
  <c r="O978" i="1"/>
  <c r="R978" i="1"/>
  <c r="N979" i="1"/>
  <c r="P979" i="1" s="1"/>
  <c r="O979" i="1"/>
  <c r="R979" i="1"/>
  <c r="N980" i="1"/>
  <c r="P980" i="1" s="1"/>
  <c r="O980" i="1"/>
  <c r="R980" i="1"/>
  <c r="N981" i="1"/>
  <c r="P981" i="1" s="1"/>
  <c r="O981" i="1"/>
  <c r="R981" i="1"/>
  <c r="N982" i="1"/>
  <c r="P982" i="1" s="1"/>
  <c r="O982" i="1"/>
  <c r="R982" i="1"/>
  <c r="N983" i="1"/>
  <c r="P983" i="1" s="1"/>
  <c r="O983" i="1"/>
  <c r="R983" i="1"/>
  <c r="N984" i="1"/>
  <c r="P984" i="1" s="1"/>
  <c r="O984" i="1"/>
  <c r="R984" i="1"/>
  <c r="N985" i="1"/>
  <c r="P985" i="1" s="1"/>
  <c r="O985" i="1"/>
  <c r="R985" i="1"/>
  <c r="N986" i="1"/>
  <c r="P986" i="1" s="1"/>
  <c r="O986" i="1"/>
  <c r="R986" i="1"/>
  <c r="N987" i="1"/>
  <c r="P987" i="1" s="1"/>
  <c r="O987" i="1"/>
  <c r="R987" i="1"/>
  <c r="N988" i="1"/>
  <c r="P988" i="1" s="1"/>
  <c r="O988" i="1"/>
  <c r="R988" i="1"/>
  <c r="N989" i="1"/>
  <c r="P989" i="1" s="1"/>
  <c r="O989" i="1"/>
  <c r="R989" i="1"/>
  <c r="N990" i="1"/>
  <c r="P990" i="1" s="1"/>
  <c r="O990" i="1"/>
  <c r="R990" i="1"/>
  <c r="N991" i="1"/>
  <c r="P991" i="1" s="1"/>
  <c r="O991" i="1"/>
  <c r="R991" i="1"/>
  <c r="N992" i="1"/>
  <c r="P992" i="1" s="1"/>
  <c r="O992" i="1"/>
  <c r="R992" i="1"/>
  <c r="N993" i="1"/>
  <c r="P993" i="1" s="1"/>
  <c r="O993" i="1"/>
  <c r="R993" i="1"/>
  <c r="N994" i="1"/>
  <c r="P994" i="1" s="1"/>
  <c r="O994" i="1"/>
  <c r="R994" i="1"/>
  <c r="N995" i="1"/>
  <c r="P995" i="1" s="1"/>
  <c r="O995" i="1"/>
  <c r="R995" i="1"/>
  <c r="N996" i="1"/>
  <c r="P996" i="1" s="1"/>
  <c r="O996" i="1"/>
  <c r="R996" i="1"/>
  <c r="N997" i="1"/>
  <c r="P997" i="1" s="1"/>
  <c r="O997" i="1"/>
  <c r="R997" i="1"/>
  <c r="N998" i="1"/>
  <c r="P998" i="1" s="1"/>
  <c r="O998" i="1"/>
  <c r="R998" i="1"/>
  <c r="N999" i="1"/>
  <c r="P999" i="1" s="1"/>
  <c r="O999" i="1"/>
  <c r="R999" i="1"/>
  <c r="N1000" i="1"/>
  <c r="P1000" i="1" s="1"/>
  <c r="O1000" i="1"/>
  <c r="R1000" i="1"/>
  <c r="N1001" i="1"/>
  <c r="P1001" i="1" s="1"/>
  <c r="O1001" i="1"/>
  <c r="R1001" i="1"/>
  <c r="N1002" i="1"/>
  <c r="P1002" i="1" s="1"/>
  <c r="O1002" i="1"/>
  <c r="R1002" i="1"/>
  <c r="N1003" i="1"/>
  <c r="P1003" i="1" s="1"/>
  <c r="O1003" i="1"/>
  <c r="R1003" i="1"/>
  <c r="N1004" i="1"/>
  <c r="P1004" i="1" s="1"/>
  <c r="O1004" i="1"/>
  <c r="R1004" i="1"/>
  <c r="N1005" i="1"/>
  <c r="P1005" i="1" s="1"/>
  <c r="O1005" i="1"/>
  <c r="R1005" i="1"/>
  <c r="N1006" i="1"/>
  <c r="P1006" i="1" s="1"/>
  <c r="O1006" i="1"/>
  <c r="R1006" i="1"/>
  <c r="N1007" i="1"/>
  <c r="P1007" i="1" s="1"/>
  <c r="O1007" i="1"/>
  <c r="R1007" i="1"/>
  <c r="N1008" i="1"/>
  <c r="P1008" i="1" s="1"/>
  <c r="O1008" i="1"/>
  <c r="R1008" i="1"/>
  <c r="N1009" i="1"/>
  <c r="P1009" i="1" s="1"/>
  <c r="O1009" i="1"/>
  <c r="R1009" i="1"/>
  <c r="N1010" i="1"/>
  <c r="P1010" i="1" s="1"/>
  <c r="O1010" i="1"/>
  <c r="R1010" i="1"/>
  <c r="N1011" i="1"/>
  <c r="P1011" i="1" s="1"/>
  <c r="O1011" i="1"/>
  <c r="R1011" i="1"/>
  <c r="N1012" i="1"/>
  <c r="P1012" i="1" s="1"/>
  <c r="O1012" i="1"/>
  <c r="R1012" i="1"/>
  <c r="N1013" i="1"/>
  <c r="P1013" i="1" s="1"/>
  <c r="O1013" i="1"/>
  <c r="R1013" i="1"/>
  <c r="N1014" i="1"/>
  <c r="P1014" i="1" s="1"/>
  <c r="O1014" i="1"/>
  <c r="R1014" i="1"/>
  <c r="N1015" i="1"/>
  <c r="P1015" i="1" s="1"/>
  <c r="O1015" i="1"/>
  <c r="R1015" i="1"/>
  <c r="N1016" i="1"/>
  <c r="P1016" i="1" s="1"/>
  <c r="O1016" i="1"/>
  <c r="R1016" i="1"/>
  <c r="N1017" i="1"/>
  <c r="P1017" i="1" s="1"/>
  <c r="O1017" i="1"/>
  <c r="R1017" i="1"/>
  <c r="N1018" i="1"/>
  <c r="P1018" i="1" s="1"/>
  <c r="O1018" i="1"/>
  <c r="R1018" i="1"/>
  <c r="R1019" i="1"/>
  <c r="O1019" i="1"/>
  <c r="N1019" i="1"/>
  <c r="P1019" i="1" s="1"/>
  <c r="Q797" i="1" l="1"/>
  <c r="Q23" i="1"/>
  <c r="Q1000" i="1"/>
  <c r="Q984" i="1"/>
  <c r="Q966" i="1"/>
  <c r="Q397" i="1"/>
  <c r="Q834" i="1"/>
  <c r="S834" i="1" s="1"/>
  <c r="T834" i="1" s="1"/>
  <c r="Q868" i="1"/>
  <c r="Q360" i="1"/>
  <c r="S360" i="1" s="1"/>
  <c r="T360" i="1" s="1"/>
  <c r="Q715" i="1"/>
  <c r="Q488" i="1"/>
  <c r="Q416" i="1"/>
  <c r="Q754" i="1"/>
  <c r="S754" i="1" s="1"/>
  <c r="T754" i="1" s="1"/>
  <c r="Q824" i="1"/>
  <c r="Q22" i="1"/>
  <c r="S22" i="1" s="1"/>
  <c r="T22" i="1" s="1"/>
  <c r="Q685" i="1"/>
  <c r="S685" i="1" s="1"/>
  <c r="T685" i="1" s="1"/>
  <c r="Q430" i="1"/>
  <c r="Q414" i="1"/>
  <c r="S414" i="1" s="1"/>
  <c r="T414" i="1" s="1"/>
  <c r="Q893" i="1"/>
  <c r="Q937" i="1"/>
  <c r="S937" i="1" s="1"/>
  <c r="T937" i="1" s="1"/>
  <c r="Q869" i="1"/>
  <c r="S869" i="1" s="1"/>
  <c r="T869" i="1" s="1"/>
  <c r="Q995" i="1"/>
  <c r="Q945" i="1"/>
  <c r="Q680" i="1"/>
  <c r="Q648" i="1"/>
  <c r="Q379" i="1"/>
  <c r="S379" i="1" s="1"/>
  <c r="T379" i="1" s="1"/>
  <c r="Q443" i="1"/>
  <c r="Q219" i="1"/>
  <c r="S219" i="1" s="1"/>
  <c r="T219" i="1" s="1"/>
  <c r="Q75" i="1"/>
  <c r="S75" i="1" s="1"/>
  <c r="T75" i="1" s="1"/>
  <c r="Q1037" i="1"/>
  <c r="S1037" i="1" s="1"/>
  <c r="T1037" i="1" s="1"/>
  <c r="Q878" i="1"/>
  <c r="S878" i="1" s="1"/>
  <c r="T878" i="1" s="1"/>
  <c r="S416" i="1"/>
  <c r="T416" i="1" s="1"/>
  <c r="Q758" i="1"/>
  <c r="S758" i="1" s="1"/>
  <c r="T758" i="1" s="1"/>
  <c r="Q782" i="1"/>
  <c r="Q466" i="1"/>
  <c r="S466" i="1" s="1"/>
  <c r="T466" i="1" s="1"/>
  <c r="Q426" i="1"/>
  <c r="S426" i="1" s="1"/>
  <c r="T426" i="1" s="1"/>
  <c r="Q54" i="1"/>
  <c r="Q894" i="1"/>
  <c r="S894" i="1" s="1"/>
  <c r="T894" i="1" s="1"/>
  <c r="Q1044" i="1"/>
  <c r="Q274" i="1"/>
  <c r="Q258" i="1"/>
  <c r="S258" i="1" s="1"/>
  <c r="T258" i="1" s="1"/>
  <c r="Q93" i="1"/>
  <c r="S93" i="1" s="1"/>
  <c r="T93" i="1" s="1"/>
  <c r="Q1049" i="1"/>
  <c r="Q1007" i="1"/>
  <c r="S1007" i="1" s="1"/>
  <c r="T1007" i="1" s="1"/>
  <c r="Q811" i="1"/>
  <c r="Q806" i="1"/>
  <c r="S806" i="1" s="1"/>
  <c r="T806" i="1" s="1"/>
  <c r="Q628" i="1"/>
  <c r="S628" i="1" s="1"/>
  <c r="T628" i="1" s="1"/>
  <c r="Q407" i="1"/>
  <c r="S407" i="1" s="1"/>
  <c r="T407" i="1" s="1"/>
  <c r="Q173" i="1"/>
  <c r="Q141" i="1"/>
  <c r="S141" i="1" s="1"/>
  <c r="T141" i="1" s="1"/>
  <c r="Q986" i="1"/>
  <c r="S986" i="1" s="1"/>
  <c r="T986" i="1" s="1"/>
  <c r="Q924" i="1"/>
  <c r="Q892" i="1"/>
  <c r="S892" i="1" s="1"/>
  <c r="T892" i="1" s="1"/>
  <c r="Q699" i="1"/>
  <c r="Q377" i="1"/>
  <c r="S377" i="1" s="1"/>
  <c r="T377" i="1" s="1"/>
  <c r="Q353" i="1"/>
  <c r="Q358" i="1"/>
  <c r="Q106" i="1"/>
  <c r="Q85" i="1"/>
  <c r="S85" i="1" s="1"/>
  <c r="T85" i="1" s="1"/>
  <c r="Q32" i="1"/>
  <c r="S32" i="1" s="1"/>
  <c r="T32" i="1" s="1"/>
  <c r="Q347" i="1"/>
  <c r="S347" i="1" s="1"/>
  <c r="T347" i="1" s="1"/>
  <c r="Q930" i="1"/>
  <c r="S930" i="1" s="1"/>
  <c r="T930" i="1" s="1"/>
  <c r="Q546" i="1"/>
  <c r="Q376" i="1"/>
  <c r="S376" i="1" s="1"/>
  <c r="T376" i="1" s="1"/>
  <c r="Q1032" i="1"/>
  <c r="Q654" i="1"/>
  <c r="S654" i="1" s="1"/>
  <c r="T654" i="1" s="1"/>
  <c r="Q340" i="1"/>
  <c r="S340" i="1" s="1"/>
  <c r="T340" i="1" s="1"/>
  <c r="Q236" i="1"/>
  <c r="S236" i="1" s="1"/>
  <c r="T236" i="1" s="1"/>
  <c r="Q872" i="1"/>
  <c r="Q241" i="1"/>
  <c r="S241" i="1" s="1"/>
  <c r="T241" i="1" s="1"/>
  <c r="S715" i="1"/>
  <c r="T715" i="1" s="1"/>
  <c r="Q40" i="1"/>
  <c r="Q647" i="1"/>
  <c r="S647" i="1" s="1"/>
  <c r="T647" i="1" s="1"/>
  <c r="Q903" i="1"/>
  <c r="S903" i="1" s="1"/>
  <c r="T903" i="1" s="1"/>
  <c r="Q570" i="1"/>
  <c r="S570" i="1" s="1"/>
  <c r="T570" i="1" s="1"/>
  <c r="Q554" i="1"/>
  <c r="S554" i="1" s="1"/>
  <c r="T554" i="1" s="1"/>
  <c r="Q533" i="1"/>
  <c r="S533" i="1" s="1"/>
  <c r="T533" i="1" s="1"/>
  <c r="Q288" i="1"/>
  <c r="Q16" i="1"/>
  <c r="S16" i="1" s="1"/>
  <c r="T16" i="1" s="1"/>
  <c r="Q27" i="1"/>
  <c r="S27" i="1" s="1"/>
  <c r="T27" i="1" s="1"/>
  <c r="Q812" i="1"/>
  <c r="S812" i="1" s="1"/>
  <c r="T812" i="1" s="1"/>
  <c r="Q636" i="1"/>
  <c r="S636" i="1" s="1"/>
  <c r="T636" i="1" s="1"/>
  <c r="Q330" i="1"/>
  <c r="S330" i="1" s="1"/>
  <c r="T330" i="1" s="1"/>
  <c r="Q280" i="1"/>
  <c r="Q264" i="1"/>
  <c r="Q248" i="1"/>
  <c r="S248" i="1" s="1"/>
  <c r="T248" i="1" s="1"/>
  <c r="Q129" i="1"/>
  <c r="S129" i="1" s="1"/>
  <c r="T129" i="1" s="1"/>
  <c r="Q1006" i="1"/>
  <c r="S1006" i="1" s="1"/>
  <c r="T1006" i="1" s="1"/>
  <c r="Q729" i="1"/>
  <c r="S729" i="1" s="1"/>
  <c r="T729" i="1" s="1"/>
  <c r="Q553" i="1"/>
  <c r="S553" i="1" s="1"/>
  <c r="T553" i="1" s="1"/>
  <c r="Q532" i="1"/>
  <c r="S532" i="1" s="1"/>
  <c r="T532" i="1" s="1"/>
  <c r="Q401" i="1"/>
  <c r="S401" i="1" s="1"/>
  <c r="T401" i="1" s="1"/>
  <c r="Q356" i="1"/>
  <c r="S356" i="1" s="1"/>
  <c r="T356" i="1" s="1"/>
  <c r="Q1057" i="1"/>
  <c r="Q842" i="1"/>
  <c r="Q881" i="1"/>
  <c r="S881" i="1" s="1"/>
  <c r="T881" i="1" s="1"/>
  <c r="S640" i="1"/>
  <c r="T640" i="1" s="1"/>
  <c r="Q831" i="1"/>
  <c r="S831" i="1" s="1"/>
  <c r="T831" i="1" s="1"/>
  <c r="Q240" i="1"/>
  <c r="S240" i="1" s="1"/>
  <c r="T240" i="1" s="1"/>
  <c r="Q713" i="1"/>
  <c r="S713" i="1" s="1"/>
  <c r="T713" i="1" s="1"/>
  <c r="Q823" i="1"/>
  <c r="S823" i="1" s="1"/>
  <c r="T823" i="1" s="1"/>
  <c r="Q1020" i="1"/>
  <c r="S1020" i="1" s="1"/>
  <c r="T1020" i="1" s="1"/>
  <c r="Q633" i="1"/>
  <c r="S633" i="1" s="1"/>
  <c r="T633" i="1" s="1"/>
  <c r="Q913" i="1"/>
  <c r="S913" i="1" s="1"/>
  <c r="T913" i="1" s="1"/>
  <c r="Q1054" i="1"/>
  <c r="S1054" i="1" s="1"/>
  <c r="T1054" i="1" s="1"/>
  <c r="Q684" i="1"/>
  <c r="S684" i="1" s="1"/>
  <c r="T684" i="1" s="1"/>
  <c r="Q1024" i="1"/>
  <c r="S1024" i="1" s="1"/>
  <c r="T1024" i="1" s="1"/>
  <c r="Q870" i="1"/>
  <c r="S870" i="1" s="1"/>
  <c r="T870" i="1" s="1"/>
  <c r="Q855" i="1"/>
  <c r="S855" i="1" s="1"/>
  <c r="T855" i="1" s="1"/>
  <c r="Q734" i="1"/>
  <c r="Q587" i="1"/>
  <c r="S587" i="1" s="1"/>
  <c r="T587" i="1" s="1"/>
  <c r="Q453" i="1"/>
  <c r="S453" i="1" s="1"/>
  <c r="T453" i="1" s="1"/>
  <c r="Q307" i="1"/>
  <c r="S307" i="1" s="1"/>
  <c r="T307" i="1" s="1"/>
  <c r="Q225" i="1"/>
  <c r="S225" i="1" s="1"/>
  <c r="T225" i="1" s="1"/>
  <c r="Q209" i="1"/>
  <c r="S209" i="1" s="1"/>
  <c r="T209" i="1" s="1"/>
  <c r="Q263" i="1"/>
  <c r="S263" i="1" s="1"/>
  <c r="T263" i="1" s="1"/>
  <c r="Q144" i="1"/>
  <c r="S144" i="1" s="1"/>
  <c r="T144" i="1" s="1"/>
  <c r="Q707" i="1"/>
  <c r="S707" i="1" s="1"/>
  <c r="T707" i="1" s="1"/>
  <c r="Q760" i="1"/>
  <c r="S760" i="1" s="1"/>
  <c r="T760" i="1" s="1"/>
  <c r="Q564" i="1"/>
  <c r="S564" i="1" s="1"/>
  <c r="T564" i="1" s="1"/>
  <c r="Q543" i="1"/>
  <c r="S543" i="1" s="1"/>
  <c r="T543" i="1" s="1"/>
  <c r="Q607" i="1"/>
  <c r="Q571" i="1"/>
  <c r="S571" i="1" s="1"/>
  <c r="T571" i="1" s="1"/>
  <c r="Q505" i="1"/>
  <c r="Q387" i="1"/>
  <c r="S387" i="1" s="1"/>
  <c r="T387" i="1" s="1"/>
  <c r="Q371" i="1"/>
  <c r="S371" i="1" s="1"/>
  <c r="T371" i="1" s="1"/>
  <c r="Q436" i="1"/>
  <c r="S436" i="1" s="1"/>
  <c r="T436" i="1" s="1"/>
  <c r="Q186" i="1"/>
  <c r="Q149" i="1"/>
  <c r="S149" i="1" s="1"/>
  <c r="T149" i="1" s="1"/>
  <c r="Q440" i="1"/>
  <c r="S440" i="1" s="1"/>
  <c r="T440" i="1" s="1"/>
  <c r="Q733" i="1"/>
  <c r="S733" i="1" s="1"/>
  <c r="T733" i="1" s="1"/>
  <c r="Q13" i="1"/>
  <c r="S13" i="1" s="1"/>
  <c r="T13" i="1" s="1"/>
  <c r="Q3" i="1"/>
  <c r="S3" i="1" s="1"/>
  <c r="T3" i="1" s="1"/>
  <c r="Q1048" i="1"/>
  <c r="S1048" i="1" s="1"/>
  <c r="T1048" i="1" s="1"/>
  <c r="Q1003" i="1"/>
  <c r="S1003" i="1" s="1"/>
  <c r="T1003" i="1" s="1"/>
  <c r="Q910" i="1"/>
  <c r="S910" i="1" s="1"/>
  <c r="T910" i="1" s="1"/>
  <c r="Q956" i="1"/>
  <c r="S956" i="1" s="1"/>
  <c r="T956" i="1" s="1"/>
  <c r="Q803" i="1"/>
  <c r="S803" i="1" s="1"/>
  <c r="T803" i="1" s="1"/>
  <c r="Q542" i="1"/>
  <c r="Q606" i="1"/>
  <c r="Q457" i="1"/>
  <c r="S457" i="1" s="1"/>
  <c r="T457" i="1" s="1"/>
  <c r="Q386" i="1"/>
  <c r="S386" i="1" s="1"/>
  <c r="T386" i="1" s="1"/>
  <c r="Q419" i="1"/>
  <c r="S419" i="1" s="1"/>
  <c r="T419" i="1" s="1"/>
  <c r="Q363" i="1"/>
  <c r="S363" i="1" s="1"/>
  <c r="T363" i="1" s="1"/>
  <c r="Q229" i="1"/>
  <c r="S229" i="1" s="1"/>
  <c r="T229" i="1" s="1"/>
  <c r="Q213" i="1"/>
  <c r="S213" i="1" s="1"/>
  <c r="T213" i="1" s="1"/>
  <c r="Q25" i="1"/>
  <c r="S25" i="1" s="1"/>
  <c r="T25" i="1" s="1"/>
  <c r="S984" i="1"/>
  <c r="T984" i="1" s="1"/>
  <c r="S966" i="1"/>
  <c r="T966" i="1" s="1"/>
  <c r="S488" i="1"/>
  <c r="T488" i="1" s="1"/>
  <c r="Q66" i="1"/>
  <c r="S66" i="1" s="1"/>
  <c r="T66" i="1" s="1"/>
  <c r="Q109" i="1"/>
  <c r="Q858" i="1"/>
  <c r="S858" i="1" s="1"/>
  <c r="T858" i="1" s="1"/>
  <c r="Q853" i="1"/>
  <c r="S853" i="1" s="1"/>
  <c r="T853" i="1" s="1"/>
  <c r="Q837" i="1"/>
  <c r="Q688" i="1"/>
  <c r="S688" i="1" s="1"/>
  <c r="T688" i="1" s="1"/>
  <c r="Q536" i="1"/>
  <c r="S536" i="1" s="1"/>
  <c r="T536" i="1" s="1"/>
  <c r="Q444" i="1"/>
  <c r="Q429" i="1"/>
  <c r="S429" i="1" s="1"/>
  <c r="T429" i="1" s="1"/>
  <c r="Q223" i="1"/>
  <c r="S223" i="1" s="1"/>
  <c r="T223" i="1" s="1"/>
  <c r="Q261" i="1"/>
  <c r="S261" i="1" s="1"/>
  <c r="T261" i="1" s="1"/>
  <c r="Q1028" i="1"/>
  <c r="S1028" i="1" s="1"/>
  <c r="T1028" i="1" s="1"/>
  <c r="Q909" i="1"/>
  <c r="S909" i="1" s="1"/>
  <c r="T909" i="1" s="1"/>
  <c r="Q700" i="1"/>
  <c r="S700" i="1" s="1"/>
  <c r="T700" i="1" s="1"/>
  <c r="Q418" i="1"/>
  <c r="S418" i="1" s="1"/>
  <c r="T418" i="1" s="1"/>
  <c r="Q294" i="1"/>
  <c r="S294" i="1" s="1"/>
  <c r="T294" i="1" s="1"/>
  <c r="Q147" i="1"/>
  <c r="Q217" i="1"/>
  <c r="Q271" i="1"/>
  <c r="Q255" i="1"/>
  <c r="S255" i="1" s="1"/>
  <c r="T255" i="1" s="1"/>
  <c r="Q194" i="1"/>
  <c r="S194" i="1" s="1"/>
  <c r="T194" i="1" s="1"/>
  <c r="Q189" i="1"/>
  <c r="S189" i="1" s="1"/>
  <c r="T189" i="1" s="1"/>
  <c r="Q108" i="1"/>
  <c r="S108" i="1" s="1"/>
  <c r="T108" i="1" s="1"/>
  <c r="Q82" i="1"/>
  <c r="S82" i="1" s="1"/>
  <c r="T82" i="1" s="1"/>
  <c r="Q29" i="1"/>
  <c r="S29" i="1" s="1"/>
  <c r="T29" i="1" s="1"/>
  <c r="Q6" i="1"/>
  <c r="S6" i="1" s="1"/>
  <c r="T6" i="1" s="1"/>
  <c r="Q1041" i="1"/>
  <c r="S1041" i="1" s="1"/>
  <c r="T1041" i="1" s="1"/>
  <c r="Q1022" i="1"/>
  <c r="S1022" i="1" s="1"/>
  <c r="T1022" i="1" s="1"/>
  <c r="Q941" i="1"/>
  <c r="S941" i="1" s="1"/>
  <c r="T941" i="1" s="1"/>
  <c r="Q1011" i="1"/>
  <c r="S1011" i="1" s="1"/>
  <c r="T1011" i="1" s="1"/>
  <c r="Q846" i="1"/>
  <c r="S846" i="1" s="1"/>
  <c r="T846" i="1" s="1"/>
  <c r="Q741" i="1"/>
  <c r="S741" i="1" s="1"/>
  <c r="T741" i="1" s="1"/>
  <c r="Q743" i="1"/>
  <c r="S743" i="1" s="1"/>
  <c r="T743" i="1" s="1"/>
  <c r="Q566" i="1"/>
  <c r="Q573" i="1"/>
  <c r="Q350" i="1"/>
  <c r="S350" i="1" s="1"/>
  <c r="T350" i="1" s="1"/>
  <c r="Q130" i="1"/>
  <c r="S130" i="1" s="1"/>
  <c r="T130" i="1" s="1"/>
  <c r="Q866" i="1"/>
  <c r="S866" i="1" s="1"/>
  <c r="T866" i="1" s="1"/>
  <c r="Q632" i="1"/>
  <c r="S632" i="1" s="1"/>
  <c r="T632" i="1" s="1"/>
  <c r="Q627" i="1"/>
  <c r="S627" i="1" s="1"/>
  <c r="T627" i="1" s="1"/>
  <c r="Q534" i="1"/>
  <c r="S534" i="1" s="1"/>
  <c r="T534" i="1" s="1"/>
  <c r="Q522" i="1"/>
  <c r="S522" i="1" s="1"/>
  <c r="T522" i="1" s="1"/>
  <c r="Q334" i="1"/>
  <c r="Q172" i="1"/>
  <c r="S172" i="1" s="1"/>
  <c r="T172" i="1" s="1"/>
  <c r="Q74" i="1"/>
  <c r="S74" i="1" s="1"/>
  <c r="T74" i="1" s="1"/>
  <c r="Q112" i="1"/>
  <c r="S112" i="1" s="1"/>
  <c r="T112" i="1" s="1"/>
  <c r="Q1039" i="1"/>
  <c r="S1039" i="1" s="1"/>
  <c r="T1039" i="1" s="1"/>
  <c r="Q1055" i="1"/>
  <c r="S1055" i="1" s="1"/>
  <c r="T1055" i="1" s="1"/>
  <c r="Q182" i="1"/>
  <c r="S182" i="1" s="1"/>
  <c r="T182" i="1" s="1"/>
  <c r="Q708" i="1"/>
  <c r="Q740" i="1"/>
  <c r="S740" i="1" s="1"/>
  <c r="T740" i="1" s="1"/>
  <c r="Q711" i="1"/>
  <c r="S711" i="1" s="1"/>
  <c r="T711" i="1" s="1"/>
  <c r="Q703" i="1"/>
  <c r="S703" i="1" s="1"/>
  <c r="T703" i="1" s="1"/>
  <c r="Q677" i="1"/>
  <c r="S677" i="1" s="1"/>
  <c r="T677" i="1" s="1"/>
  <c r="Q598" i="1"/>
  <c r="S598" i="1" s="1"/>
  <c r="T598" i="1" s="1"/>
  <c r="Q572" i="1"/>
  <c r="S572" i="1" s="1"/>
  <c r="T572" i="1" s="1"/>
  <c r="Q459" i="1"/>
  <c r="S459" i="1" s="1"/>
  <c r="T459" i="1" s="1"/>
  <c r="Q365" i="1"/>
  <c r="S365" i="1" s="1"/>
  <c r="T365" i="1" s="1"/>
  <c r="Q344" i="1"/>
  <c r="S344" i="1" s="1"/>
  <c r="T344" i="1" s="1"/>
  <c r="Q318" i="1"/>
  <c r="S318" i="1" s="1"/>
  <c r="T318" i="1" s="1"/>
  <c r="Q297" i="1"/>
  <c r="S297" i="1" s="1"/>
  <c r="T297" i="1" s="1"/>
  <c r="Q269" i="1"/>
  <c r="S269" i="1" s="1"/>
  <c r="T269" i="1" s="1"/>
  <c r="Q1012" i="1"/>
  <c r="S1012" i="1" s="1"/>
  <c r="T1012" i="1" s="1"/>
  <c r="Q904" i="1"/>
  <c r="Q890" i="1"/>
  <c r="S890" i="1" s="1"/>
  <c r="T890" i="1" s="1"/>
  <c r="Q885" i="1"/>
  <c r="S885" i="1" s="1"/>
  <c r="T885" i="1" s="1"/>
  <c r="Q967" i="1"/>
  <c r="S967" i="1" s="1"/>
  <c r="T967" i="1" s="1"/>
  <c r="Q947" i="1"/>
  <c r="S947" i="1" s="1"/>
  <c r="T947" i="1" s="1"/>
  <c r="Q927" i="1"/>
  <c r="S927" i="1" s="1"/>
  <c r="T927" i="1" s="1"/>
  <c r="Q861" i="1"/>
  <c r="S861" i="1" s="1"/>
  <c r="T861" i="1" s="1"/>
  <c r="Q840" i="1"/>
  <c r="S840" i="1" s="1"/>
  <c r="T840" i="1" s="1"/>
  <c r="Q800" i="1"/>
  <c r="S800" i="1" s="1"/>
  <c r="T800" i="1" s="1"/>
  <c r="Q815" i="1"/>
  <c r="S815" i="1" s="1"/>
  <c r="T815" i="1" s="1"/>
  <c r="Q718" i="1"/>
  <c r="S718" i="1" s="1"/>
  <c r="T718" i="1" s="1"/>
  <c r="Q786" i="1"/>
  <c r="S786" i="1" s="1"/>
  <c r="T786" i="1" s="1"/>
  <c r="Q659" i="1"/>
  <c r="S659" i="1" s="1"/>
  <c r="T659" i="1" s="1"/>
  <c r="Q614" i="1"/>
  <c r="S614" i="1" s="1"/>
  <c r="T614" i="1" s="1"/>
  <c r="Q581" i="1"/>
  <c r="S581" i="1" s="1"/>
  <c r="T581" i="1" s="1"/>
  <c r="Q576" i="1"/>
  <c r="S576" i="1" s="1"/>
  <c r="T576" i="1" s="1"/>
  <c r="Q521" i="1"/>
  <c r="Q460" i="1"/>
  <c r="Q384" i="1"/>
  <c r="Q408" i="1"/>
  <c r="S408" i="1" s="1"/>
  <c r="T408" i="1" s="1"/>
  <c r="Q332" i="1"/>
  <c r="S332" i="1" s="1"/>
  <c r="T332" i="1" s="1"/>
  <c r="Q327" i="1"/>
  <c r="S327" i="1" s="1"/>
  <c r="T327" i="1" s="1"/>
  <c r="Q301" i="1"/>
  <c r="S301" i="1" s="1"/>
  <c r="T301" i="1" s="1"/>
  <c r="Q214" i="1"/>
  <c r="S214" i="1" s="1"/>
  <c r="T214" i="1" s="1"/>
  <c r="Q268" i="1"/>
  <c r="S268" i="1" s="1"/>
  <c r="T268" i="1" s="1"/>
  <c r="Q181" i="1"/>
  <c r="S181" i="1" s="1"/>
  <c r="T181" i="1" s="1"/>
  <c r="Q176" i="1"/>
  <c r="S176" i="1" s="1"/>
  <c r="T176" i="1" s="1"/>
  <c r="Q150" i="1"/>
  <c r="S150" i="1" s="1"/>
  <c r="T150" i="1" s="1"/>
  <c r="Q69" i="1"/>
  <c r="S69" i="1" s="1"/>
  <c r="T69" i="1" s="1"/>
  <c r="Q64" i="1"/>
  <c r="S64" i="1" s="1"/>
  <c r="T64" i="1" s="1"/>
  <c r="Q118" i="1"/>
  <c r="S118" i="1" s="1"/>
  <c r="T118" i="1" s="1"/>
  <c r="Q35" i="1"/>
  <c r="S35" i="1" s="1"/>
  <c r="T35" i="1" s="1"/>
  <c r="Q20" i="1"/>
  <c r="S20" i="1" s="1"/>
  <c r="T20" i="1" s="1"/>
  <c r="S443" i="1"/>
  <c r="T443" i="1" s="1"/>
  <c r="S171" i="1"/>
  <c r="T171" i="1" s="1"/>
  <c r="S40" i="1"/>
  <c r="T40" i="1" s="1"/>
  <c r="S914" i="1"/>
  <c r="T914" i="1" s="1"/>
  <c r="Q931" i="1"/>
  <c r="S931" i="1" s="1"/>
  <c r="T931" i="1" s="1"/>
  <c r="Q875" i="1"/>
  <c r="S875" i="1" s="1"/>
  <c r="T875" i="1" s="1"/>
  <c r="Q850" i="1"/>
  <c r="S850" i="1" s="1"/>
  <c r="T850" i="1" s="1"/>
  <c r="Q731" i="1"/>
  <c r="S731" i="1" s="1"/>
  <c r="T731" i="1" s="1"/>
  <c r="Q828" i="1"/>
  <c r="S828" i="1" s="1"/>
  <c r="T828" i="1" s="1"/>
  <c r="Q809" i="1"/>
  <c r="S809" i="1" s="1"/>
  <c r="T809" i="1" s="1"/>
  <c r="Q722" i="1"/>
  <c r="Q712" i="1"/>
  <c r="S712" i="1" s="1"/>
  <c r="T712" i="1" s="1"/>
  <c r="Q687" i="1"/>
  <c r="Q669" i="1"/>
  <c r="S669" i="1" s="1"/>
  <c r="T669" i="1" s="1"/>
  <c r="Q568" i="1"/>
  <c r="S568" i="1" s="1"/>
  <c r="T568" i="1" s="1"/>
  <c r="Q552" i="1"/>
  <c r="S552" i="1" s="1"/>
  <c r="T552" i="1" s="1"/>
  <c r="Q531" i="1"/>
  <c r="S531" i="1" s="1"/>
  <c r="T531" i="1" s="1"/>
  <c r="Q394" i="1"/>
  <c r="S394" i="1" s="1"/>
  <c r="T394" i="1" s="1"/>
  <c r="Q378" i="1"/>
  <c r="S378" i="1" s="1"/>
  <c r="T378" i="1" s="1"/>
  <c r="Q428" i="1"/>
  <c r="S428" i="1" s="1"/>
  <c r="T428" i="1" s="1"/>
  <c r="Q357" i="1"/>
  <c r="S357" i="1" s="1"/>
  <c r="T357" i="1" s="1"/>
  <c r="Q224" i="1"/>
  <c r="S224" i="1" s="1"/>
  <c r="T224" i="1" s="1"/>
  <c r="Q201" i="1"/>
  <c r="S201" i="1" s="1"/>
  <c r="T201" i="1" s="1"/>
  <c r="Q190" i="1"/>
  <c r="S190" i="1" s="1"/>
  <c r="T190" i="1" s="1"/>
  <c r="Q1047" i="1"/>
  <c r="S1047" i="1" s="1"/>
  <c r="T1047" i="1" s="1"/>
  <c r="Q1042" i="1"/>
  <c r="S1042" i="1" s="1"/>
  <c r="T1042" i="1" s="1"/>
  <c r="Q1029" i="1"/>
  <c r="S1029" i="1" s="1"/>
  <c r="T1029" i="1" s="1"/>
  <c r="Q1001" i="1"/>
  <c r="S1001" i="1" s="1"/>
  <c r="T1001" i="1" s="1"/>
  <c r="Q991" i="1"/>
  <c r="Q975" i="1"/>
  <c r="S975" i="1" s="1"/>
  <c r="T975" i="1" s="1"/>
  <c r="Q936" i="1"/>
  <c r="S936" i="1" s="1"/>
  <c r="T936" i="1" s="1"/>
  <c r="Q865" i="1"/>
  <c r="S865" i="1" s="1"/>
  <c r="T865" i="1" s="1"/>
  <c r="Q796" i="1"/>
  <c r="S796" i="1" s="1"/>
  <c r="T796" i="1" s="1"/>
  <c r="Q678" i="1"/>
  <c r="S678" i="1" s="1"/>
  <c r="T678" i="1" s="1"/>
  <c r="Q562" i="1"/>
  <c r="S562" i="1" s="1"/>
  <c r="T562" i="1" s="1"/>
  <c r="Q600" i="1"/>
  <c r="S600" i="1" s="1"/>
  <c r="T600" i="1" s="1"/>
  <c r="Q499" i="1"/>
  <c r="S499" i="1" s="1"/>
  <c r="T499" i="1" s="1"/>
  <c r="Q398" i="1"/>
  <c r="S398" i="1" s="1"/>
  <c r="T398" i="1" s="1"/>
  <c r="Q417" i="1"/>
  <c r="S417" i="1" s="1"/>
  <c r="T417" i="1" s="1"/>
  <c r="Q351" i="1"/>
  <c r="S351" i="1" s="1"/>
  <c r="T351" i="1" s="1"/>
  <c r="Q207" i="1"/>
  <c r="S207" i="1" s="1"/>
  <c r="T207" i="1" s="1"/>
  <c r="Q185" i="1"/>
  <c r="S185" i="1" s="1"/>
  <c r="T185" i="1" s="1"/>
  <c r="Q133" i="1"/>
  <c r="S133" i="1" s="1"/>
  <c r="T133" i="1" s="1"/>
  <c r="Q39" i="1"/>
  <c r="S39" i="1" s="1"/>
  <c r="T39" i="1" s="1"/>
  <c r="Q1058" i="1"/>
  <c r="Q1051" i="1"/>
  <c r="S546" i="1"/>
  <c r="T546" i="1" s="1"/>
  <c r="S106" i="1"/>
  <c r="T106" i="1" s="1"/>
  <c r="Q985" i="1"/>
  <c r="S985" i="1" s="1"/>
  <c r="T985" i="1" s="1"/>
  <c r="Q902" i="1"/>
  <c r="Q965" i="1"/>
  <c r="S965" i="1" s="1"/>
  <c r="T965" i="1" s="1"/>
  <c r="Q879" i="1"/>
  <c r="S879" i="1" s="1"/>
  <c r="T879" i="1" s="1"/>
  <c r="Q859" i="1"/>
  <c r="S859" i="1" s="1"/>
  <c r="T859" i="1" s="1"/>
  <c r="Q832" i="1"/>
  <c r="S832" i="1" s="1"/>
  <c r="T832" i="1" s="1"/>
  <c r="Q716" i="1"/>
  <c r="S716" i="1" s="1"/>
  <c r="T716" i="1" s="1"/>
  <c r="Q742" i="1"/>
  <c r="S742" i="1" s="1"/>
  <c r="T742" i="1" s="1"/>
  <c r="Q612" i="1"/>
  <c r="S612" i="1" s="1"/>
  <c r="T612" i="1" s="1"/>
  <c r="Q556" i="1"/>
  <c r="S556" i="1" s="1"/>
  <c r="T556" i="1" s="1"/>
  <c r="Q574" i="1"/>
  <c r="S574" i="1" s="1"/>
  <c r="T574" i="1" s="1"/>
  <c r="Q458" i="1"/>
  <c r="Q382" i="1"/>
  <c r="S382" i="1" s="1"/>
  <c r="T382" i="1" s="1"/>
  <c r="Q432" i="1"/>
  <c r="Q361" i="1"/>
  <c r="S361" i="1" s="1"/>
  <c r="T361" i="1" s="1"/>
  <c r="Q320" i="1"/>
  <c r="S320" i="1" s="1"/>
  <c r="T320" i="1" s="1"/>
  <c r="Q299" i="1"/>
  <c r="S299" i="1" s="1"/>
  <c r="T299" i="1" s="1"/>
  <c r="Q228" i="1"/>
  <c r="S228" i="1" s="1"/>
  <c r="T228" i="1" s="1"/>
  <c r="Q266" i="1"/>
  <c r="S266" i="1" s="1"/>
  <c r="T266" i="1" s="1"/>
  <c r="Q245" i="1"/>
  <c r="Q174" i="1"/>
  <c r="S174" i="1" s="1"/>
  <c r="T174" i="1" s="1"/>
  <c r="Q111" i="1"/>
  <c r="S111" i="1" s="1"/>
  <c r="T111" i="1" s="1"/>
  <c r="Q1033" i="1"/>
  <c r="S1033" i="1" s="1"/>
  <c r="T1033" i="1" s="1"/>
  <c r="S1000" i="1"/>
  <c r="T1000" i="1" s="1"/>
  <c r="S995" i="1"/>
  <c r="T995" i="1" s="1"/>
  <c r="Q907" i="1"/>
  <c r="S907" i="1" s="1"/>
  <c r="T907" i="1" s="1"/>
  <c r="Q697" i="1"/>
  <c r="S697" i="1" s="1"/>
  <c r="T697" i="1" s="1"/>
  <c r="S217" i="1"/>
  <c r="T217" i="1" s="1"/>
  <c r="Q702" i="1"/>
  <c r="S702" i="1" s="1"/>
  <c r="T702" i="1" s="1"/>
  <c r="Q355" i="1"/>
  <c r="S355" i="1" s="1"/>
  <c r="T355" i="1" s="1"/>
  <c r="Q293" i="1"/>
  <c r="S293" i="1" s="1"/>
  <c r="T293" i="1" s="1"/>
  <c r="Q276" i="1"/>
  <c r="S276" i="1" s="1"/>
  <c r="T276" i="1" s="1"/>
  <c r="Q158" i="1"/>
  <c r="S158" i="1" s="1"/>
  <c r="T158" i="1" s="1"/>
  <c r="Q51" i="1"/>
  <c r="S51" i="1" s="1"/>
  <c r="T51" i="1" s="1"/>
  <c r="Q105" i="1"/>
  <c r="S105" i="1" s="1"/>
  <c r="T105" i="1" s="1"/>
  <c r="Q954" i="1"/>
  <c r="S954" i="1" s="1"/>
  <c r="T954" i="1" s="1"/>
  <c r="Q671" i="1"/>
  <c r="S671" i="1" s="1"/>
  <c r="T671" i="1" s="1"/>
  <c r="Q287" i="1"/>
  <c r="S287" i="1" s="1"/>
  <c r="T287" i="1" s="1"/>
  <c r="Q242" i="1"/>
  <c r="S242" i="1" s="1"/>
  <c r="T242" i="1" s="1"/>
  <c r="Q216" i="1"/>
  <c r="S216" i="1" s="1"/>
  <c r="T216" i="1" s="1"/>
  <c r="Q254" i="1"/>
  <c r="S254" i="1" s="1"/>
  <c r="T254" i="1" s="1"/>
  <c r="Q193" i="1"/>
  <c r="S193" i="1" s="1"/>
  <c r="T193" i="1" s="1"/>
  <c r="Q45" i="1"/>
  <c r="S45" i="1" s="1"/>
  <c r="T45" i="1" s="1"/>
  <c r="Q120" i="1"/>
  <c r="S120" i="1" s="1"/>
  <c r="T120" i="1" s="1"/>
  <c r="Q115" i="1"/>
  <c r="S115" i="1" s="1"/>
  <c r="T115" i="1" s="1"/>
  <c r="Q84" i="1"/>
  <c r="S84" i="1" s="1"/>
  <c r="T84" i="1" s="1"/>
  <c r="Q978" i="1"/>
  <c r="S978" i="1" s="1"/>
  <c r="T978" i="1" s="1"/>
  <c r="Q896" i="1"/>
  <c r="S896" i="1" s="1"/>
  <c r="T896" i="1" s="1"/>
  <c r="Q939" i="1"/>
  <c r="S939" i="1" s="1"/>
  <c r="T939" i="1" s="1"/>
  <c r="Q847" i="1"/>
  <c r="S847" i="1" s="1"/>
  <c r="T847" i="1" s="1"/>
  <c r="Q755" i="1"/>
  <c r="S755" i="1" s="1"/>
  <c r="T755" i="1" s="1"/>
  <c r="Q825" i="1"/>
  <c r="S825" i="1" s="1"/>
  <c r="T825" i="1" s="1"/>
  <c r="Q732" i="1"/>
  <c r="S732" i="1" s="1"/>
  <c r="T732" i="1" s="1"/>
  <c r="Q646" i="1"/>
  <c r="S646" i="1" s="1"/>
  <c r="T646" i="1" s="1"/>
  <c r="Q641" i="1"/>
  <c r="S641" i="1" s="1"/>
  <c r="T641" i="1" s="1"/>
  <c r="Q565" i="1"/>
  <c r="S565" i="1" s="1"/>
  <c r="T565" i="1" s="1"/>
  <c r="Q477" i="1"/>
  <c r="S477" i="1" s="1"/>
  <c r="T477" i="1" s="1"/>
  <c r="Q375" i="1"/>
  <c r="S375" i="1" s="1"/>
  <c r="T375" i="1" s="1"/>
  <c r="Q420" i="1"/>
  <c r="S420" i="1" s="1"/>
  <c r="T420" i="1" s="1"/>
  <c r="Q308" i="1"/>
  <c r="S308" i="1" s="1"/>
  <c r="T308" i="1" s="1"/>
  <c r="Q275" i="1"/>
  <c r="Q259" i="1"/>
  <c r="S259" i="1" s="1"/>
  <c r="T259" i="1" s="1"/>
  <c r="Q198" i="1"/>
  <c r="Q188" i="1"/>
  <c r="S188" i="1" s="1"/>
  <c r="T188" i="1" s="1"/>
  <c r="Q136" i="1"/>
  <c r="Q50" i="1"/>
  <c r="S50" i="1" s="1"/>
  <c r="T50" i="1" s="1"/>
  <c r="Q89" i="1"/>
  <c r="S89" i="1" s="1"/>
  <c r="T89" i="1" s="1"/>
  <c r="Q1026" i="1"/>
  <c r="S1026" i="1" s="1"/>
  <c r="T1026" i="1" s="1"/>
  <c r="Q1021" i="1"/>
  <c r="S1021" i="1" s="1"/>
  <c r="T1021" i="1" s="1"/>
  <c r="Q983" i="1"/>
  <c r="S983" i="1" s="1"/>
  <c r="T983" i="1" s="1"/>
  <c r="S811" i="1"/>
  <c r="T811" i="1" s="1"/>
  <c r="S782" i="1"/>
  <c r="T782" i="1" s="1"/>
  <c r="Q655" i="1"/>
  <c r="S655" i="1" s="1"/>
  <c r="T655" i="1" s="1"/>
  <c r="S430" i="1"/>
  <c r="T430" i="1" s="1"/>
  <c r="S280" i="1"/>
  <c r="T280" i="1" s="1"/>
  <c r="S109" i="1"/>
  <c r="T109" i="1" s="1"/>
  <c r="S1044" i="1"/>
  <c r="T1044" i="1" s="1"/>
  <c r="Q1036" i="1"/>
  <c r="S1036" i="1" s="1"/>
  <c r="T1036" i="1" s="1"/>
  <c r="Q989" i="1"/>
  <c r="S989" i="1" s="1"/>
  <c r="T989" i="1" s="1"/>
  <c r="Q988" i="1"/>
  <c r="S988" i="1" s="1"/>
  <c r="T988" i="1" s="1"/>
  <c r="Q905" i="1"/>
  <c r="S905" i="1" s="1"/>
  <c r="T905" i="1" s="1"/>
  <c r="Q891" i="1"/>
  <c r="S891" i="1" s="1"/>
  <c r="T891" i="1" s="1"/>
  <c r="Q968" i="1"/>
  <c r="S968" i="1" s="1"/>
  <c r="T968" i="1" s="1"/>
  <c r="Q928" i="1"/>
  <c r="S928" i="1" s="1"/>
  <c r="T928" i="1" s="1"/>
  <c r="Q862" i="1"/>
  <c r="S862" i="1" s="1"/>
  <c r="T862" i="1" s="1"/>
  <c r="Q841" i="1"/>
  <c r="S841" i="1" s="1"/>
  <c r="T841" i="1" s="1"/>
  <c r="Q801" i="1"/>
  <c r="S801" i="1" s="1"/>
  <c r="T801" i="1" s="1"/>
  <c r="Q793" i="1"/>
  <c r="S793" i="1" s="1"/>
  <c r="T793" i="1" s="1"/>
  <c r="Q660" i="1"/>
  <c r="S660" i="1" s="1"/>
  <c r="T660" i="1" s="1"/>
  <c r="Q538" i="1"/>
  <c r="S538" i="1" s="1"/>
  <c r="T538" i="1" s="1"/>
  <c r="Q582" i="1"/>
  <c r="S582" i="1" s="1"/>
  <c r="T582" i="1" s="1"/>
  <c r="Q461" i="1"/>
  <c r="S461" i="1" s="1"/>
  <c r="T461" i="1" s="1"/>
  <c r="Q385" i="1"/>
  <c r="S385" i="1" s="1"/>
  <c r="T385" i="1" s="1"/>
  <c r="Q151" i="1"/>
  <c r="S151" i="1" s="1"/>
  <c r="T151" i="1" s="1"/>
  <c r="Q70" i="1"/>
  <c r="S70" i="1" s="1"/>
  <c r="T70" i="1" s="1"/>
  <c r="Q65" i="1"/>
  <c r="S65" i="1" s="1"/>
  <c r="T65" i="1" s="1"/>
  <c r="Q962" i="1"/>
  <c r="S962" i="1" s="1"/>
  <c r="T962" i="1" s="1"/>
  <c r="Q856" i="1"/>
  <c r="S856" i="1" s="1"/>
  <c r="T856" i="1" s="1"/>
  <c r="Q781" i="1"/>
  <c r="S781" i="1" s="1"/>
  <c r="T781" i="1" s="1"/>
  <c r="Q439" i="1"/>
  <c r="S439" i="1" s="1"/>
  <c r="T439" i="1" s="1"/>
  <c r="Q317" i="1"/>
  <c r="S317" i="1" s="1"/>
  <c r="T317" i="1" s="1"/>
  <c r="Q705" i="1"/>
  <c r="S705" i="1" s="1"/>
  <c r="T705" i="1" s="1"/>
  <c r="Q662" i="1"/>
  <c r="S662" i="1" s="1"/>
  <c r="T662" i="1" s="1"/>
  <c r="Q524" i="1"/>
  <c r="Q479" i="1"/>
  <c r="S479" i="1" s="1"/>
  <c r="T479" i="1" s="1"/>
  <c r="Q422" i="1"/>
  <c r="S422" i="1" s="1"/>
  <c r="T422" i="1" s="1"/>
  <c r="Q791" i="1"/>
  <c r="S791" i="1" s="1"/>
  <c r="T791" i="1" s="1"/>
  <c r="Q774" i="1"/>
  <c r="Q751" i="1"/>
  <c r="S751" i="1" s="1"/>
  <c r="T751" i="1" s="1"/>
  <c r="Q667" i="1"/>
  <c r="S667" i="1" s="1"/>
  <c r="T667" i="1" s="1"/>
  <c r="Q651" i="1"/>
  <c r="S651" i="1" s="1"/>
  <c r="T651" i="1" s="1"/>
  <c r="Q638" i="1"/>
  <c r="S638" i="1" s="1"/>
  <c r="T638" i="1" s="1"/>
  <c r="Q548" i="1"/>
  <c r="S548" i="1" s="1"/>
  <c r="T548" i="1" s="1"/>
  <c r="Q594" i="1"/>
  <c r="Q578" i="1"/>
  <c r="S578" i="1" s="1"/>
  <c r="T578" i="1" s="1"/>
  <c r="Q509" i="1"/>
  <c r="S509" i="1" s="1"/>
  <c r="T509" i="1" s="1"/>
  <c r="Q504" i="1"/>
  <c r="S504" i="1" s="1"/>
  <c r="T504" i="1" s="1"/>
  <c r="Q494" i="1"/>
  <c r="S494" i="1" s="1"/>
  <c r="T494" i="1" s="1"/>
  <c r="Q464" i="1"/>
  <c r="S464" i="1" s="1"/>
  <c r="T464" i="1" s="1"/>
  <c r="Q400" i="1"/>
  <c r="S400" i="1" s="1"/>
  <c r="T400" i="1" s="1"/>
  <c r="Q395" i="1"/>
  <c r="S395" i="1" s="1"/>
  <c r="T395" i="1" s="1"/>
  <c r="Q335" i="1"/>
  <c r="S335" i="1" s="1"/>
  <c r="T335" i="1" s="1"/>
  <c r="Q316" i="1"/>
  <c r="S316" i="1" s="1"/>
  <c r="T316" i="1" s="1"/>
  <c r="Q215" i="1"/>
  <c r="Q270" i="1"/>
  <c r="S270" i="1" s="1"/>
  <c r="T270" i="1" s="1"/>
  <c r="Q167" i="1"/>
  <c r="S167" i="1" s="1"/>
  <c r="T167" i="1" s="1"/>
  <c r="Q162" i="1"/>
  <c r="S162" i="1" s="1"/>
  <c r="T162" i="1" s="1"/>
  <c r="Q157" i="1"/>
  <c r="S157" i="1" s="1"/>
  <c r="T157" i="1" s="1"/>
  <c r="Q142" i="1"/>
  <c r="S142" i="1" s="1"/>
  <c r="T142" i="1" s="1"/>
  <c r="Q68" i="1"/>
  <c r="S68" i="1" s="1"/>
  <c r="T68" i="1" s="1"/>
  <c r="Q117" i="1"/>
  <c r="S117" i="1" s="1"/>
  <c r="T117" i="1" s="1"/>
  <c r="Q83" i="1"/>
  <c r="S83" i="1" s="1"/>
  <c r="T83" i="1" s="1"/>
  <c r="Q31" i="1"/>
  <c r="S31" i="1" s="1"/>
  <c r="T31" i="1" s="1"/>
  <c r="Q727" i="1"/>
  <c r="S727" i="1" s="1"/>
  <c r="T727" i="1" s="1"/>
  <c r="Q672" i="1"/>
  <c r="S672" i="1" s="1"/>
  <c r="T672" i="1" s="1"/>
  <c r="Q474" i="1"/>
  <c r="Q281" i="1"/>
  <c r="S281" i="1" s="1"/>
  <c r="T281" i="1" s="1"/>
  <c r="Q152" i="1"/>
  <c r="S152" i="1" s="1"/>
  <c r="T152" i="1" s="1"/>
  <c r="Q73" i="1"/>
  <c r="S73" i="1" s="1"/>
  <c r="T73" i="1" s="1"/>
  <c r="Q48" i="1"/>
  <c r="S48" i="1" s="1"/>
  <c r="T48" i="1" s="1"/>
  <c r="Q1050" i="1"/>
  <c r="S1050" i="1" s="1"/>
  <c r="T1050" i="1" s="1"/>
  <c r="Q603" i="1"/>
  <c r="S603" i="1" s="1"/>
  <c r="T603" i="1" s="1"/>
  <c r="Q205" i="1"/>
  <c r="S205" i="1" s="1"/>
  <c r="T205" i="1" s="1"/>
  <c r="S245" i="1"/>
  <c r="T245" i="1" s="1"/>
  <c r="S186" i="1"/>
  <c r="T186" i="1" s="1"/>
  <c r="Q489" i="1"/>
  <c r="S489" i="1" s="1"/>
  <c r="T489" i="1" s="1"/>
  <c r="Q450" i="1"/>
  <c r="S450" i="1" s="1"/>
  <c r="T450" i="1" s="1"/>
  <c r="Q311" i="1"/>
  <c r="S311" i="1" s="1"/>
  <c r="T311" i="1" s="1"/>
  <c r="Q206" i="1"/>
  <c r="S206" i="1" s="1"/>
  <c r="T206" i="1" s="1"/>
  <c r="Q191" i="1"/>
  <c r="S191" i="1" s="1"/>
  <c r="T191" i="1" s="1"/>
  <c r="Q78" i="1"/>
  <c r="S78" i="1" s="1"/>
  <c r="T78" i="1" s="1"/>
  <c r="Q53" i="1"/>
  <c r="S53" i="1" s="1"/>
  <c r="T53" i="1" s="1"/>
  <c r="Q43" i="1"/>
  <c r="S43" i="1" s="1"/>
  <c r="T43" i="1" s="1"/>
  <c r="Q911" i="1"/>
  <c r="S911" i="1" s="1"/>
  <c r="T911" i="1" s="1"/>
  <c r="Q763" i="1"/>
  <c r="S763" i="1" s="1"/>
  <c r="T763" i="1" s="1"/>
  <c r="Q745" i="1"/>
  <c r="S745" i="1" s="1"/>
  <c r="T745" i="1" s="1"/>
  <c r="Q676" i="1"/>
  <c r="S676" i="1" s="1"/>
  <c r="T676" i="1" s="1"/>
  <c r="Q661" i="1"/>
  <c r="S661" i="1" s="1"/>
  <c r="T661" i="1" s="1"/>
  <c r="Q642" i="1"/>
  <c r="S642" i="1" s="1"/>
  <c r="T642" i="1" s="1"/>
  <c r="Q588" i="1"/>
  <c r="S588" i="1" s="1"/>
  <c r="T588" i="1" s="1"/>
  <c r="Q473" i="1"/>
  <c r="S473" i="1" s="1"/>
  <c r="T473" i="1" s="1"/>
  <c r="Q468" i="1"/>
  <c r="S468" i="1" s="1"/>
  <c r="T468" i="1" s="1"/>
  <c r="Q445" i="1"/>
  <c r="S445" i="1" s="1"/>
  <c r="T445" i="1" s="1"/>
  <c r="Q421" i="1"/>
  <c r="S421" i="1" s="1"/>
  <c r="T421" i="1" s="1"/>
  <c r="Q310" i="1"/>
  <c r="S310" i="1" s="1"/>
  <c r="T310" i="1" s="1"/>
  <c r="Q250" i="1"/>
  <c r="S250" i="1" s="1"/>
  <c r="T250" i="1" s="1"/>
  <c r="Q77" i="1"/>
  <c r="S77" i="1" s="1"/>
  <c r="T77" i="1" s="1"/>
  <c r="Q57" i="1"/>
  <c r="S57" i="1" s="1"/>
  <c r="T57" i="1" s="1"/>
  <c r="Q52" i="1"/>
  <c r="S52" i="1" s="1"/>
  <c r="T52" i="1" s="1"/>
  <c r="Q107" i="1"/>
  <c r="S107" i="1" s="1"/>
  <c r="T107" i="1" s="1"/>
  <c r="Q102" i="1"/>
  <c r="Q36" i="1"/>
  <c r="S36" i="1" s="1"/>
  <c r="T36" i="1" s="1"/>
  <c r="Q469" i="1"/>
  <c r="S469" i="1" s="1"/>
  <c r="T469" i="1" s="1"/>
  <c r="Q1017" i="1"/>
  <c r="S1017" i="1" s="1"/>
  <c r="T1017" i="1" s="1"/>
  <c r="Q926" i="1"/>
  <c r="S926" i="1" s="1"/>
  <c r="T926" i="1" s="1"/>
  <c r="Q887" i="1"/>
  <c r="S887" i="1" s="1"/>
  <c r="T887" i="1" s="1"/>
  <c r="Q960" i="1"/>
  <c r="S960" i="1" s="1"/>
  <c r="T960" i="1" s="1"/>
  <c r="Q955" i="1"/>
  <c r="S955" i="1" s="1"/>
  <c r="T955" i="1" s="1"/>
  <c r="Q683" i="1"/>
  <c r="S683" i="1" s="1"/>
  <c r="T683" i="1" s="1"/>
  <c r="Q790" i="1"/>
  <c r="S790" i="1" s="1"/>
  <c r="T790" i="1" s="1"/>
  <c r="Q739" i="1"/>
  <c r="Q768" i="1"/>
  <c r="S768" i="1" s="1"/>
  <c r="T768" i="1" s="1"/>
  <c r="Q750" i="1"/>
  <c r="S750" i="1" s="1"/>
  <c r="T750" i="1" s="1"/>
  <c r="Q694" i="1"/>
  <c r="Q623" i="1"/>
  <c r="S623" i="1" s="1"/>
  <c r="T623" i="1" s="1"/>
  <c r="Q557" i="1"/>
  <c r="S557" i="1" s="1"/>
  <c r="T557" i="1" s="1"/>
  <c r="Q593" i="1"/>
  <c r="S593" i="1" s="1"/>
  <c r="T593" i="1" s="1"/>
  <c r="Q513" i="1"/>
  <c r="S513" i="1" s="1"/>
  <c r="T513" i="1" s="1"/>
  <c r="Q508" i="1"/>
  <c r="S508" i="1" s="1"/>
  <c r="T508" i="1" s="1"/>
  <c r="Q503" i="1"/>
  <c r="S503" i="1" s="1"/>
  <c r="T503" i="1" s="1"/>
  <c r="Q493" i="1"/>
  <c r="S493" i="1" s="1"/>
  <c r="T493" i="1" s="1"/>
  <c r="Q463" i="1"/>
  <c r="S463" i="1" s="1"/>
  <c r="T463" i="1" s="1"/>
  <c r="Q315" i="1"/>
  <c r="S315" i="1" s="1"/>
  <c r="T315" i="1" s="1"/>
  <c r="Q161" i="1"/>
  <c r="S161" i="1" s="1"/>
  <c r="T161" i="1" s="1"/>
  <c r="Q146" i="1"/>
  <c r="S146" i="1" s="1"/>
  <c r="T146" i="1" s="1"/>
  <c r="Q62" i="1"/>
  <c r="Q746" i="1"/>
  <c r="S746" i="1" s="1"/>
  <c r="T746" i="1" s="1"/>
  <c r="Q977" i="1"/>
  <c r="S977" i="1" s="1"/>
  <c r="T977" i="1" s="1"/>
  <c r="Q900" i="1"/>
  <c r="S900" i="1" s="1"/>
  <c r="T900" i="1" s="1"/>
  <c r="Q725" i="1"/>
  <c r="S725" i="1" s="1"/>
  <c r="T725" i="1" s="1"/>
  <c r="Q762" i="1"/>
  <c r="S762" i="1" s="1"/>
  <c r="T762" i="1" s="1"/>
  <c r="S680" i="1"/>
  <c r="T680" i="1" s="1"/>
  <c r="Q527" i="1"/>
  <c r="S527" i="1" s="1"/>
  <c r="T527" i="1" s="1"/>
  <c r="Q472" i="1"/>
  <c r="S472" i="1" s="1"/>
  <c r="T472" i="1" s="1"/>
  <c r="Q467" i="1"/>
  <c r="S467" i="1" s="1"/>
  <c r="T467" i="1" s="1"/>
  <c r="Q343" i="1"/>
  <c r="S343" i="1" s="1"/>
  <c r="T343" i="1" s="1"/>
  <c r="Q131" i="1"/>
  <c r="S131" i="1" s="1"/>
  <c r="T131" i="1" s="1"/>
  <c r="Q101" i="1"/>
  <c r="S101" i="1" s="1"/>
  <c r="T101" i="1" s="1"/>
  <c r="Q589" i="1"/>
  <c r="S589" i="1" s="1"/>
  <c r="T589" i="1" s="1"/>
  <c r="Q959" i="1"/>
  <c r="S959" i="1" s="1"/>
  <c r="T959" i="1" s="1"/>
  <c r="Q777" i="1"/>
  <c r="S777" i="1" s="1"/>
  <c r="T777" i="1" s="1"/>
  <c r="Q789" i="1"/>
  <c r="S789" i="1" s="1"/>
  <c r="T789" i="1" s="1"/>
  <c r="Q772" i="1"/>
  <c r="S772" i="1" s="1"/>
  <c r="T772" i="1" s="1"/>
  <c r="Q767" i="1"/>
  <c r="S767" i="1" s="1"/>
  <c r="T767" i="1" s="1"/>
  <c r="Q749" i="1"/>
  <c r="S749" i="1" s="1"/>
  <c r="T749" i="1" s="1"/>
  <c r="Q665" i="1"/>
  <c r="S665" i="1" s="1"/>
  <c r="T665" i="1" s="1"/>
  <c r="Q622" i="1"/>
  <c r="S622" i="1" s="1"/>
  <c r="T622" i="1" s="1"/>
  <c r="Q602" i="1"/>
  <c r="S602" i="1" s="1"/>
  <c r="T602" i="1" s="1"/>
  <c r="Q592" i="1"/>
  <c r="Q512" i="1"/>
  <c r="S512" i="1" s="1"/>
  <c r="T512" i="1" s="1"/>
  <c r="Q492" i="1"/>
  <c r="S492" i="1" s="1"/>
  <c r="T492" i="1" s="1"/>
  <c r="Q462" i="1"/>
  <c r="S462" i="1" s="1"/>
  <c r="T462" i="1" s="1"/>
  <c r="Q403" i="1"/>
  <c r="S403" i="1" s="1"/>
  <c r="T403" i="1" s="1"/>
  <c r="Q388" i="1"/>
  <c r="S388" i="1" s="1"/>
  <c r="T388" i="1" s="1"/>
  <c r="Q425" i="1"/>
  <c r="S425" i="1" s="1"/>
  <c r="T425" i="1" s="1"/>
  <c r="Q415" i="1"/>
  <c r="S415" i="1" s="1"/>
  <c r="T415" i="1" s="1"/>
  <c r="Q338" i="1"/>
  <c r="S338" i="1" s="1"/>
  <c r="T338" i="1" s="1"/>
  <c r="Q234" i="1"/>
  <c r="S234" i="1" s="1"/>
  <c r="T234" i="1" s="1"/>
  <c r="Q284" i="1"/>
  <c r="S284" i="1" s="1"/>
  <c r="T284" i="1" s="1"/>
  <c r="Q165" i="1"/>
  <c r="S165" i="1" s="1"/>
  <c r="T165" i="1" s="1"/>
  <c r="Q155" i="1"/>
  <c r="S155" i="1" s="1"/>
  <c r="T155" i="1" s="1"/>
  <c r="Q61" i="1"/>
  <c r="S61" i="1" s="1"/>
  <c r="T61" i="1" s="1"/>
  <c r="S1057" i="1"/>
  <c r="T1057" i="1" s="1"/>
  <c r="Q1053" i="1"/>
  <c r="S1053" i="1" s="1"/>
  <c r="T1053" i="1" s="1"/>
  <c r="S893" i="1"/>
  <c r="T893" i="1" s="1"/>
  <c r="Q604" i="1"/>
  <c r="S604" i="1" s="1"/>
  <c r="T604" i="1" s="1"/>
  <c r="Q123" i="1"/>
  <c r="S123" i="1" s="1"/>
  <c r="T123" i="1" s="1"/>
  <c r="Q1010" i="1"/>
  <c r="S1010" i="1" s="1"/>
  <c r="T1010" i="1" s="1"/>
  <c r="Q895" i="1"/>
  <c r="S895" i="1" s="1"/>
  <c r="T895" i="1" s="1"/>
  <c r="Q799" i="1"/>
  <c r="S799" i="1" s="1"/>
  <c r="T799" i="1" s="1"/>
  <c r="Q720" i="1"/>
  <c r="S720" i="1" s="1"/>
  <c r="T720" i="1" s="1"/>
  <c r="Q674" i="1"/>
  <c r="S674" i="1" s="1"/>
  <c r="T674" i="1" s="1"/>
  <c r="S566" i="1"/>
  <c r="T566" i="1" s="1"/>
  <c r="Q497" i="1"/>
  <c r="S497" i="1" s="1"/>
  <c r="T497" i="1" s="1"/>
  <c r="Q393" i="1"/>
  <c r="Q333" i="1"/>
  <c r="S333" i="1" s="1"/>
  <c r="T333" i="1" s="1"/>
  <c r="S288" i="1"/>
  <c r="T288" i="1" s="1"/>
  <c r="Q273" i="1"/>
  <c r="S273" i="1" s="1"/>
  <c r="T273" i="1" s="1"/>
  <c r="Q179" i="1"/>
  <c r="S179" i="1" s="1"/>
  <c r="T179" i="1" s="1"/>
  <c r="Q170" i="1"/>
  <c r="S170" i="1" s="1"/>
  <c r="T170" i="1" s="1"/>
  <c r="Q140" i="1"/>
  <c r="S140" i="1" s="1"/>
  <c r="T140" i="1" s="1"/>
  <c r="Q110" i="1"/>
  <c r="S110" i="1" s="1"/>
  <c r="T110" i="1" s="1"/>
  <c r="Q24" i="1"/>
  <c r="S24" i="1" s="1"/>
  <c r="T24" i="1" s="1"/>
  <c r="Q12" i="1"/>
  <c r="S12" i="1" s="1"/>
  <c r="T12" i="1" s="1"/>
  <c r="Q2" i="1"/>
  <c r="S2" i="1" s="1"/>
  <c r="T2" i="1" s="1"/>
  <c r="Q1030" i="1"/>
  <c r="S1030" i="1" s="1"/>
  <c r="T1030" i="1" s="1"/>
  <c r="Q539" i="1"/>
  <c r="S539" i="1" s="1"/>
  <c r="T539" i="1" s="1"/>
  <c r="Q735" i="1"/>
  <c r="S735" i="1" s="1"/>
  <c r="T735" i="1" s="1"/>
  <c r="Q690" i="1"/>
  <c r="S690" i="1" s="1"/>
  <c r="T690" i="1" s="1"/>
  <c r="Q629" i="1"/>
  <c r="S629" i="1" s="1"/>
  <c r="T629" i="1" s="1"/>
  <c r="Q919" i="1"/>
  <c r="S919" i="1" s="1"/>
  <c r="T919" i="1" s="1"/>
  <c r="Q899" i="1"/>
  <c r="S899" i="1" s="1"/>
  <c r="T899" i="1" s="1"/>
  <c r="Q958" i="1"/>
  <c r="S958" i="1" s="1"/>
  <c r="T958" i="1" s="1"/>
  <c r="Q873" i="1"/>
  <c r="S873" i="1" s="1"/>
  <c r="T873" i="1" s="1"/>
  <c r="Q776" i="1"/>
  <c r="S776" i="1" s="1"/>
  <c r="T776" i="1" s="1"/>
  <c r="Q829" i="1"/>
  <c r="S829" i="1" s="1"/>
  <c r="T829" i="1" s="1"/>
  <c r="Q816" i="1"/>
  <c r="S816" i="1" s="1"/>
  <c r="T816" i="1" s="1"/>
  <c r="Q771" i="1"/>
  <c r="S771" i="1" s="1"/>
  <c r="T771" i="1" s="1"/>
  <c r="Q766" i="1"/>
  <c r="S766" i="1" s="1"/>
  <c r="T766" i="1" s="1"/>
  <c r="Q761" i="1"/>
  <c r="S761" i="1" s="1"/>
  <c r="T761" i="1" s="1"/>
  <c r="Q748" i="1"/>
  <c r="S748" i="1" s="1"/>
  <c r="T748" i="1" s="1"/>
  <c r="Q601" i="1"/>
  <c r="S601" i="1" s="1"/>
  <c r="T601" i="1" s="1"/>
  <c r="Q526" i="1"/>
  <c r="Q511" i="1"/>
  <c r="S511" i="1" s="1"/>
  <c r="T511" i="1" s="1"/>
  <c r="Q481" i="1"/>
  <c r="S481" i="1" s="1"/>
  <c r="T481" i="1" s="1"/>
  <c r="Q471" i="1"/>
  <c r="S471" i="1" s="1"/>
  <c r="T471" i="1" s="1"/>
  <c r="Q424" i="1"/>
  <c r="S424" i="1" s="1"/>
  <c r="T424" i="1" s="1"/>
  <c r="Q342" i="1"/>
  <c r="S342" i="1" s="1"/>
  <c r="T342" i="1" s="1"/>
  <c r="Q313" i="1"/>
  <c r="S313" i="1" s="1"/>
  <c r="T313" i="1" s="1"/>
  <c r="Q238" i="1"/>
  <c r="S238" i="1" s="1"/>
  <c r="T238" i="1" s="1"/>
  <c r="Q233" i="1"/>
  <c r="S233" i="1" s="1"/>
  <c r="T233" i="1" s="1"/>
  <c r="Q125" i="1"/>
  <c r="S125" i="1" s="1"/>
  <c r="T125" i="1" s="1"/>
  <c r="Q80" i="1"/>
  <c r="S80" i="1" s="1"/>
  <c r="T80" i="1" s="1"/>
  <c r="Q60" i="1"/>
  <c r="S60" i="1" s="1"/>
  <c r="T60" i="1" s="1"/>
  <c r="Q100" i="1"/>
  <c r="S100" i="1" s="1"/>
  <c r="T100" i="1" s="1"/>
  <c r="Q95" i="1"/>
  <c r="S95" i="1" s="1"/>
  <c r="T95" i="1" s="1"/>
  <c r="P611" i="1"/>
  <c r="Q611" i="1" s="1"/>
  <c r="S611" i="1" s="1"/>
  <c r="T611" i="1" s="1"/>
  <c r="Q442" i="1"/>
  <c r="S442" i="1" s="1"/>
  <c r="T442" i="1" s="1"/>
  <c r="Q980" i="1"/>
  <c r="S980" i="1" s="1"/>
  <c r="T980" i="1" s="1"/>
  <c r="Q908" i="1"/>
  <c r="S908" i="1" s="1"/>
  <c r="T908" i="1" s="1"/>
  <c r="S898" i="1"/>
  <c r="T898" i="1" s="1"/>
  <c r="Q938" i="1"/>
  <c r="S938" i="1" s="1"/>
  <c r="T938" i="1" s="1"/>
  <c r="Q877" i="1"/>
  <c r="S877" i="1" s="1"/>
  <c r="T877" i="1" s="1"/>
  <c r="Q863" i="1"/>
  <c r="S863" i="1" s="1"/>
  <c r="T863" i="1" s="1"/>
  <c r="Q848" i="1"/>
  <c r="S848" i="1" s="1"/>
  <c r="T848" i="1" s="1"/>
  <c r="Q822" i="1"/>
  <c r="S822" i="1" s="1"/>
  <c r="T822" i="1" s="1"/>
  <c r="Q723" i="1"/>
  <c r="S723" i="1" s="1"/>
  <c r="T723" i="1" s="1"/>
  <c r="Q714" i="1"/>
  <c r="Q701" i="1"/>
  <c r="S701" i="1" s="1"/>
  <c r="T701" i="1" s="1"/>
  <c r="Q658" i="1"/>
  <c r="S658" i="1" s="1"/>
  <c r="T658" i="1" s="1"/>
  <c r="Q555" i="1"/>
  <c r="S555" i="1" s="1"/>
  <c r="T555" i="1" s="1"/>
  <c r="Q545" i="1"/>
  <c r="S545" i="1" s="1"/>
  <c r="T545" i="1" s="1"/>
  <c r="Q610" i="1"/>
  <c r="S610" i="1" s="1"/>
  <c r="T610" i="1" s="1"/>
  <c r="S505" i="1"/>
  <c r="T505" i="1" s="1"/>
  <c r="Q227" i="1"/>
  <c r="S227" i="1" s="1"/>
  <c r="T227" i="1" s="1"/>
  <c r="Q277" i="1"/>
  <c r="S277" i="1" s="1"/>
  <c r="T277" i="1" s="1"/>
  <c r="Q262" i="1"/>
  <c r="S262" i="1" s="1"/>
  <c r="T262" i="1" s="1"/>
  <c r="Q257" i="1"/>
  <c r="S257" i="1" s="1"/>
  <c r="T257" i="1" s="1"/>
  <c r="Q202" i="1"/>
  <c r="Q197" i="1"/>
  <c r="S197" i="1" s="1"/>
  <c r="T197" i="1" s="1"/>
  <c r="Q114" i="1"/>
  <c r="S114" i="1" s="1"/>
  <c r="T114" i="1" s="1"/>
  <c r="Q33" i="1"/>
  <c r="S33" i="1" s="1"/>
  <c r="T33" i="1" s="1"/>
  <c r="S23" i="1"/>
  <c r="T23" i="1" s="1"/>
  <c r="Q1056" i="1"/>
  <c r="S1056" i="1" s="1"/>
  <c r="T1056" i="1" s="1"/>
  <c r="Q1034" i="1"/>
  <c r="S1034" i="1" s="1"/>
  <c r="T1034" i="1" s="1"/>
  <c r="Q912" i="1"/>
  <c r="S912" i="1" s="1"/>
  <c r="T912" i="1" s="1"/>
  <c r="Q759" i="1"/>
  <c r="S759" i="1" s="1"/>
  <c r="T759" i="1" s="1"/>
  <c r="Q1014" i="1"/>
  <c r="S1014" i="1" s="1"/>
  <c r="T1014" i="1" s="1"/>
  <c r="Q691" i="1"/>
  <c r="S691" i="1" s="1"/>
  <c r="T691" i="1" s="1"/>
  <c r="Q663" i="1"/>
  <c r="S663" i="1" s="1"/>
  <c r="T663" i="1" s="1"/>
  <c r="Q630" i="1"/>
  <c r="S630" i="1" s="1"/>
  <c r="T630" i="1" s="1"/>
  <c r="Q540" i="1"/>
  <c r="S540" i="1" s="1"/>
  <c r="T540" i="1" s="1"/>
  <c r="Q530" i="1"/>
  <c r="S530" i="1" s="1"/>
  <c r="T530" i="1" s="1"/>
  <c r="Q490" i="1"/>
  <c r="S490" i="1" s="1"/>
  <c r="T490" i="1" s="1"/>
  <c r="Q485" i="1"/>
  <c r="S485" i="1" s="1"/>
  <c r="T485" i="1" s="1"/>
  <c r="Q480" i="1"/>
  <c r="S480" i="1" s="1"/>
  <c r="T480" i="1" s="1"/>
  <c r="Q423" i="1"/>
  <c r="S423" i="1" s="1"/>
  <c r="T423" i="1" s="1"/>
  <c r="Q312" i="1"/>
  <c r="S312" i="1" s="1"/>
  <c r="T312" i="1" s="1"/>
  <c r="Q237" i="1"/>
  <c r="S237" i="1" s="1"/>
  <c r="T237" i="1" s="1"/>
  <c r="Q282" i="1"/>
  <c r="S282" i="1" s="1"/>
  <c r="T282" i="1" s="1"/>
  <c r="Q192" i="1"/>
  <c r="S192" i="1" s="1"/>
  <c r="T192" i="1" s="1"/>
  <c r="Q178" i="1"/>
  <c r="S178" i="1" s="1"/>
  <c r="T178" i="1" s="1"/>
  <c r="Q153" i="1"/>
  <c r="S153" i="1" s="1"/>
  <c r="T153" i="1" s="1"/>
  <c r="Q124" i="1"/>
  <c r="S124" i="1" s="1"/>
  <c r="T124" i="1" s="1"/>
  <c r="Q79" i="1"/>
  <c r="S79" i="1" s="1"/>
  <c r="T79" i="1" s="1"/>
  <c r="Q59" i="1"/>
  <c r="S59" i="1" s="1"/>
  <c r="T59" i="1" s="1"/>
  <c r="Q49" i="1"/>
  <c r="S49" i="1" s="1"/>
  <c r="T49" i="1" s="1"/>
  <c r="Q104" i="1"/>
  <c r="S104" i="1" s="1"/>
  <c r="T104" i="1" s="1"/>
  <c r="Q99" i="1"/>
  <c r="S99" i="1" s="1"/>
  <c r="T99" i="1" s="1"/>
  <c r="Q94" i="1"/>
  <c r="S94" i="1" s="1"/>
  <c r="T94" i="1" s="1"/>
  <c r="Q38" i="1"/>
  <c r="S38" i="1" s="1"/>
  <c r="T38" i="1" s="1"/>
  <c r="S1051" i="1"/>
  <c r="T1051" i="1" s="1"/>
  <c r="Q946" i="1"/>
  <c r="S946" i="1" s="1"/>
  <c r="T946" i="1" s="1"/>
  <c r="Q1019" i="1"/>
  <c r="S1019" i="1" s="1"/>
  <c r="T1019" i="1" s="1"/>
  <c r="Q957" i="1"/>
  <c r="S957" i="1" s="1"/>
  <c r="T957" i="1" s="1"/>
  <c r="Q942" i="1"/>
  <c r="S942" i="1" s="1"/>
  <c r="T942" i="1" s="1"/>
  <c r="Q974" i="1"/>
  <c r="S974" i="1" s="1"/>
  <c r="T974" i="1" s="1"/>
  <c r="Q889" i="1"/>
  <c r="S889" i="1" s="1"/>
  <c r="T889" i="1" s="1"/>
  <c r="Q952" i="1"/>
  <c r="S952" i="1" s="1"/>
  <c r="T952" i="1" s="1"/>
  <c r="Q820" i="1"/>
  <c r="S820" i="1" s="1"/>
  <c r="T820" i="1" s="1"/>
  <c r="Q792" i="1"/>
  <c r="S792" i="1" s="1"/>
  <c r="T792" i="1" s="1"/>
  <c r="Q752" i="1"/>
  <c r="S752" i="1" s="1"/>
  <c r="T752" i="1" s="1"/>
  <c r="Q668" i="1"/>
  <c r="S668" i="1" s="1"/>
  <c r="T668" i="1" s="1"/>
  <c r="Q625" i="1"/>
  <c r="S625" i="1" s="1"/>
  <c r="T625" i="1" s="1"/>
  <c r="Q515" i="1"/>
  <c r="S515" i="1" s="1"/>
  <c r="T515" i="1" s="1"/>
  <c r="Q465" i="1"/>
  <c r="S465" i="1" s="1"/>
  <c r="T465" i="1" s="1"/>
  <c r="Q396" i="1"/>
  <c r="S396" i="1" s="1"/>
  <c r="T396" i="1" s="1"/>
  <c r="Q391" i="1"/>
  <c r="S391" i="1" s="1"/>
  <c r="T391" i="1" s="1"/>
  <c r="Q336" i="1"/>
  <c r="S336" i="1" s="1"/>
  <c r="T336" i="1" s="1"/>
  <c r="Q326" i="1"/>
  <c r="S326" i="1" s="1"/>
  <c r="T326" i="1" s="1"/>
  <c r="Q286" i="1"/>
  <c r="S286" i="1" s="1"/>
  <c r="T286" i="1" s="1"/>
  <c r="Q851" i="1"/>
  <c r="S851" i="1" s="1"/>
  <c r="T851" i="1" s="1"/>
  <c r="Q852" i="1"/>
  <c r="Q597" i="1"/>
  <c r="S597" i="1" s="1"/>
  <c r="T597" i="1" s="1"/>
  <c r="Q211" i="1"/>
  <c r="S211" i="1" s="1"/>
  <c r="T211" i="1" s="1"/>
  <c r="Q452" i="1"/>
  <c r="S452" i="1" s="1"/>
  <c r="T452" i="1" s="1"/>
  <c r="Q639" i="1"/>
  <c r="S639" i="1" s="1"/>
  <c r="T639" i="1" s="1"/>
  <c r="Q609" i="1"/>
  <c r="S609" i="1" s="1"/>
  <c r="T609" i="1" s="1"/>
  <c r="Q303" i="1"/>
  <c r="Q948" i="1"/>
  <c r="S948" i="1" s="1"/>
  <c r="T948" i="1" s="1"/>
  <c r="Q381" i="1"/>
  <c r="S381" i="1" s="1"/>
  <c r="T381" i="1" s="1"/>
  <c r="Q839" i="1"/>
  <c r="S839" i="1" s="1"/>
  <c r="T839" i="1" s="1"/>
  <c r="Q656" i="1"/>
  <c r="S656" i="1" s="1"/>
  <c r="T656" i="1" s="1"/>
  <c r="Q728" i="1"/>
  <c r="S728" i="1" s="1"/>
  <c r="T728" i="1" s="1"/>
  <c r="Q783" i="1"/>
  <c r="S783" i="1" s="1"/>
  <c r="T783" i="1" s="1"/>
  <c r="Q392" i="1"/>
  <c r="S392" i="1" s="1"/>
  <c r="T392" i="1" s="1"/>
  <c r="Q325" i="1"/>
  <c r="S325" i="1" s="1"/>
  <c r="T325" i="1" s="1"/>
  <c r="Q15" i="1"/>
  <c r="S15" i="1" s="1"/>
  <c r="T15" i="1" s="1"/>
  <c r="Q932" i="1"/>
  <c r="S932" i="1" s="1"/>
  <c r="T932" i="1" s="1"/>
  <c r="Q561" i="1"/>
  <c r="S561" i="1" s="1"/>
  <c r="T561" i="1" s="1"/>
  <c r="Q551" i="1"/>
  <c r="S551" i="1" s="1"/>
  <c r="T551" i="1" s="1"/>
  <c r="Q523" i="1"/>
  <c r="S523" i="1" s="1"/>
  <c r="T523" i="1" s="1"/>
  <c r="Q843" i="1"/>
  <c r="S843" i="1" s="1"/>
  <c r="T843" i="1" s="1"/>
  <c r="Q730" i="1"/>
  <c r="Q686" i="1"/>
  <c r="S686" i="1" s="1"/>
  <c r="T686" i="1" s="1"/>
  <c r="Q319" i="1"/>
  <c r="S319" i="1" s="1"/>
  <c r="T319" i="1" s="1"/>
  <c r="Q304" i="1"/>
  <c r="S304" i="1" s="1"/>
  <c r="T304" i="1" s="1"/>
  <c r="Q871" i="1"/>
  <c r="S871" i="1" s="1"/>
  <c r="T871" i="1" s="1"/>
  <c r="Q857" i="1"/>
  <c r="S857" i="1" s="1"/>
  <c r="T857" i="1" s="1"/>
  <c r="Q615" i="1"/>
  <c r="S615" i="1" s="1"/>
  <c r="T615" i="1" s="1"/>
  <c r="Q289" i="1"/>
  <c r="S289" i="1" s="1"/>
  <c r="T289" i="1" s="1"/>
  <c r="Q1040" i="1"/>
  <c r="S1040" i="1" s="1"/>
  <c r="T1040" i="1" s="1"/>
  <c r="Q775" i="1"/>
  <c r="S775" i="1" s="1"/>
  <c r="T775" i="1" s="1"/>
  <c r="Q427" i="1"/>
  <c r="S427" i="1" s="1"/>
  <c r="T427" i="1" s="1"/>
  <c r="Q643" i="1"/>
  <c r="S643" i="1" s="1"/>
  <c r="T643" i="1" s="1"/>
  <c r="Q836" i="1"/>
  <c r="S836" i="1" s="1"/>
  <c r="T836" i="1" s="1"/>
  <c r="Q448" i="1"/>
  <c r="S448" i="1" s="1"/>
  <c r="T448" i="1" s="1"/>
  <c r="Q218" i="1"/>
  <c r="S218" i="1" s="1"/>
  <c r="T218" i="1" s="1"/>
  <c r="Q122" i="1"/>
  <c r="S122" i="1" s="1"/>
  <c r="T122" i="1" s="1"/>
  <c r="Q737" i="1"/>
  <c r="S737" i="1" s="1"/>
  <c r="T737" i="1" s="1"/>
  <c r="Q814" i="1"/>
  <c r="S814" i="1" s="1"/>
  <c r="T814" i="1" s="1"/>
  <c r="Q744" i="1"/>
  <c r="S744" i="1" s="1"/>
  <c r="T744" i="1" s="1"/>
  <c r="Q994" i="1"/>
  <c r="S994" i="1" s="1"/>
  <c r="T994" i="1" s="1"/>
  <c r="Q981" i="1"/>
  <c r="S981" i="1" s="1"/>
  <c r="T981" i="1" s="1"/>
  <c r="Q973" i="1"/>
  <c r="S973" i="1" s="1"/>
  <c r="T973" i="1" s="1"/>
  <c r="Q886" i="1"/>
  <c r="S886" i="1" s="1"/>
  <c r="T886" i="1" s="1"/>
  <c r="Q827" i="1"/>
  <c r="S827" i="1" s="1"/>
  <c r="T827" i="1" s="1"/>
  <c r="Q795" i="1"/>
  <c r="S795" i="1" s="1"/>
  <c r="T795" i="1" s="1"/>
  <c r="Q696" i="1"/>
  <c r="S696" i="1" s="1"/>
  <c r="T696" i="1" s="1"/>
  <c r="Q779" i="1"/>
  <c r="S779" i="1" s="1"/>
  <c r="T779" i="1" s="1"/>
  <c r="Q621" i="1"/>
  <c r="S621" i="1" s="1"/>
  <c r="T621" i="1" s="1"/>
  <c r="Q559" i="1"/>
  <c r="S559" i="1" s="1"/>
  <c r="T559" i="1" s="1"/>
  <c r="Q605" i="1"/>
  <c r="S605" i="1" s="1"/>
  <c r="T605" i="1" s="1"/>
  <c r="S573" i="1"/>
  <c r="T573" i="1" s="1"/>
  <c r="Q525" i="1"/>
  <c r="S525" i="1" s="1"/>
  <c r="T525" i="1" s="1"/>
  <c r="Q486" i="1"/>
  <c r="S486" i="1" s="1"/>
  <c r="T486" i="1" s="1"/>
  <c r="Q402" i="1"/>
  <c r="S402" i="1" s="1"/>
  <c r="T402" i="1" s="1"/>
  <c r="Q372" i="1"/>
  <c r="S372" i="1" s="1"/>
  <c r="T372" i="1" s="1"/>
  <c r="Q447" i="1"/>
  <c r="S447" i="1" s="1"/>
  <c r="T447" i="1" s="1"/>
  <c r="Q434" i="1"/>
  <c r="S434" i="1" s="1"/>
  <c r="T434" i="1" s="1"/>
  <c r="Q412" i="1"/>
  <c r="S412" i="1" s="1"/>
  <c r="T412" i="1" s="1"/>
  <c r="Q324" i="1"/>
  <c r="S324" i="1" s="1"/>
  <c r="T324" i="1" s="1"/>
  <c r="Q164" i="1"/>
  <c r="S164" i="1" s="1"/>
  <c r="T164" i="1" s="1"/>
  <c r="S842" i="1"/>
  <c r="T842" i="1" s="1"/>
  <c r="Q645" i="1"/>
  <c r="S645" i="1" s="1"/>
  <c r="T645" i="1" s="1"/>
  <c r="Q563" i="1"/>
  <c r="S563" i="1" s="1"/>
  <c r="T563" i="1" s="1"/>
  <c r="Q577" i="1"/>
  <c r="S577" i="1" s="1"/>
  <c r="T577" i="1" s="1"/>
  <c r="Q476" i="1"/>
  <c r="S476" i="1" s="1"/>
  <c r="T476" i="1" s="1"/>
  <c r="Q819" i="1"/>
  <c r="S819" i="1" s="1"/>
  <c r="T819" i="1" s="1"/>
  <c r="Q810" i="1"/>
  <c r="S810" i="1" s="1"/>
  <c r="T810" i="1" s="1"/>
  <c r="Q637" i="1"/>
  <c r="S637" i="1" s="1"/>
  <c r="T637" i="1" s="1"/>
  <c r="Q616" i="1"/>
  <c r="S616" i="1" s="1"/>
  <c r="T616" i="1" s="1"/>
  <c r="Q537" i="1"/>
  <c r="S537" i="1" s="1"/>
  <c r="T537" i="1" s="1"/>
  <c r="Q1016" i="1"/>
  <c r="S1016" i="1" s="1"/>
  <c r="T1016" i="1" s="1"/>
  <c r="Q998" i="1"/>
  <c r="S998" i="1" s="1"/>
  <c r="T998" i="1" s="1"/>
  <c r="Q922" i="1"/>
  <c r="S922" i="1" s="1"/>
  <c r="T922" i="1" s="1"/>
  <c r="Q964" i="1"/>
  <c r="S964" i="1" s="1"/>
  <c r="T964" i="1" s="1"/>
  <c r="Q993" i="1"/>
  <c r="S993" i="1" s="1"/>
  <c r="T993" i="1" s="1"/>
  <c r="Q917" i="1"/>
  <c r="S917" i="1" s="1"/>
  <c r="T917" i="1" s="1"/>
  <c r="Q864" i="1"/>
  <c r="S864" i="1" s="1"/>
  <c r="T864" i="1" s="1"/>
  <c r="Q830" i="1"/>
  <c r="S830" i="1" s="1"/>
  <c r="T830" i="1" s="1"/>
  <c r="Q794" i="1"/>
  <c r="S794" i="1" s="1"/>
  <c r="T794" i="1" s="1"/>
  <c r="Q787" i="1"/>
  <c r="S787" i="1" s="1"/>
  <c r="T787" i="1" s="1"/>
  <c r="Q679" i="1"/>
  <c r="S679" i="1" s="1"/>
  <c r="T679" i="1" s="1"/>
  <c r="Q675" i="1"/>
  <c r="S675" i="1" s="1"/>
  <c r="T675" i="1" s="1"/>
  <c r="Q666" i="1"/>
  <c r="S666" i="1" s="1"/>
  <c r="T666" i="1" s="1"/>
  <c r="Q653" i="1"/>
  <c r="S653" i="1" s="1"/>
  <c r="T653" i="1" s="1"/>
  <c r="Q649" i="1"/>
  <c r="S649" i="1" s="1"/>
  <c r="T649" i="1" s="1"/>
  <c r="Q620" i="1"/>
  <c r="S620" i="1" s="1"/>
  <c r="T620" i="1" s="1"/>
  <c r="Q558" i="1"/>
  <c r="S558" i="1" s="1"/>
  <c r="T558" i="1" s="1"/>
  <c r="Q541" i="1"/>
  <c r="S541" i="1" s="1"/>
  <c r="T541" i="1" s="1"/>
  <c r="Q520" i="1"/>
  <c r="S520" i="1" s="1"/>
  <c r="T520" i="1" s="1"/>
  <c r="Q380" i="1"/>
  <c r="S380" i="1" s="1"/>
  <c r="T380" i="1" s="1"/>
  <c r="Q433" i="1"/>
  <c r="S433" i="1" s="1"/>
  <c r="T433" i="1" s="1"/>
  <c r="Q411" i="1"/>
  <c r="S411" i="1" s="1"/>
  <c r="T411" i="1" s="1"/>
  <c r="Q291" i="1"/>
  <c r="S291" i="1" s="1"/>
  <c r="T291" i="1" s="1"/>
  <c r="Q196" i="1"/>
  <c r="S196" i="1" s="1"/>
  <c r="T196" i="1" s="1"/>
  <c r="Q595" i="1"/>
  <c r="S595" i="1" s="1"/>
  <c r="T595" i="1" s="1"/>
  <c r="S397" i="1"/>
  <c r="T397" i="1" s="1"/>
  <c r="S393" i="1"/>
  <c r="T393" i="1" s="1"/>
  <c r="Q976" i="1"/>
  <c r="S976" i="1" s="1"/>
  <c r="T976" i="1" s="1"/>
  <c r="Q921" i="1"/>
  <c r="S921" i="1" s="1"/>
  <c r="T921" i="1" s="1"/>
  <c r="S902" i="1"/>
  <c r="T902" i="1" s="1"/>
  <c r="Q963" i="1"/>
  <c r="S963" i="1" s="1"/>
  <c r="T963" i="1" s="1"/>
  <c r="Q950" i="1"/>
  <c r="S950" i="1" s="1"/>
  <c r="T950" i="1" s="1"/>
  <c r="Q845" i="1"/>
  <c r="S845" i="1" s="1"/>
  <c r="T845" i="1" s="1"/>
  <c r="Q805" i="1"/>
  <c r="S805" i="1" s="1"/>
  <c r="T805" i="1" s="1"/>
  <c r="Q798" i="1"/>
  <c r="S798" i="1" s="1"/>
  <c r="T798" i="1" s="1"/>
  <c r="S739" i="1"/>
  <c r="T739" i="1" s="1"/>
  <c r="Q778" i="1"/>
  <c r="S778" i="1" s="1"/>
  <c r="T778" i="1" s="1"/>
  <c r="Q757" i="1"/>
  <c r="S757" i="1" s="1"/>
  <c r="T757" i="1" s="1"/>
  <c r="S648" i="1"/>
  <c r="T648" i="1" s="1"/>
  <c r="Q624" i="1"/>
  <c r="S624" i="1" s="1"/>
  <c r="T624" i="1" s="1"/>
  <c r="Q590" i="1"/>
  <c r="S590" i="1" s="1"/>
  <c r="T590" i="1" s="1"/>
  <c r="Q507" i="1"/>
  <c r="S507" i="1" s="1"/>
  <c r="T507" i="1" s="1"/>
  <c r="Q498" i="1"/>
  <c r="S498" i="1" s="1"/>
  <c r="T498" i="1" s="1"/>
  <c r="Q475" i="1"/>
  <c r="S475" i="1" s="1"/>
  <c r="T475" i="1" s="1"/>
  <c r="Q405" i="1"/>
  <c r="S405" i="1" s="1"/>
  <c r="T405" i="1" s="1"/>
  <c r="S432" i="1"/>
  <c r="T432" i="1" s="1"/>
  <c r="Q410" i="1"/>
  <c r="S410" i="1" s="1"/>
  <c r="T410" i="1" s="1"/>
  <c r="Q300" i="1"/>
  <c r="S300" i="1" s="1"/>
  <c r="T300" i="1" s="1"/>
  <c r="Q279" i="1"/>
  <c r="S279" i="1" s="1"/>
  <c r="T279" i="1" s="1"/>
  <c r="S274" i="1"/>
  <c r="T274" i="1" s="1"/>
  <c r="Q195" i="1"/>
  <c r="S195" i="1" s="1"/>
  <c r="T195" i="1" s="1"/>
  <c r="Q916" i="1"/>
  <c r="S916" i="1" s="1"/>
  <c r="T916" i="1" s="1"/>
  <c r="S945" i="1"/>
  <c r="T945" i="1" s="1"/>
  <c r="S384" i="1"/>
  <c r="T384" i="1" s="1"/>
  <c r="Q1002" i="1"/>
  <c r="S1002" i="1" s="1"/>
  <c r="T1002" i="1" s="1"/>
  <c r="Q987" i="1"/>
  <c r="S987" i="1" s="1"/>
  <c r="T987" i="1" s="1"/>
  <c r="Q925" i="1"/>
  <c r="S925" i="1" s="1"/>
  <c r="T925" i="1" s="1"/>
  <c r="Q920" i="1"/>
  <c r="S920" i="1" s="1"/>
  <c r="T920" i="1" s="1"/>
  <c r="Q906" i="1"/>
  <c r="S906" i="1" s="1"/>
  <c r="T906" i="1" s="1"/>
  <c r="Q884" i="1"/>
  <c r="S884" i="1" s="1"/>
  <c r="T884" i="1" s="1"/>
  <c r="Q971" i="1"/>
  <c r="S971" i="1" s="1"/>
  <c r="T971" i="1" s="1"/>
  <c r="Q854" i="1"/>
  <c r="S854" i="1" s="1"/>
  <c r="T854" i="1" s="1"/>
  <c r="Q833" i="1"/>
  <c r="S833" i="1" s="1"/>
  <c r="T833" i="1" s="1"/>
  <c r="Q804" i="1"/>
  <c r="S804" i="1" s="1"/>
  <c r="T804" i="1" s="1"/>
  <c r="S797" i="1"/>
  <c r="T797" i="1" s="1"/>
  <c r="Q765" i="1"/>
  <c r="S765" i="1" s="1"/>
  <c r="T765" i="1" s="1"/>
  <c r="Q619" i="1"/>
  <c r="S619" i="1" s="1"/>
  <c r="T619" i="1" s="1"/>
  <c r="Q585" i="1"/>
  <c r="S585" i="1" s="1"/>
  <c r="T585" i="1" s="1"/>
  <c r="Q510" i="1"/>
  <c r="S510" i="1" s="1"/>
  <c r="T510" i="1" s="1"/>
  <c r="Q484" i="1"/>
  <c r="S484" i="1" s="1"/>
  <c r="T484" i="1" s="1"/>
  <c r="Q331" i="1"/>
  <c r="S331" i="1" s="1"/>
  <c r="T331" i="1" s="1"/>
  <c r="Q322" i="1"/>
  <c r="S322" i="1" s="1"/>
  <c r="T322" i="1" s="1"/>
  <c r="Q285" i="1"/>
  <c r="S285" i="1" s="1"/>
  <c r="T285" i="1" s="1"/>
  <c r="Q232" i="1"/>
  <c r="S232" i="1" s="1"/>
  <c r="T232" i="1" s="1"/>
  <c r="Q222" i="1"/>
  <c r="S222" i="1" s="1"/>
  <c r="T222" i="1" s="1"/>
  <c r="Q918" i="1"/>
  <c r="S918" i="1" s="1"/>
  <c r="T918" i="1" s="1"/>
  <c r="Q979" i="1"/>
  <c r="S979" i="1" s="1"/>
  <c r="T979" i="1" s="1"/>
  <c r="Q897" i="1"/>
  <c r="Q940" i="1"/>
  <c r="S940" i="1" s="1"/>
  <c r="T940" i="1" s="1"/>
  <c r="Q849" i="1"/>
  <c r="S849" i="1" s="1"/>
  <c r="T849" i="1" s="1"/>
  <c r="Q813" i="1"/>
  <c r="S813" i="1" s="1"/>
  <c r="T813" i="1" s="1"/>
  <c r="Q698" i="1"/>
  <c r="S698" i="1" s="1"/>
  <c r="T698" i="1" s="1"/>
  <c r="S774" i="1"/>
  <c r="T774" i="1" s="1"/>
  <c r="Q769" i="1"/>
  <c r="S769" i="1" s="1"/>
  <c r="T769" i="1" s="1"/>
  <c r="Q753" i="1"/>
  <c r="S753" i="1" s="1"/>
  <c r="T753" i="1" s="1"/>
  <c r="Q631" i="1"/>
  <c r="S631" i="1" s="1"/>
  <c r="T631" i="1" s="1"/>
  <c r="Q544" i="1"/>
  <c r="S544" i="1" s="1"/>
  <c r="T544" i="1" s="1"/>
  <c r="S594" i="1"/>
  <c r="T594" i="1" s="1"/>
  <c r="S584" i="1"/>
  <c r="T584" i="1" s="1"/>
  <c r="Q518" i="1"/>
  <c r="S518" i="1" s="1"/>
  <c r="T518" i="1" s="1"/>
  <c r="Q204" i="1"/>
  <c r="S204" i="1" s="1"/>
  <c r="T204" i="1" s="1"/>
  <c r="Q199" i="1"/>
  <c r="S199" i="1" s="1"/>
  <c r="T199" i="1" s="1"/>
  <c r="Q997" i="1"/>
  <c r="S997" i="1" s="1"/>
  <c r="T997" i="1" s="1"/>
  <c r="S991" i="1"/>
  <c r="T991" i="1" s="1"/>
  <c r="Q996" i="1"/>
  <c r="S996" i="1" s="1"/>
  <c r="T996" i="1" s="1"/>
  <c r="S924" i="1"/>
  <c r="T924" i="1" s="1"/>
  <c r="Q1009" i="1"/>
  <c r="S1009" i="1" s="1"/>
  <c r="T1009" i="1" s="1"/>
  <c r="Q1005" i="1"/>
  <c r="S1005" i="1" s="1"/>
  <c r="T1005" i="1" s="1"/>
  <c r="Q901" i="1"/>
  <c r="S901" i="1" s="1"/>
  <c r="T901" i="1" s="1"/>
  <c r="Q888" i="1"/>
  <c r="S888" i="1" s="1"/>
  <c r="T888" i="1" s="1"/>
  <c r="Q883" i="1"/>
  <c r="S883" i="1" s="1"/>
  <c r="T883" i="1" s="1"/>
  <c r="Q935" i="1"/>
  <c r="S935" i="1" s="1"/>
  <c r="T935" i="1" s="1"/>
  <c r="Q880" i="1"/>
  <c r="S880" i="1" s="1"/>
  <c r="T880" i="1" s="1"/>
  <c r="Q867" i="1"/>
  <c r="S867" i="1" s="1"/>
  <c r="T867" i="1" s="1"/>
  <c r="Q835" i="1"/>
  <c r="S835" i="1" s="1"/>
  <c r="T835" i="1" s="1"/>
  <c r="Q709" i="1"/>
  <c r="S709" i="1" s="1"/>
  <c r="T709" i="1" s="1"/>
  <c r="S824" i="1"/>
  <c r="T824" i="1" s="1"/>
  <c r="Q738" i="1"/>
  <c r="S738" i="1" s="1"/>
  <c r="T738" i="1" s="1"/>
  <c r="S460" i="1"/>
  <c r="T460" i="1" s="1"/>
  <c r="Q404" i="1"/>
  <c r="S404" i="1" s="1"/>
  <c r="T404" i="1" s="1"/>
  <c r="Q369" i="1"/>
  <c r="S369" i="1" s="1"/>
  <c r="T369" i="1" s="1"/>
  <c r="Q431" i="1"/>
  <c r="S431" i="1" s="1"/>
  <c r="T431" i="1" s="1"/>
  <c r="Q226" i="1"/>
  <c r="S226" i="1" s="1"/>
  <c r="T226" i="1" s="1"/>
  <c r="Q249" i="1"/>
  <c r="S249" i="1" s="1"/>
  <c r="T249" i="1" s="1"/>
  <c r="Q156" i="1"/>
  <c r="S156" i="1" s="1"/>
  <c r="T156" i="1" s="1"/>
  <c r="Q1015" i="1"/>
  <c r="S1015" i="1" s="1"/>
  <c r="T1015" i="1" s="1"/>
  <c r="Q915" i="1"/>
  <c r="S915" i="1" s="1"/>
  <c r="T915" i="1" s="1"/>
  <c r="Q1018" i="1"/>
  <c r="S1018" i="1" s="1"/>
  <c r="T1018" i="1" s="1"/>
  <c r="Q1013" i="1"/>
  <c r="S1013" i="1" s="1"/>
  <c r="T1013" i="1" s="1"/>
  <c r="Q953" i="1"/>
  <c r="S953" i="1" s="1"/>
  <c r="T953" i="1" s="1"/>
  <c r="Q944" i="1"/>
  <c r="S944" i="1" s="1"/>
  <c r="T944" i="1" s="1"/>
  <c r="Q756" i="1"/>
  <c r="S756" i="1" s="1"/>
  <c r="T756" i="1" s="1"/>
  <c r="S694" i="1"/>
  <c r="T694" i="1" s="1"/>
  <c r="Q547" i="1"/>
  <c r="S547" i="1" s="1"/>
  <c r="T547" i="1" s="1"/>
  <c r="Q579" i="1"/>
  <c r="S579" i="1" s="1"/>
  <c r="T579" i="1" s="1"/>
  <c r="Q456" i="1"/>
  <c r="S456" i="1" s="1"/>
  <c r="T456" i="1" s="1"/>
  <c r="Q435" i="1"/>
  <c r="S435" i="1" s="1"/>
  <c r="T435" i="1" s="1"/>
  <c r="Q364" i="1"/>
  <c r="S364" i="1" s="1"/>
  <c r="T364" i="1" s="1"/>
  <c r="Q244" i="1"/>
  <c r="S244" i="1" s="1"/>
  <c r="T244" i="1" s="1"/>
  <c r="Q807" i="1"/>
  <c r="S807" i="1" s="1"/>
  <c r="T807" i="1" s="1"/>
  <c r="Q706" i="1"/>
  <c r="S706" i="1" s="1"/>
  <c r="T706" i="1" s="1"/>
  <c r="Q634" i="1"/>
  <c r="S634" i="1" s="1"/>
  <c r="T634" i="1" s="1"/>
  <c r="Q1008" i="1"/>
  <c r="S1008" i="1" s="1"/>
  <c r="T1008" i="1" s="1"/>
  <c r="Q1004" i="1"/>
  <c r="S1004" i="1" s="1"/>
  <c r="T1004" i="1" s="1"/>
  <c r="Q982" i="1"/>
  <c r="S982" i="1" s="1"/>
  <c r="T982" i="1" s="1"/>
  <c r="Q969" i="1"/>
  <c r="S969" i="1" s="1"/>
  <c r="T969" i="1" s="1"/>
  <c r="Q961" i="1"/>
  <c r="S961" i="1" s="1"/>
  <c r="T961" i="1" s="1"/>
  <c r="Q934" i="1"/>
  <c r="S934" i="1" s="1"/>
  <c r="T934" i="1" s="1"/>
  <c r="Q569" i="1"/>
  <c r="S569" i="1" s="1"/>
  <c r="T569" i="1" s="1"/>
  <c r="Q517" i="1"/>
  <c r="S517" i="1" s="1"/>
  <c r="T517" i="1" s="1"/>
  <c r="Q368" i="1"/>
  <c r="S368" i="1" s="1"/>
  <c r="T368" i="1" s="1"/>
  <c r="Q999" i="1"/>
  <c r="S999" i="1" s="1"/>
  <c r="T999" i="1" s="1"/>
  <c r="Q990" i="1"/>
  <c r="S990" i="1" s="1"/>
  <c r="T990" i="1" s="1"/>
  <c r="Q923" i="1"/>
  <c r="S923" i="1" s="1"/>
  <c r="T923" i="1" s="1"/>
  <c r="S904" i="1"/>
  <c r="T904" i="1" s="1"/>
  <c r="Q943" i="1"/>
  <c r="S943" i="1" s="1"/>
  <c r="T943" i="1" s="1"/>
  <c r="Q874" i="1"/>
  <c r="S874" i="1" s="1"/>
  <c r="T874" i="1" s="1"/>
  <c r="Q802" i="1"/>
  <c r="S802" i="1" s="1"/>
  <c r="T802" i="1" s="1"/>
  <c r="Q721" i="1"/>
  <c r="S721" i="1" s="1"/>
  <c r="T721" i="1" s="1"/>
  <c r="Q717" i="1"/>
  <c r="S717" i="1" s="1"/>
  <c r="T717" i="1" s="1"/>
  <c r="Q784" i="1"/>
  <c r="S784" i="1" s="1"/>
  <c r="T784" i="1" s="1"/>
  <c r="Q780" i="1"/>
  <c r="S780" i="1" s="1"/>
  <c r="T780" i="1" s="1"/>
  <c r="Q617" i="1"/>
  <c r="S617" i="1" s="1"/>
  <c r="T617" i="1" s="1"/>
  <c r="Q482" i="1"/>
  <c r="S482" i="1" s="1"/>
  <c r="T482" i="1" s="1"/>
  <c r="Q329" i="1"/>
  <c r="S329" i="1" s="1"/>
  <c r="T329" i="1" s="1"/>
  <c r="Q306" i="1"/>
  <c r="S306" i="1" s="1"/>
  <c r="T306" i="1" s="1"/>
  <c r="Q220" i="1"/>
  <c r="S220" i="1" s="1"/>
  <c r="T220" i="1" s="1"/>
  <c r="Q184" i="1"/>
  <c r="S184" i="1" s="1"/>
  <c r="T184" i="1" s="1"/>
  <c r="Q235" i="1"/>
  <c r="S235" i="1" s="1"/>
  <c r="T235" i="1" s="1"/>
  <c r="Q200" i="1"/>
  <c r="S200" i="1" s="1"/>
  <c r="T200" i="1" s="1"/>
  <c r="Q168" i="1"/>
  <c r="S168" i="1" s="1"/>
  <c r="T168" i="1" s="1"/>
  <c r="Q159" i="1"/>
  <c r="S159" i="1" s="1"/>
  <c r="T159" i="1" s="1"/>
  <c r="Q135" i="1"/>
  <c r="S135" i="1" s="1"/>
  <c r="T135" i="1" s="1"/>
  <c r="Q63" i="1"/>
  <c r="S63" i="1" s="1"/>
  <c r="T63" i="1" s="1"/>
  <c r="Q47" i="1"/>
  <c r="S47" i="1" s="1"/>
  <c r="T47" i="1" s="1"/>
  <c r="S1032" i="1"/>
  <c r="T1032" i="1" s="1"/>
  <c r="Q183" i="1"/>
  <c r="S183" i="1" s="1"/>
  <c r="T183" i="1" s="1"/>
  <c r="Q163" i="1"/>
  <c r="S163" i="1" s="1"/>
  <c r="T163" i="1" s="1"/>
  <c r="Q139" i="1"/>
  <c r="S139" i="1" s="1"/>
  <c r="T139" i="1" s="1"/>
  <c r="Q126" i="1"/>
  <c r="S126" i="1" s="1"/>
  <c r="T126" i="1" s="1"/>
  <c r="Q55" i="1"/>
  <c r="S55" i="1" s="1"/>
  <c r="T55" i="1" s="1"/>
  <c r="Q42" i="1"/>
  <c r="S42" i="1" s="1"/>
  <c r="T42" i="1" s="1"/>
  <c r="Q88" i="1"/>
  <c r="S88" i="1" s="1"/>
  <c r="T88" i="1" s="1"/>
  <c r="Q11" i="1"/>
  <c r="S11" i="1" s="1"/>
  <c r="T11" i="1" s="1"/>
  <c r="Q1046" i="1"/>
  <c r="S1046" i="1" s="1"/>
  <c r="T1046" i="1" s="1"/>
  <c r="Q1023" i="1"/>
  <c r="S1023" i="1" s="1"/>
  <c r="T1023" i="1" s="1"/>
  <c r="S62" i="1"/>
  <c r="T62" i="1" s="1"/>
  <c r="Q113" i="1"/>
  <c r="S113" i="1" s="1"/>
  <c r="T113" i="1" s="1"/>
  <c r="S1058" i="1"/>
  <c r="T1058" i="1" s="1"/>
  <c r="Q265" i="1"/>
  <c r="S265" i="1" s="1"/>
  <c r="T265" i="1" s="1"/>
  <c r="Q252" i="1"/>
  <c r="S252" i="1" s="1"/>
  <c r="T252" i="1" s="1"/>
  <c r="Q187" i="1"/>
  <c r="S187" i="1" s="1"/>
  <c r="T187" i="1" s="1"/>
  <c r="Q134" i="1"/>
  <c r="S134" i="1" s="1"/>
  <c r="T134" i="1" s="1"/>
  <c r="S54" i="1"/>
  <c r="T54" i="1" s="1"/>
  <c r="Q46" i="1"/>
  <c r="S46" i="1" s="1"/>
  <c r="T46" i="1" s="1"/>
  <c r="Q26" i="1"/>
  <c r="S26" i="1" s="1"/>
  <c r="T26" i="1" s="1"/>
  <c r="S1049" i="1"/>
  <c r="T1049" i="1" s="1"/>
  <c r="Q446" i="1"/>
  <c r="S446" i="1" s="1"/>
  <c r="T446" i="1" s="1"/>
  <c r="Q438" i="1"/>
  <c r="S438" i="1" s="1"/>
  <c r="T438" i="1" s="1"/>
  <c r="Q341" i="1"/>
  <c r="S341" i="1" s="1"/>
  <c r="T341" i="1" s="1"/>
  <c r="Q305" i="1"/>
  <c r="S305" i="1" s="1"/>
  <c r="T305" i="1" s="1"/>
  <c r="Q256" i="1"/>
  <c r="S256" i="1" s="1"/>
  <c r="T256" i="1" s="1"/>
  <c r="Q138" i="1"/>
  <c r="S138" i="1" s="1"/>
  <c r="T138" i="1" s="1"/>
  <c r="Q121" i="1"/>
  <c r="S121" i="1" s="1"/>
  <c r="T121" i="1" s="1"/>
  <c r="Q34" i="1"/>
  <c r="S34" i="1" s="1"/>
  <c r="T34" i="1" s="1"/>
  <c r="Q17" i="1"/>
  <c r="S17" i="1" s="1"/>
  <c r="T17" i="1" s="1"/>
  <c r="Q10" i="1"/>
  <c r="S10" i="1" s="1"/>
  <c r="T10" i="1" s="1"/>
  <c r="Q5" i="1"/>
  <c r="S5" i="1" s="1"/>
  <c r="T5" i="1" s="1"/>
  <c r="Q1045" i="1"/>
  <c r="S1045" i="1" s="1"/>
  <c r="T1045" i="1" s="1"/>
  <c r="Q1031" i="1"/>
  <c r="S1031" i="1" s="1"/>
  <c r="T1031" i="1" s="1"/>
  <c r="S897" i="1"/>
  <c r="T897" i="1" s="1"/>
  <c r="Q972" i="1"/>
  <c r="S972" i="1" s="1"/>
  <c r="T972" i="1" s="1"/>
  <c r="Q951" i="1"/>
  <c r="S951" i="1" s="1"/>
  <c r="T951" i="1" s="1"/>
  <c r="Q933" i="1"/>
  <c r="S933" i="1" s="1"/>
  <c r="T933" i="1" s="1"/>
  <c r="Q929" i="1"/>
  <c r="S929" i="1" s="1"/>
  <c r="T929" i="1" s="1"/>
  <c r="Q710" i="1"/>
  <c r="S710" i="1" s="1"/>
  <c r="T710" i="1" s="1"/>
  <c r="Q818" i="1"/>
  <c r="S818" i="1" s="1"/>
  <c r="T818" i="1" s="1"/>
  <c r="Q764" i="1"/>
  <c r="S764" i="1" s="1"/>
  <c r="T764" i="1" s="1"/>
  <c r="Q670" i="1"/>
  <c r="S670" i="1" s="1"/>
  <c r="T670" i="1" s="1"/>
  <c r="Q618" i="1"/>
  <c r="S618" i="1" s="1"/>
  <c r="T618" i="1" s="1"/>
  <c r="Q596" i="1"/>
  <c r="S596" i="1" s="1"/>
  <c r="T596" i="1" s="1"/>
  <c r="Q514" i="1"/>
  <c r="S514" i="1" s="1"/>
  <c r="T514" i="1" s="1"/>
  <c r="Q370" i="1"/>
  <c r="S370" i="1" s="1"/>
  <c r="T370" i="1" s="1"/>
  <c r="Q409" i="1"/>
  <c r="S409" i="1" s="1"/>
  <c r="T409" i="1" s="1"/>
  <c r="Q292" i="1"/>
  <c r="S292" i="1" s="1"/>
  <c r="T292" i="1" s="1"/>
  <c r="Q272" i="1"/>
  <c r="S272" i="1" s="1"/>
  <c r="T272" i="1" s="1"/>
  <c r="Q203" i="1"/>
  <c r="S203" i="1" s="1"/>
  <c r="T203" i="1" s="1"/>
  <c r="Q166" i="1"/>
  <c r="S166" i="1" s="1"/>
  <c r="T166" i="1" s="1"/>
  <c r="Q154" i="1"/>
  <c r="S154" i="1" s="1"/>
  <c r="T154" i="1" s="1"/>
  <c r="Q58" i="1"/>
  <c r="S58" i="1" s="1"/>
  <c r="T58" i="1" s="1"/>
  <c r="Q96" i="1"/>
  <c r="S96" i="1" s="1"/>
  <c r="T96" i="1" s="1"/>
  <c r="Q30" i="1"/>
  <c r="S30" i="1" s="1"/>
  <c r="T30" i="1" s="1"/>
  <c r="Q1027" i="1"/>
  <c r="S1027" i="1" s="1"/>
  <c r="T1027" i="1" s="1"/>
  <c r="S271" i="1"/>
  <c r="T271" i="1" s="1"/>
  <c r="S264" i="1"/>
  <c r="T264" i="1" s="1"/>
  <c r="S198" i="1"/>
  <c r="T198" i="1" s="1"/>
  <c r="Q591" i="1"/>
  <c r="S591" i="1" s="1"/>
  <c r="T591" i="1" s="1"/>
  <c r="Q501" i="1"/>
  <c r="S501" i="1" s="1"/>
  <c r="T501" i="1" s="1"/>
  <c r="Q399" i="1"/>
  <c r="S399" i="1" s="1"/>
  <c r="T399" i="1" s="1"/>
  <c r="Q374" i="1"/>
  <c r="S374" i="1" s="1"/>
  <c r="T374" i="1" s="1"/>
  <c r="Q437" i="1"/>
  <c r="S437" i="1" s="1"/>
  <c r="T437" i="1" s="1"/>
  <c r="Q352" i="1"/>
  <c r="S352" i="1" s="1"/>
  <c r="T352" i="1" s="1"/>
  <c r="Q348" i="1"/>
  <c r="S348" i="1" s="1"/>
  <c r="T348" i="1" s="1"/>
  <c r="Q116" i="1"/>
  <c r="S116" i="1" s="1"/>
  <c r="T116" i="1" s="1"/>
  <c r="Q91" i="1"/>
  <c r="S91" i="1" s="1"/>
  <c r="T91" i="1" s="1"/>
  <c r="Q86" i="1"/>
  <c r="S86" i="1" s="1"/>
  <c r="T86" i="1" s="1"/>
  <c r="Q14" i="1"/>
  <c r="S14" i="1" s="1"/>
  <c r="T14" i="1" s="1"/>
  <c r="Q21" i="1"/>
  <c r="S21" i="1" s="1"/>
  <c r="T21" i="1" s="1"/>
  <c r="Q9" i="1"/>
  <c r="S9" i="1" s="1"/>
  <c r="T9" i="1" s="1"/>
  <c r="Q72" i="1"/>
  <c r="S72" i="1" s="1"/>
  <c r="T72" i="1" s="1"/>
  <c r="Q4" i="1"/>
  <c r="S4" i="1" s="1"/>
  <c r="T4" i="1" s="1"/>
  <c r="S173" i="1"/>
  <c r="T173" i="1" s="1"/>
  <c r="S136" i="1"/>
  <c r="T136" i="1" s="1"/>
  <c r="Q90" i="1"/>
  <c r="S90" i="1" s="1"/>
  <c r="T90" i="1" s="1"/>
  <c r="Q37" i="1"/>
  <c r="S37" i="1" s="1"/>
  <c r="T37" i="1" s="1"/>
  <c r="Q8" i="1"/>
  <c r="S8" i="1" s="1"/>
  <c r="T8" i="1" s="1"/>
  <c r="Q1052" i="1"/>
  <c r="S1052" i="1" s="1"/>
  <c r="T1052" i="1" s="1"/>
  <c r="Q970" i="1"/>
  <c r="S970" i="1" s="1"/>
  <c r="T970" i="1" s="1"/>
  <c r="Q949" i="1"/>
  <c r="S949" i="1" s="1"/>
  <c r="T949" i="1" s="1"/>
  <c r="Q838" i="1"/>
  <c r="S838" i="1" s="1"/>
  <c r="T838" i="1" s="1"/>
  <c r="Q704" i="1"/>
  <c r="S704" i="1" s="1"/>
  <c r="T704" i="1" s="1"/>
  <c r="Q681" i="1"/>
  <c r="S681" i="1" s="1"/>
  <c r="T681" i="1" s="1"/>
  <c r="Q664" i="1"/>
  <c r="S664" i="1" s="1"/>
  <c r="T664" i="1" s="1"/>
  <c r="Q644" i="1"/>
  <c r="S644" i="1" s="1"/>
  <c r="T644" i="1" s="1"/>
  <c r="Q560" i="1"/>
  <c r="S560" i="1" s="1"/>
  <c r="T560" i="1" s="1"/>
  <c r="Q599" i="1"/>
  <c r="S599" i="1" s="1"/>
  <c r="T599" i="1" s="1"/>
  <c r="Q586" i="1"/>
  <c r="S586" i="1" s="1"/>
  <c r="T586" i="1" s="1"/>
  <c r="Q500" i="1"/>
  <c r="S500" i="1" s="1"/>
  <c r="T500" i="1" s="1"/>
  <c r="Q487" i="1"/>
  <c r="S487" i="1" s="1"/>
  <c r="T487" i="1" s="1"/>
  <c r="Q470" i="1"/>
  <c r="S470" i="1" s="1"/>
  <c r="T470" i="1" s="1"/>
  <c r="Q454" i="1"/>
  <c r="S454" i="1" s="1"/>
  <c r="T454" i="1" s="1"/>
  <c r="Q406" i="1"/>
  <c r="S406" i="1" s="1"/>
  <c r="T406" i="1" s="1"/>
  <c r="Q359" i="1"/>
  <c r="S359" i="1" s="1"/>
  <c r="T359" i="1" s="1"/>
  <c r="Q339" i="1"/>
  <c r="S339" i="1" s="1"/>
  <c r="T339" i="1" s="1"/>
  <c r="Q295" i="1"/>
  <c r="S295" i="1" s="1"/>
  <c r="T295" i="1" s="1"/>
  <c r="Q239" i="1"/>
  <c r="S239" i="1" s="1"/>
  <c r="T239" i="1" s="1"/>
  <c r="Q283" i="1"/>
  <c r="S283" i="1" s="1"/>
  <c r="T283" i="1" s="1"/>
  <c r="Q267" i="1"/>
  <c r="S267" i="1" s="1"/>
  <c r="T267" i="1" s="1"/>
  <c r="Q169" i="1"/>
  <c r="S169" i="1" s="1"/>
  <c r="T169" i="1" s="1"/>
  <c r="Q145" i="1"/>
  <c r="S145" i="1" s="1"/>
  <c r="T145" i="1" s="1"/>
  <c r="Q128" i="1"/>
  <c r="S128" i="1" s="1"/>
  <c r="T128" i="1" s="1"/>
  <c r="S102" i="1"/>
  <c r="T102" i="1" s="1"/>
  <c r="Q41" i="1"/>
  <c r="S41" i="1" s="1"/>
  <c r="T41" i="1" s="1"/>
  <c r="Q1025" i="1"/>
  <c r="S1025" i="1" s="1"/>
  <c r="T1025" i="1" s="1"/>
  <c r="S872" i="1"/>
  <c r="T872" i="1" s="1"/>
  <c r="S734" i="1"/>
  <c r="T734" i="1" s="1"/>
  <c r="S607" i="1"/>
  <c r="T607" i="1" s="1"/>
  <c r="Q516" i="1"/>
  <c r="S516" i="1" s="1"/>
  <c r="T516" i="1" s="1"/>
  <c r="Q491" i="1"/>
  <c r="S491" i="1" s="1"/>
  <c r="T491" i="1" s="1"/>
  <c r="S474" i="1"/>
  <c r="T474" i="1" s="1"/>
  <c r="S444" i="1"/>
  <c r="T444" i="1" s="1"/>
  <c r="S215" i="1"/>
  <c r="T215" i="1" s="1"/>
  <c r="Q160" i="1"/>
  <c r="S160" i="1" s="1"/>
  <c r="T160" i="1" s="1"/>
  <c r="Q302" i="1"/>
  <c r="S302" i="1" s="1"/>
  <c r="T302" i="1" s="1"/>
  <c r="Q844" i="1"/>
  <c r="S844" i="1" s="1"/>
  <c r="T844" i="1" s="1"/>
  <c r="Q821" i="1"/>
  <c r="S821" i="1" s="1"/>
  <c r="T821" i="1" s="1"/>
  <c r="Q719" i="1"/>
  <c r="S719" i="1" s="1"/>
  <c r="T719" i="1" s="1"/>
  <c r="Q860" i="1"/>
  <c r="S860" i="1" s="1"/>
  <c r="T860" i="1" s="1"/>
  <c r="Q826" i="1"/>
  <c r="S826" i="1" s="1"/>
  <c r="T826" i="1" s="1"/>
  <c r="Q736" i="1"/>
  <c r="S736" i="1" s="1"/>
  <c r="T736" i="1" s="1"/>
  <c r="Q726" i="1"/>
  <c r="S726" i="1" s="1"/>
  <c r="T726" i="1" s="1"/>
  <c r="S722" i="1"/>
  <c r="T722" i="1" s="1"/>
  <c r="Q992" i="1"/>
  <c r="S992" i="1" s="1"/>
  <c r="T992" i="1" s="1"/>
  <c r="Q882" i="1"/>
  <c r="S882" i="1" s="1"/>
  <c r="T882" i="1" s="1"/>
  <c r="S730" i="1"/>
  <c r="T730" i="1" s="1"/>
  <c r="S868" i="1"/>
  <c r="T868" i="1" s="1"/>
  <c r="S708" i="1"/>
  <c r="T708" i="1" s="1"/>
  <c r="S714" i="1"/>
  <c r="T714" i="1" s="1"/>
  <c r="S852" i="1"/>
  <c r="T852" i="1" s="1"/>
  <c r="Q788" i="1"/>
  <c r="S788" i="1" s="1"/>
  <c r="T788" i="1" s="1"/>
  <c r="S699" i="1"/>
  <c r="T699" i="1" s="1"/>
  <c r="S687" i="1"/>
  <c r="T687" i="1" s="1"/>
  <c r="Q580" i="1"/>
  <c r="S580" i="1" s="1"/>
  <c r="T580" i="1" s="1"/>
  <c r="Q876" i="1"/>
  <c r="S876" i="1" s="1"/>
  <c r="T876" i="1" s="1"/>
  <c r="S837" i="1"/>
  <c r="T837" i="1" s="1"/>
  <c r="Q808" i="1"/>
  <c r="S808" i="1" s="1"/>
  <c r="T808" i="1" s="1"/>
  <c r="Q529" i="1"/>
  <c r="S529" i="1" s="1"/>
  <c r="T529" i="1" s="1"/>
  <c r="Q495" i="1"/>
  <c r="S495" i="1" s="1"/>
  <c r="T495" i="1" s="1"/>
  <c r="S592" i="1"/>
  <c r="T592" i="1" s="1"/>
  <c r="Q635" i="1"/>
  <c r="S635" i="1" s="1"/>
  <c r="T635" i="1" s="1"/>
  <c r="Q506" i="1"/>
  <c r="S506" i="1" s="1"/>
  <c r="T506" i="1" s="1"/>
  <c r="Q502" i="1"/>
  <c r="S502" i="1" s="1"/>
  <c r="T502" i="1" s="1"/>
  <c r="Q583" i="1"/>
  <c r="S583" i="1" s="1"/>
  <c r="T583" i="1" s="1"/>
  <c r="Q528" i="1"/>
  <c r="S528" i="1" s="1"/>
  <c r="T528" i="1" s="1"/>
  <c r="S524" i="1"/>
  <c r="T524" i="1" s="1"/>
  <c r="Q770" i="1"/>
  <c r="S770" i="1" s="1"/>
  <c r="T770" i="1" s="1"/>
  <c r="Q693" i="1"/>
  <c r="S693" i="1" s="1"/>
  <c r="T693" i="1" s="1"/>
  <c r="Q657" i="1"/>
  <c r="S657" i="1" s="1"/>
  <c r="T657" i="1" s="1"/>
  <c r="Q567" i="1"/>
  <c r="S567" i="1" s="1"/>
  <c r="T567" i="1" s="1"/>
  <c r="Q535" i="1"/>
  <c r="S535" i="1" s="1"/>
  <c r="T535" i="1" s="1"/>
  <c r="Q608" i="1"/>
  <c r="S608" i="1" s="1"/>
  <c r="T608" i="1" s="1"/>
  <c r="Q575" i="1"/>
  <c r="S575" i="1" s="1"/>
  <c r="T575" i="1" s="1"/>
  <c r="Q817" i="1"/>
  <c r="S817" i="1" s="1"/>
  <c r="T817" i="1" s="1"/>
  <c r="S458" i="1"/>
  <c r="T458" i="1" s="1"/>
  <c r="Q390" i="1"/>
  <c r="S390" i="1" s="1"/>
  <c r="T390" i="1" s="1"/>
  <c r="Q724" i="1"/>
  <c r="S724" i="1" s="1"/>
  <c r="T724" i="1" s="1"/>
  <c r="Q689" i="1"/>
  <c r="S689" i="1" s="1"/>
  <c r="T689" i="1" s="1"/>
  <c r="Q613" i="1"/>
  <c r="S613" i="1" s="1"/>
  <c r="T613" i="1" s="1"/>
  <c r="Q650" i="1"/>
  <c r="S650" i="1" s="1"/>
  <c r="T650" i="1" s="1"/>
  <c r="S526" i="1"/>
  <c r="T526" i="1" s="1"/>
  <c r="Q747" i="1"/>
  <c r="S747" i="1" s="1"/>
  <c r="T747" i="1" s="1"/>
  <c r="Q695" i="1"/>
  <c r="S695" i="1" s="1"/>
  <c r="T695" i="1" s="1"/>
  <c r="Q682" i="1"/>
  <c r="S682" i="1" s="1"/>
  <c r="T682" i="1" s="1"/>
  <c r="Q785" i="1"/>
  <c r="S785" i="1" s="1"/>
  <c r="T785" i="1" s="1"/>
  <c r="Q652" i="1"/>
  <c r="S652" i="1" s="1"/>
  <c r="T652" i="1" s="1"/>
  <c r="Q626" i="1"/>
  <c r="S626" i="1" s="1"/>
  <c r="T626" i="1" s="1"/>
  <c r="Q673" i="1"/>
  <c r="S673" i="1" s="1"/>
  <c r="T673" i="1" s="1"/>
  <c r="Q496" i="1"/>
  <c r="S496" i="1" s="1"/>
  <c r="T496" i="1" s="1"/>
  <c r="Q373" i="1"/>
  <c r="S373" i="1" s="1"/>
  <c r="T373" i="1" s="1"/>
  <c r="Q345" i="1"/>
  <c r="S345" i="1" s="1"/>
  <c r="T345" i="1" s="1"/>
  <c r="Q455" i="1"/>
  <c r="S455" i="1" s="1"/>
  <c r="T455" i="1" s="1"/>
  <c r="S383" i="1"/>
  <c r="T383" i="1" s="1"/>
  <c r="Q549" i="1"/>
  <c r="S549" i="1" s="1"/>
  <c r="T549" i="1" s="1"/>
  <c r="Q519" i="1"/>
  <c r="S519" i="1" s="1"/>
  <c r="T519" i="1" s="1"/>
  <c r="Q483" i="1"/>
  <c r="S483" i="1" s="1"/>
  <c r="T483" i="1" s="1"/>
  <c r="Q441" i="1"/>
  <c r="S441" i="1" s="1"/>
  <c r="T441" i="1" s="1"/>
  <c r="Q451" i="1"/>
  <c r="S451" i="1" s="1"/>
  <c r="T451" i="1" s="1"/>
  <c r="Q367" i="1"/>
  <c r="S367" i="1" s="1"/>
  <c r="T367" i="1" s="1"/>
  <c r="S521" i="1"/>
  <c r="T521" i="1" s="1"/>
  <c r="Q773" i="1"/>
  <c r="S773" i="1" s="1"/>
  <c r="T773" i="1" s="1"/>
  <c r="Q692" i="1"/>
  <c r="S692" i="1" s="1"/>
  <c r="T692" i="1" s="1"/>
  <c r="S606" i="1"/>
  <c r="T606" i="1" s="1"/>
  <c r="S542" i="1"/>
  <c r="T542" i="1" s="1"/>
  <c r="Q550" i="1"/>
  <c r="S550" i="1" s="1"/>
  <c r="T550" i="1" s="1"/>
  <c r="Q449" i="1"/>
  <c r="S449" i="1" s="1"/>
  <c r="T449" i="1" s="1"/>
  <c r="Q354" i="1"/>
  <c r="S354" i="1" s="1"/>
  <c r="T354" i="1" s="1"/>
  <c r="S358" i="1"/>
  <c r="T358" i="1" s="1"/>
  <c r="Q298" i="1"/>
  <c r="S298" i="1" s="1"/>
  <c r="T298" i="1" s="1"/>
  <c r="S275" i="1"/>
  <c r="T275" i="1" s="1"/>
  <c r="Q389" i="1"/>
  <c r="S389" i="1" s="1"/>
  <c r="T389" i="1" s="1"/>
  <c r="Q413" i="1"/>
  <c r="S413" i="1" s="1"/>
  <c r="T413" i="1" s="1"/>
  <c r="Q314" i="1"/>
  <c r="S314" i="1" s="1"/>
  <c r="T314" i="1" s="1"/>
  <c r="Q210" i="1"/>
  <c r="S210" i="1" s="1"/>
  <c r="T210" i="1" s="1"/>
  <c r="Q251" i="1"/>
  <c r="S251" i="1" s="1"/>
  <c r="T251" i="1" s="1"/>
  <c r="S334" i="1"/>
  <c r="T334" i="1" s="1"/>
  <c r="Q290" i="1"/>
  <c r="S290" i="1" s="1"/>
  <c r="T290" i="1" s="1"/>
  <c r="Q243" i="1"/>
  <c r="S243" i="1" s="1"/>
  <c r="T243" i="1" s="1"/>
  <c r="Q221" i="1"/>
  <c r="S221" i="1" s="1"/>
  <c r="T221" i="1" s="1"/>
  <c r="S202" i="1"/>
  <c r="T202" i="1" s="1"/>
  <c r="S303" i="1"/>
  <c r="T303" i="1" s="1"/>
  <c r="S353" i="1"/>
  <c r="T353" i="1" s="1"/>
  <c r="Q478" i="1"/>
  <c r="S478" i="1" s="1"/>
  <c r="T478" i="1" s="1"/>
  <c r="Q366" i="1"/>
  <c r="S366" i="1" s="1"/>
  <c r="T366" i="1" s="1"/>
  <c r="Q323" i="1"/>
  <c r="S323" i="1" s="1"/>
  <c r="T323" i="1" s="1"/>
  <c r="Q253" i="1"/>
  <c r="S253" i="1" s="1"/>
  <c r="T253" i="1" s="1"/>
  <c r="Q362" i="1"/>
  <c r="S362" i="1" s="1"/>
  <c r="T362" i="1" s="1"/>
  <c r="Q349" i="1"/>
  <c r="S349" i="1" s="1"/>
  <c r="T349" i="1" s="1"/>
  <c r="Q346" i="1"/>
  <c r="S346" i="1" s="1"/>
  <c r="T346" i="1" s="1"/>
  <c r="Q309" i="1"/>
  <c r="S309" i="1" s="1"/>
  <c r="T309" i="1" s="1"/>
  <c r="Q231" i="1"/>
  <c r="S231" i="1" s="1"/>
  <c r="T231" i="1" s="1"/>
  <c r="S147" i="1"/>
  <c r="T147" i="1" s="1"/>
  <c r="Q132" i="1"/>
  <c r="S132" i="1" s="1"/>
  <c r="T132" i="1" s="1"/>
  <c r="Q67" i="1"/>
  <c r="S67" i="1" s="1"/>
  <c r="T67" i="1" s="1"/>
  <c r="Q97" i="1"/>
  <c r="S97" i="1" s="1"/>
  <c r="T97" i="1" s="1"/>
  <c r="Q247" i="1"/>
  <c r="S247" i="1" s="1"/>
  <c r="T247" i="1" s="1"/>
  <c r="Q337" i="1"/>
  <c r="S337" i="1" s="1"/>
  <c r="T337" i="1" s="1"/>
  <c r="Q208" i="1"/>
  <c r="S208" i="1" s="1"/>
  <c r="T208" i="1" s="1"/>
  <c r="Q177" i="1"/>
  <c r="S177" i="1" s="1"/>
  <c r="T177" i="1" s="1"/>
  <c r="Q321" i="1"/>
  <c r="S321" i="1" s="1"/>
  <c r="T321" i="1" s="1"/>
  <c r="Q230" i="1"/>
  <c r="S230" i="1" s="1"/>
  <c r="T230" i="1" s="1"/>
  <c r="Q260" i="1"/>
  <c r="S260" i="1" s="1"/>
  <c r="T260" i="1" s="1"/>
  <c r="Q246" i="1"/>
  <c r="S246" i="1" s="1"/>
  <c r="T246" i="1" s="1"/>
  <c r="Q81" i="1"/>
  <c r="S81" i="1" s="1"/>
  <c r="T81" i="1" s="1"/>
  <c r="Q137" i="1"/>
  <c r="S137" i="1" s="1"/>
  <c r="T137" i="1" s="1"/>
  <c r="Q56" i="1"/>
  <c r="S56" i="1" s="1"/>
  <c r="T56" i="1" s="1"/>
  <c r="Q92" i="1"/>
  <c r="S92" i="1" s="1"/>
  <c r="T92" i="1" s="1"/>
  <c r="Q328" i="1"/>
  <c r="S328" i="1" s="1"/>
  <c r="T328" i="1" s="1"/>
  <c r="Q148" i="1"/>
  <c r="S148" i="1" s="1"/>
  <c r="T148" i="1" s="1"/>
  <c r="Q98" i="1"/>
  <c r="S98" i="1" s="1"/>
  <c r="T98" i="1" s="1"/>
  <c r="Q296" i="1"/>
  <c r="S296" i="1" s="1"/>
  <c r="T296" i="1" s="1"/>
  <c r="Q212" i="1"/>
  <c r="S212" i="1" s="1"/>
  <c r="T212" i="1" s="1"/>
  <c r="Q278" i="1"/>
  <c r="S278" i="1" s="1"/>
  <c r="T278" i="1" s="1"/>
  <c r="Q1035" i="1"/>
  <c r="S1035" i="1" s="1"/>
  <c r="T1035" i="1" s="1"/>
  <c r="Q19" i="1"/>
  <c r="S19" i="1" s="1"/>
  <c r="T19" i="1" s="1"/>
  <c r="Q76" i="1"/>
  <c r="S76" i="1" s="1"/>
  <c r="T76" i="1" s="1"/>
  <c r="Q180" i="1"/>
  <c r="S180" i="1" s="1"/>
  <c r="T180" i="1" s="1"/>
  <c r="Q28" i="1"/>
  <c r="S28" i="1" s="1"/>
  <c r="T28" i="1" s="1"/>
  <c r="Q7" i="1"/>
  <c r="S7" i="1" s="1"/>
  <c r="T7" i="1" s="1"/>
  <c r="Q44" i="1"/>
  <c r="S44" i="1" s="1"/>
  <c r="T44" i="1" s="1"/>
  <c r="Q175" i="1"/>
  <c r="S175" i="1" s="1"/>
  <c r="T175" i="1" s="1"/>
  <c r="Q71" i="1"/>
  <c r="S71" i="1" s="1"/>
  <c r="T71" i="1" s="1"/>
  <c r="Q87" i="1"/>
  <c r="S87" i="1" s="1"/>
  <c r="T87" i="1" s="1"/>
  <c r="Q1043" i="1"/>
  <c r="S1043" i="1" s="1"/>
  <c r="T1043" i="1" s="1"/>
  <c r="Q143" i="1"/>
  <c r="S143" i="1" s="1"/>
  <c r="T143" i="1" s="1"/>
  <c r="Q119" i="1"/>
  <c r="S119" i="1" s="1"/>
  <c r="T119" i="1" s="1"/>
  <c r="Q18" i="1"/>
  <c r="S18" i="1" s="1"/>
  <c r="T18" i="1" s="1"/>
  <c r="Q127" i="1"/>
  <c r="S127" i="1" s="1"/>
  <c r="T127" i="1" s="1"/>
  <c r="Q103" i="1"/>
  <c r="S103" i="1" s="1"/>
  <c r="T103" i="1" s="1"/>
  <c r="Q1038" i="1"/>
  <c r="S1038" i="1" s="1"/>
  <c r="T1038" i="1" s="1"/>
</calcChain>
</file>

<file path=xl/sharedStrings.xml><?xml version="1.0" encoding="utf-8"?>
<sst xmlns="http://schemas.openxmlformats.org/spreadsheetml/2006/main" count="3702" uniqueCount="59">
  <si>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</si>
  <si>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</si>
  <si>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</si>
  <si>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</si>
  <si>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</si>
  <si>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</si>
  <si>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</si>
  <si>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</si>
  <si>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</si>
  <si>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</si>
  <si>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</si>
  <si>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</si>
  <si>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 xml:space="preserve">Post-Dry Mass  (Filter/Zip/Sed Total, g) </t>
  </si>
  <si>
    <t>Adjusted Filter Mass Recovered (g)</t>
  </si>
  <si>
    <t>Adjusted Filter Surface Area Recovered (cm2)</t>
  </si>
  <si>
    <t>Sediment Mass               (Post-Dry Mass- Adjusted Filter Mass Recovered-Bag Mass, g)</t>
  </si>
  <si>
    <t>Sediment Density (Sediment Mass/Adj Filter SA; g/cm2)</t>
  </si>
  <si>
    <t xml:space="preserve">Flux                        (# of Days Deployed) </t>
  </si>
  <si>
    <t xml:space="preserve">Flux-cm                (Sediment Density/Duration;  g/cm2 per day)  </t>
  </si>
  <si>
    <t xml:space="preserve">Flux-m                  (Sediment Density/Duration; g/m2 per day) </t>
  </si>
  <si>
    <t>P1</t>
  </si>
  <si>
    <t xml:space="preserve">B </t>
  </si>
  <si>
    <t xml:space="preserve">a </t>
  </si>
  <si>
    <t xml:space="preserve">b </t>
  </si>
  <si>
    <t>c</t>
  </si>
  <si>
    <t xml:space="preserve"> </t>
  </si>
  <si>
    <t xml:space="preserve">No M1 </t>
  </si>
  <si>
    <t>NA</t>
  </si>
  <si>
    <t>18a</t>
  </si>
  <si>
    <t xml:space="preserve">E1 </t>
  </si>
  <si>
    <t>18b</t>
  </si>
  <si>
    <t xml:space="preserve">E2 </t>
  </si>
  <si>
    <t xml:space="preserve">18c </t>
  </si>
  <si>
    <t>E3</t>
  </si>
  <si>
    <t xml:space="preserve">E4 </t>
  </si>
  <si>
    <t>M1</t>
  </si>
  <si>
    <t>G</t>
  </si>
  <si>
    <t>C</t>
  </si>
  <si>
    <t>No M1</t>
  </si>
  <si>
    <t xml:space="preserve">0? </t>
  </si>
  <si>
    <t>S</t>
  </si>
  <si>
    <t>0.50?</t>
  </si>
  <si>
    <t>0.25?</t>
  </si>
  <si>
    <t>M2</t>
  </si>
  <si>
    <t>B</t>
  </si>
  <si>
    <t xml:space="preserve">c </t>
  </si>
  <si>
    <t xml:space="preserve">M2 </t>
  </si>
  <si>
    <t>a</t>
  </si>
  <si>
    <t xml:space="preserve">E-1 </t>
  </si>
  <si>
    <t xml:space="preserve">E-2 </t>
  </si>
  <si>
    <t xml:space="preserve">E-3 </t>
  </si>
  <si>
    <t xml:space="preserve">E-4 </t>
  </si>
  <si>
    <t xml:space="preserve">0.75? </t>
  </si>
  <si>
    <t>0.75?</t>
  </si>
  <si>
    <t>M3</t>
  </si>
  <si>
    <t>M4</t>
  </si>
  <si>
    <t xml:space="preserve">M5 </t>
  </si>
  <si>
    <t>M5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</si>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</sst>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C9D6-BEE0-4F6C-8C63-544E7E8447A1}">
  <dimension ref="A1:T1058"/>
  <sheetViews>
    <sheetView tabSelected="1" topLeftCell="A121" workbookViewId="0">
      <selection activeCell="T122" sqref="T122:T157"/>
    </sheetView>
  </sheetViews>
  <sheetFormatPr defaultRowHeight="14.4" x14ac:dyDescent="0.3"/>
  <sheetData>
    <row r="1" spans="1:20" s="2" customFormat="1" ht="14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35</v>
      </c>
      <c r="B2" t="s">
        <v>21</v>
      </c>
      <c r="C2">
        <v>1</v>
      </c>
      <c r="D2">
        <v>0.5</v>
      </c>
      <c r="E2" t="s">
        <v>22</v>
      </c>
      <c r="F2">
        <v>0.44001000000000001</v>
      </c>
      <c r="G2" s="1">
        <v>45846</v>
      </c>
      <c r="H2">
        <v>6.33622</v>
      </c>
      <c r="I2" s="1">
        <v>45874</v>
      </c>
      <c r="J2">
        <v>63.617251160000002</v>
      </c>
      <c r="K2">
        <v>5.31</v>
      </c>
      <c r="L2">
        <v>0.75</v>
      </c>
      <c r="M2">
        <v>7.0936599999999999</v>
      </c>
      <c r="N2">
        <f>L2*F2</f>
        <v>0.33000750000000001</v>
      </c>
      <c r="O2">
        <f>L2*J2</f>
        <v>47.712938370000003</v>
      </c>
      <c r="P2">
        <f>M2-N2-H2</f>
        <v>0.4274325000000001</v>
      </c>
      <c r="Q2">
        <f>P2/O2</f>
        <v>8.9584191333047861E-3</v>
      </c>
      <c r="R2">
        <f>I2-G2</f>
        <v>28</v>
      </c>
      <c r="S2">
        <f>Q2/R2</f>
        <v>3.1994354047517091E-4</v>
      </c>
      <c r="T2">
        <f>S2*10000</f>
        <v>3.1994354047517093</v>
      </c>
    </row>
    <row r="3" spans="1:20" x14ac:dyDescent="0.3">
      <c r="A3" t="s">
        <v>35</v>
      </c>
      <c r="B3" t="s">
        <v>21</v>
      </c>
      <c r="C3">
        <v>1</v>
      </c>
      <c r="D3">
        <v>0.5</v>
      </c>
      <c r="E3" t="s">
        <v>23</v>
      </c>
      <c r="F3">
        <v>0.42712</v>
      </c>
      <c r="G3" s="1">
        <v>45846</v>
      </c>
      <c r="H3">
        <v>6.3642500000000002</v>
      </c>
      <c r="I3" s="1">
        <v>45874</v>
      </c>
      <c r="J3">
        <v>63.617251160000002</v>
      </c>
      <c r="K3">
        <v>5.31</v>
      </c>
      <c r="L3">
        <v>0.5</v>
      </c>
      <c r="M3">
        <v>6.9312699999999996</v>
      </c>
      <c r="N3">
        <f>L3*F3</f>
        <v>0.21356</v>
      </c>
      <c r="O3">
        <f>L3*J3</f>
        <v>31.808625580000001</v>
      </c>
      <c r="P3">
        <f>M3-N3-H3</f>
        <v>0.35345999999999922</v>
      </c>
      <c r="Q3">
        <f>P3/O3</f>
        <v>1.1112080247259751E-2</v>
      </c>
      <c r="R3">
        <f>I3-G3</f>
        <v>28</v>
      </c>
      <c r="S3">
        <f>Q3/R3</f>
        <v>3.9686000883070539E-4</v>
      </c>
      <c r="T3">
        <f>S3*10000</f>
        <v>3.968600088307054</v>
      </c>
    </row>
    <row r="4" spans="1:20" x14ac:dyDescent="0.3">
      <c r="A4" t="s">
        <v>35</v>
      </c>
      <c r="B4" t="s">
        <v>21</v>
      </c>
      <c r="C4">
        <v>1</v>
      </c>
      <c r="D4">
        <v>0.5</v>
      </c>
      <c r="E4" t="s">
        <v>24</v>
      </c>
      <c r="F4">
        <v>0.42549999999999999</v>
      </c>
      <c r="G4" s="1">
        <v>45846</v>
      </c>
      <c r="H4">
        <v>6.3477899999999998</v>
      </c>
      <c r="I4" s="1">
        <v>45874</v>
      </c>
      <c r="J4">
        <v>63.617251160000002</v>
      </c>
      <c r="K4">
        <v>5.31</v>
      </c>
      <c r="L4">
        <v>0.25</v>
      </c>
      <c r="M4">
        <v>6.7907400000000004</v>
      </c>
      <c r="N4">
        <f>L4*F4</f>
        <v>0.106375</v>
      </c>
      <c r="O4">
        <f>L4*J4</f>
        <v>15.904312790000001</v>
      </c>
      <c r="P4">
        <f>M4-N4-H4</f>
        <v>0.33657500000000073</v>
      </c>
      <c r="Q4">
        <f>P4/O4</f>
        <v>2.1162498779049774E-2</v>
      </c>
      <c r="R4">
        <f>I4-G4</f>
        <v>28</v>
      </c>
      <c r="S4">
        <f>Q4/R4</f>
        <v>7.5580352782320624E-4</v>
      </c>
      <c r="T4">
        <f>S4*10000</f>
        <v>7.5580352782320626</v>
      </c>
    </row>
    <row r="5" spans="1:20" x14ac:dyDescent="0.3">
      <c r="A5" t="s">
        <v>35</v>
      </c>
      <c r="B5" t="s">
        <v>21</v>
      </c>
      <c r="C5">
        <v>1</v>
      </c>
      <c r="D5">
        <v>2</v>
      </c>
      <c r="E5" t="s">
        <v>22</v>
      </c>
      <c r="F5">
        <v>0.44051000000000001</v>
      </c>
      <c r="G5" s="1">
        <v>45846</v>
      </c>
      <c r="H5">
        <v>6.30105</v>
      </c>
      <c r="I5" s="1">
        <v>45874</v>
      </c>
      <c r="J5">
        <v>63.617251160000002</v>
      </c>
      <c r="K5">
        <v>5.31</v>
      </c>
      <c r="L5">
        <v>1</v>
      </c>
      <c r="M5">
        <v>7.0908899999999999</v>
      </c>
      <c r="N5">
        <f>L5*F5</f>
        <v>0.44051000000000001</v>
      </c>
      <c r="O5">
        <f>L5*J5</f>
        <v>63.617251160000002</v>
      </c>
      <c r="P5">
        <f>M5-N5-H5</f>
        <v>0.34933000000000014</v>
      </c>
      <c r="Q5">
        <f>P5/O5</f>
        <v>5.4911206257783887E-3</v>
      </c>
      <c r="R5">
        <f>I5-G5</f>
        <v>28</v>
      </c>
      <c r="S5">
        <f>Q5/R5</f>
        <v>1.9611145092065675E-4</v>
      </c>
      <c r="T5">
        <f>S5*10000</f>
        <v>1.9611145092065676</v>
      </c>
    </row>
    <row r="6" spans="1:20" x14ac:dyDescent="0.3">
      <c r="A6" t="s">
        <v>35</v>
      </c>
      <c r="B6" t="s">
        <v>21</v>
      </c>
      <c r="C6">
        <v>1</v>
      </c>
      <c r="D6">
        <v>2</v>
      </c>
      <c r="E6" t="s">
        <v>23</v>
      </c>
      <c r="F6">
        <v>0.44240000000000002</v>
      </c>
      <c r="G6" s="1">
        <v>45846</v>
      </c>
      <c r="H6">
        <v>6.4134700000000002</v>
      </c>
      <c r="I6" s="1">
        <v>45874</v>
      </c>
      <c r="J6">
        <v>63.617251160000002</v>
      </c>
      <c r="K6">
        <v>5.31</v>
      </c>
      <c r="L6">
        <v>1</v>
      </c>
      <c r="M6">
        <v>7.1267199999999997</v>
      </c>
      <c r="N6">
        <f>L6*F6</f>
        <v>0.44240000000000002</v>
      </c>
      <c r="O6">
        <f>L6*J6</f>
        <v>63.617251160000002</v>
      </c>
      <c r="P6">
        <f>M6-N6-H6</f>
        <v>0.27084999999999937</v>
      </c>
      <c r="Q6">
        <f>P6/O6</f>
        <v>4.2574929765324268E-3</v>
      </c>
      <c r="R6">
        <f>I6-G6</f>
        <v>28</v>
      </c>
      <c r="S6">
        <f>Q6/R6</f>
        <v>1.5205332059044382E-4</v>
      </c>
      <c r="T6">
        <f>S6*10000</f>
        <v>1.5205332059044381</v>
      </c>
    </row>
    <row r="7" spans="1:20" x14ac:dyDescent="0.3">
      <c r="A7" t="s">
        <v>35</v>
      </c>
      <c r="B7" t="s">
        <v>21</v>
      </c>
      <c r="C7">
        <v>1</v>
      </c>
      <c r="D7">
        <v>2</v>
      </c>
      <c r="E7" t="s">
        <v>24</v>
      </c>
      <c r="F7">
        <v>0.42581000000000002</v>
      </c>
      <c r="G7" s="1">
        <v>45846</v>
      </c>
      <c r="H7">
        <v>6.34239</v>
      </c>
      <c r="I7" s="1">
        <v>45874</v>
      </c>
      <c r="J7">
        <v>63.617251160000002</v>
      </c>
      <c r="K7">
        <v>5.31</v>
      </c>
      <c r="L7">
        <v>1</v>
      </c>
      <c r="M7">
        <v>7.2990500000000003</v>
      </c>
      <c r="N7">
        <f>L7*F7</f>
        <v>0.42581000000000002</v>
      </c>
      <c r="O7">
        <f>L7*J7</f>
        <v>63.617251160000002</v>
      </c>
      <c r="P7">
        <f>M7-N7-H7</f>
        <v>0.53085000000000004</v>
      </c>
      <c r="Q7">
        <f>P7/O7</f>
        <v>8.3444347298956764E-3</v>
      </c>
      <c r="R7">
        <f>I7-G7</f>
        <v>28</v>
      </c>
      <c r="S7">
        <f>Q7/R7</f>
        <v>2.9801552606770274E-4</v>
      </c>
      <c r="T7">
        <f>S7*10000</f>
        <v>2.9801552606770274</v>
      </c>
    </row>
    <row r="8" spans="1:20" x14ac:dyDescent="0.3">
      <c r="A8" t="s">
        <v>35</v>
      </c>
      <c r="B8" t="s">
        <v>21</v>
      </c>
      <c r="C8">
        <v>1</v>
      </c>
      <c r="D8">
        <v>6</v>
      </c>
      <c r="E8" t="s">
        <v>22</v>
      </c>
      <c r="F8">
        <v>0.44106000000000001</v>
      </c>
      <c r="G8" s="1">
        <v>45846</v>
      </c>
      <c r="H8">
        <v>6.3859700000000004</v>
      </c>
      <c r="I8" s="1">
        <v>45874</v>
      </c>
      <c r="J8">
        <v>63.617251160000002</v>
      </c>
      <c r="K8">
        <v>5.31</v>
      </c>
      <c r="L8">
        <v>1</v>
      </c>
      <c r="M8">
        <v>7.7585800000000003</v>
      </c>
      <c r="N8">
        <f>L8*F8</f>
        <v>0.44106000000000001</v>
      </c>
      <c r="O8">
        <f>L8*J8</f>
        <v>63.617251160000002</v>
      </c>
      <c r="P8">
        <f>M8-N8-H8</f>
        <v>0.93154999999999966</v>
      </c>
      <c r="Q8">
        <f>P8/O8</f>
        <v>1.4643040732098172E-2</v>
      </c>
      <c r="R8">
        <f>I8-G8</f>
        <v>28</v>
      </c>
      <c r="S8">
        <f>Q8/R8</f>
        <v>5.2296574043207754E-4</v>
      </c>
      <c r="T8">
        <f>S8*10000</f>
        <v>5.2296574043207755</v>
      </c>
    </row>
    <row r="9" spans="1:20" x14ac:dyDescent="0.3">
      <c r="A9" t="s">
        <v>35</v>
      </c>
      <c r="B9" t="s">
        <v>21</v>
      </c>
      <c r="C9">
        <v>1</v>
      </c>
      <c r="D9">
        <v>6</v>
      </c>
      <c r="E9" t="s">
        <v>23</v>
      </c>
      <c r="F9">
        <v>0.43986999999999998</v>
      </c>
      <c r="G9" s="1">
        <v>45846</v>
      </c>
      <c r="H9">
        <v>6.3587800000000003</v>
      </c>
      <c r="I9" s="1">
        <v>45874</v>
      </c>
      <c r="J9">
        <v>63.617251160000002</v>
      </c>
      <c r="K9">
        <v>5.31</v>
      </c>
      <c r="L9">
        <v>1</v>
      </c>
      <c r="M9">
        <v>7.3174599999999996</v>
      </c>
      <c r="N9">
        <f>L9*F9</f>
        <v>0.43986999999999998</v>
      </c>
      <c r="O9">
        <f>L9*J9</f>
        <v>63.617251160000002</v>
      </c>
      <c r="P9">
        <f>M9-N9-H9</f>
        <v>0.51880999999999933</v>
      </c>
      <c r="Q9">
        <f>P9/O9</f>
        <v>8.1551778887014592E-3</v>
      </c>
      <c r="R9">
        <f>I9-G9</f>
        <v>28</v>
      </c>
      <c r="S9">
        <f>Q9/R9</f>
        <v>2.9125635316790924E-4</v>
      </c>
      <c r="T9">
        <f>S9*10000</f>
        <v>2.9125635316790923</v>
      </c>
    </row>
    <row r="10" spans="1:20" x14ac:dyDescent="0.3">
      <c r="A10" t="s">
        <v>35</v>
      </c>
      <c r="B10" t="s">
        <v>21</v>
      </c>
      <c r="C10">
        <v>1</v>
      </c>
      <c r="D10">
        <v>6</v>
      </c>
      <c r="E10" t="s">
        <v>24</v>
      </c>
      <c r="F10">
        <v>0.42692999999999998</v>
      </c>
      <c r="G10" s="1">
        <v>45846</v>
      </c>
      <c r="H10">
        <v>6.3494099999999998</v>
      </c>
      <c r="I10" s="1">
        <v>45874</v>
      </c>
      <c r="J10">
        <v>63.617251160000002</v>
      </c>
      <c r="K10">
        <v>5.31</v>
      </c>
      <c r="L10">
        <v>1</v>
      </c>
      <c r="M10">
        <v>7.8080999999999996</v>
      </c>
      <c r="N10">
        <f>L10*F10</f>
        <v>0.42692999999999998</v>
      </c>
      <c r="O10">
        <f>L10*J10</f>
        <v>63.617251160000002</v>
      </c>
      <c r="P10">
        <f>M10-N10-H10</f>
        <v>1.0317600000000002</v>
      </c>
      <c r="Q10">
        <f>P10/O10</f>
        <v>1.6218242397884833E-2</v>
      </c>
      <c r="R10">
        <f>I10-G10</f>
        <v>28</v>
      </c>
      <c r="S10">
        <f>Q10/R10</f>
        <v>5.7922294278160117E-4</v>
      </c>
      <c r="T10">
        <f>S10*10000</f>
        <v>5.7922294278160118</v>
      </c>
    </row>
    <row r="11" spans="1:20" x14ac:dyDescent="0.3">
      <c r="A11" t="s">
        <v>35</v>
      </c>
      <c r="B11" t="s">
        <v>21</v>
      </c>
      <c r="C11">
        <v>1</v>
      </c>
      <c r="D11">
        <v>12</v>
      </c>
      <c r="E11" t="s">
        <v>22</v>
      </c>
      <c r="F11">
        <v>0.44022</v>
      </c>
      <c r="G11" s="1">
        <v>45846</v>
      </c>
      <c r="H11">
        <v>6.3393300000000004</v>
      </c>
      <c r="I11" s="1">
        <v>45874</v>
      </c>
      <c r="J11">
        <v>63.617251160000002</v>
      </c>
      <c r="K11">
        <v>5.31</v>
      </c>
      <c r="L11">
        <v>1</v>
      </c>
      <c r="M11">
        <v>7.0742599999999998</v>
      </c>
      <c r="N11">
        <f>L11*F11</f>
        <v>0.44022</v>
      </c>
      <c r="O11">
        <f>L11*J11</f>
        <v>63.617251160000002</v>
      </c>
      <c r="P11">
        <f>M11-N11-H11</f>
        <v>0.29470999999999936</v>
      </c>
      <c r="Q11">
        <f>P11/O11</f>
        <v>4.6325484774372219E-3</v>
      </c>
      <c r="R11">
        <f>I11-G11</f>
        <v>28</v>
      </c>
      <c r="S11">
        <f>Q11/R11</f>
        <v>1.6544815990847221E-4</v>
      </c>
      <c r="T11">
        <f>S11*10000</f>
        <v>1.6544815990847221</v>
      </c>
    </row>
    <row r="12" spans="1:20" x14ac:dyDescent="0.3">
      <c r="A12" t="s">
        <v>35</v>
      </c>
      <c r="B12" t="s">
        <v>21</v>
      </c>
      <c r="C12">
        <v>1</v>
      </c>
      <c r="D12">
        <v>12</v>
      </c>
      <c r="E12" t="s">
        <v>23</v>
      </c>
      <c r="F12">
        <v>0.42603999999999997</v>
      </c>
      <c r="G12" s="1">
        <v>45846</v>
      </c>
      <c r="H12">
        <v>6.3743999999999996</v>
      </c>
      <c r="I12" s="1">
        <v>45874</v>
      </c>
      <c r="J12">
        <v>63.617251160000002</v>
      </c>
      <c r="K12">
        <v>5.31</v>
      </c>
      <c r="L12">
        <v>1</v>
      </c>
      <c r="M12">
        <v>7.8148999999999997</v>
      </c>
      <c r="N12">
        <f>L12*F12</f>
        <v>0.42603999999999997</v>
      </c>
      <c r="O12">
        <f>L12*J12</f>
        <v>63.617251160000002</v>
      </c>
      <c r="P12">
        <f>M12-N12-H12</f>
        <v>1.0144599999999997</v>
      </c>
      <c r="Q12">
        <f>P12/O12</f>
        <v>1.5946303581218735E-2</v>
      </c>
      <c r="R12">
        <f>I12-G12</f>
        <v>28</v>
      </c>
      <c r="S12">
        <f>Q12/R12</f>
        <v>5.6951084218638342E-4</v>
      </c>
      <c r="T12">
        <f>S12*10000</f>
        <v>5.6951084218638339</v>
      </c>
    </row>
    <row r="13" spans="1:20" x14ac:dyDescent="0.3">
      <c r="A13" t="s">
        <v>35</v>
      </c>
      <c r="B13" t="s">
        <v>21</v>
      </c>
      <c r="C13">
        <v>1</v>
      </c>
      <c r="D13">
        <v>12</v>
      </c>
      <c r="E13" t="s">
        <v>24</v>
      </c>
      <c r="F13">
        <v>0.44340000000000002</v>
      </c>
      <c r="G13" s="1">
        <v>45846</v>
      </c>
      <c r="H13">
        <v>6.3233100000000002</v>
      </c>
      <c r="I13" s="1">
        <v>45874</v>
      </c>
      <c r="J13">
        <v>63.617251160000002</v>
      </c>
      <c r="K13">
        <v>5.31</v>
      </c>
      <c r="L13">
        <v>1</v>
      </c>
      <c r="M13">
        <v>7.1528400000000003</v>
      </c>
      <c r="N13">
        <f>L13*F13</f>
        <v>0.44340000000000002</v>
      </c>
      <c r="O13">
        <f>L13*J13</f>
        <v>63.617251160000002</v>
      </c>
      <c r="P13">
        <f>M13-N13-H13</f>
        <v>0.38613000000000053</v>
      </c>
      <c r="Q13">
        <f>P13/O13</f>
        <v>6.0695800739467305E-3</v>
      </c>
      <c r="R13">
        <f>I13-G13</f>
        <v>28</v>
      </c>
      <c r="S13">
        <f>Q13/R13</f>
        <v>2.1677071692666894E-4</v>
      </c>
      <c r="T13">
        <f>S13*10000</f>
        <v>2.1677071692666892</v>
      </c>
    </row>
    <row r="14" spans="1:20" x14ac:dyDescent="0.3">
      <c r="A14" t="s">
        <v>35</v>
      </c>
      <c r="B14" t="s">
        <v>21</v>
      </c>
      <c r="C14">
        <v>1</v>
      </c>
      <c r="D14">
        <v>18</v>
      </c>
      <c r="E14" t="s">
        <v>22</v>
      </c>
      <c r="F14">
        <v>0.42207</v>
      </c>
      <c r="G14" s="1">
        <v>45846</v>
      </c>
      <c r="H14">
        <v>6.3138699999999996</v>
      </c>
      <c r="I14" s="1">
        <v>45874</v>
      </c>
      <c r="J14">
        <v>63.617251160000002</v>
      </c>
      <c r="K14">
        <v>5.31</v>
      </c>
      <c r="L14">
        <v>1</v>
      </c>
      <c r="M14">
        <v>7.2129799999999999</v>
      </c>
      <c r="N14">
        <f>L14*F14</f>
        <v>0.42207</v>
      </c>
      <c r="O14">
        <f>L14*J14</f>
        <v>63.617251160000002</v>
      </c>
      <c r="P14">
        <f>M14-N14-H14</f>
        <v>0.47704000000000057</v>
      </c>
      <c r="Q14">
        <f>P14/O14</f>
        <v>7.4985949770169317E-3</v>
      </c>
      <c r="R14">
        <f>I14-G14</f>
        <v>28</v>
      </c>
      <c r="S14">
        <f>Q14/R14</f>
        <v>2.6780696346489043E-4</v>
      </c>
      <c r="T14">
        <f>S14*10000</f>
        <v>2.6780696346489044</v>
      </c>
    </row>
    <row r="15" spans="1:20" x14ac:dyDescent="0.3">
      <c r="A15" t="s">
        <v>35</v>
      </c>
      <c r="B15" t="s">
        <v>21</v>
      </c>
      <c r="C15">
        <v>1</v>
      </c>
      <c r="D15">
        <v>18</v>
      </c>
      <c r="E15" t="s">
        <v>23</v>
      </c>
      <c r="F15">
        <v>0.43448999999999999</v>
      </c>
      <c r="G15" s="1">
        <v>45846</v>
      </c>
      <c r="H15">
        <v>6.5303000000000004</v>
      </c>
      <c r="I15" s="1">
        <v>45874</v>
      </c>
      <c r="J15">
        <v>63.617251160000002</v>
      </c>
      <c r="K15">
        <v>5.31</v>
      </c>
      <c r="L15">
        <v>1</v>
      </c>
      <c r="M15">
        <v>7.4493799999999997</v>
      </c>
      <c r="N15">
        <f>L15*F15</f>
        <v>0.43448999999999999</v>
      </c>
      <c r="O15">
        <f>L15*J15</f>
        <v>63.617251160000002</v>
      </c>
      <c r="P15">
        <f>M15-N15-H15</f>
        <v>0.48458999999999897</v>
      </c>
      <c r="Q15">
        <f>P15/O15</f>
        <v>7.6172734779318772E-3</v>
      </c>
      <c r="R15">
        <f>I15-G15</f>
        <v>28</v>
      </c>
      <c r="S15">
        <f>Q15/R15</f>
        <v>2.7204548135470989E-4</v>
      </c>
      <c r="T15">
        <f>S15*10000</f>
        <v>2.7204548135470987</v>
      </c>
    </row>
    <row r="16" spans="1:20" x14ac:dyDescent="0.3">
      <c r="A16" t="s">
        <v>35</v>
      </c>
      <c r="B16" t="s">
        <v>21</v>
      </c>
      <c r="C16">
        <v>1</v>
      </c>
      <c r="D16">
        <v>18</v>
      </c>
      <c r="E16" t="s">
        <v>24</v>
      </c>
      <c r="F16">
        <v>0.43475000000000003</v>
      </c>
      <c r="G16" s="1">
        <v>45846</v>
      </c>
      <c r="H16">
        <v>6.3283699999999996</v>
      </c>
      <c r="I16" s="1">
        <v>45874</v>
      </c>
      <c r="J16">
        <v>63.617251160000002</v>
      </c>
      <c r="K16">
        <v>5.31</v>
      </c>
      <c r="L16">
        <v>1</v>
      </c>
      <c r="M16">
        <v>7.2837300000000003</v>
      </c>
      <c r="N16">
        <f>L16*F16</f>
        <v>0.43475000000000003</v>
      </c>
      <c r="O16">
        <f>L16*J16</f>
        <v>63.617251160000002</v>
      </c>
      <c r="P16">
        <f>M16-N16-H16</f>
        <v>0.52061000000000046</v>
      </c>
      <c r="Q16">
        <f>P16/O16</f>
        <v>8.1834721008401459E-3</v>
      </c>
      <c r="R16">
        <f>I16-G16</f>
        <v>28</v>
      </c>
      <c r="S16">
        <f>Q16/R16</f>
        <v>2.922668607442909E-4</v>
      </c>
      <c r="T16">
        <f>S16*10000</f>
        <v>2.9226686074429091</v>
      </c>
    </row>
    <row r="17" spans="1:20" x14ac:dyDescent="0.3">
      <c r="A17" t="s">
        <v>35</v>
      </c>
      <c r="B17" t="s">
        <v>21</v>
      </c>
      <c r="C17">
        <v>1</v>
      </c>
      <c r="D17">
        <v>24</v>
      </c>
      <c r="E17" t="s">
        <v>22</v>
      </c>
      <c r="F17">
        <v>0.42605999999999999</v>
      </c>
      <c r="G17" s="1">
        <v>45846</v>
      </c>
      <c r="H17">
        <v>6.3905700000000003</v>
      </c>
      <c r="I17" s="1">
        <v>45874</v>
      </c>
      <c r="J17">
        <v>63.617251160000002</v>
      </c>
      <c r="K17">
        <v>5.31</v>
      </c>
      <c r="L17">
        <v>1</v>
      </c>
      <c r="M17">
        <v>7.4946299999999999</v>
      </c>
      <c r="N17">
        <f>L17*F17</f>
        <v>0.42605999999999999</v>
      </c>
      <c r="O17">
        <f>L17*J17</f>
        <v>63.617251160000002</v>
      </c>
      <c r="P17">
        <f>M17-N17-H17</f>
        <v>0.67799999999999994</v>
      </c>
      <c r="Q17">
        <f>P17/O17</f>
        <v>1.0657486572231832E-2</v>
      </c>
      <c r="R17">
        <f>I17-G17</f>
        <v>28</v>
      </c>
      <c r="S17">
        <f>Q17/R17</f>
        <v>3.8062452043685115E-4</v>
      </c>
      <c r="T17">
        <f>S17*10000</f>
        <v>3.8062452043685115</v>
      </c>
    </row>
    <row r="18" spans="1:20" x14ac:dyDescent="0.3">
      <c r="A18" t="s">
        <v>35</v>
      </c>
      <c r="B18" t="s">
        <v>21</v>
      </c>
      <c r="C18">
        <v>1</v>
      </c>
      <c r="D18">
        <v>24</v>
      </c>
      <c r="E18" t="s">
        <v>23</v>
      </c>
      <c r="F18">
        <v>0.44155</v>
      </c>
      <c r="G18" s="1">
        <v>45846</v>
      </c>
      <c r="H18">
        <v>6.3825000000000003</v>
      </c>
      <c r="I18" s="1">
        <v>45874</v>
      </c>
      <c r="J18">
        <v>63.617251160000002</v>
      </c>
      <c r="K18">
        <v>5.31</v>
      </c>
      <c r="L18">
        <v>1</v>
      </c>
      <c r="M18">
        <v>7.4210099999999999</v>
      </c>
      <c r="N18">
        <f>L18*F18</f>
        <v>0.44155</v>
      </c>
      <c r="O18">
        <f>L18*J18</f>
        <v>63.617251160000002</v>
      </c>
      <c r="P18">
        <f>M18-N18-H18</f>
        <v>0.59695999999999927</v>
      </c>
      <c r="Q18">
        <f>P18/O18</f>
        <v>9.3836182657219859E-3</v>
      </c>
      <c r="R18">
        <f>I18-G18</f>
        <v>28</v>
      </c>
      <c r="S18">
        <f>Q18/R18</f>
        <v>3.3512922377578521E-4</v>
      </c>
      <c r="T18">
        <f>S18*10000</f>
        <v>3.351292237757852</v>
      </c>
    </row>
    <row r="19" spans="1:20" x14ac:dyDescent="0.3">
      <c r="A19" t="s">
        <v>35</v>
      </c>
      <c r="B19" t="s">
        <v>21</v>
      </c>
      <c r="C19">
        <v>1</v>
      </c>
      <c r="D19">
        <v>24</v>
      </c>
      <c r="E19" t="s">
        <v>24</v>
      </c>
      <c r="F19">
        <v>0.44040000000000001</v>
      </c>
      <c r="G19" s="1">
        <v>45846</v>
      </c>
      <c r="H19">
        <v>6.3804999999999996</v>
      </c>
      <c r="I19" s="1">
        <v>45874</v>
      </c>
      <c r="J19">
        <v>63.617251160000002</v>
      </c>
      <c r="K19">
        <v>5.31</v>
      </c>
      <c r="L19">
        <v>1</v>
      </c>
      <c r="M19">
        <v>7.3626899999999997</v>
      </c>
      <c r="N19">
        <f>L19*F19</f>
        <v>0.44040000000000001</v>
      </c>
      <c r="O19">
        <f>L19*J19</f>
        <v>63.617251160000002</v>
      </c>
      <c r="P19">
        <f>M19-N19-H19</f>
        <v>0.54178999999999977</v>
      </c>
      <c r="Q19">
        <f>P19/O19</f>
        <v>8.5164006636718019E-3</v>
      </c>
      <c r="R19">
        <f>I19-G19</f>
        <v>28</v>
      </c>
      <c r="S19">
        <f>Q19/R19</f>
        <v>3.0415716655970721E-4</v>
      </c>
      <c r="T19">
        <f>S19*10000</f>
        <v>3.0415716655970719</v>
      </c>
    </row>
    <row r="20" spans="1:20" x14ac:dyDescent="0.3">
      <c r="A20" t="s">
        <v>35</v>
      </c>
      <c r="B20" t="s">
        <v>21</v>
      </c>
      <c r="C20">
        <v>1</v>
      </c>
      <c r="D20">
        <v>48</v>
      </c>
      <c r="E20" t="s">
        <v>22</v>
      </c>
      <c r="F20">
        <v>0.42637999999999998</v>
      </c>
      <c r="G20" s="1">
        <v>45846</v>
      </c>
      <c r="H20">
        <v>6.3422700000000001</v>
      </c>
      <c r="I20" s="1">
        <v>45874</v>
      </c>
      <c r="J20">
        <v>63.617251160000002</v>
      </c>
      <c r="K20">
        <v>5.31</v>
      </c>
      <c r="L20">
        <v>1</v>
      </c>
      <c r="M20">
        <v>7.6139900000000003</v>
      </c>
      <c r="N20">
        <f>L20*F20</f>
        <v>0.42637999999999998</v>
      </c>
      <c r="O20">
        <f>L20*J20</f>
        <v>63.617251160000002</v>
      </c>
      <c r="P20">
        <f>M20-N20-H20</f>
        <v>0.8453400000000002</v>
      </c>
      <c r="Q20">
        <f>P20/O20</f>
        <v>1.3287905160723392E-2</v>
      </c>
      <c r="R20">
        <f>I20-G20</f>
        <v>28</v>
      </c>
      <c r="S20">
        <f>Q20/R20</f>
        <v>4.7456804145440688E-4</v>
      </c>
      <c r="T20">
        <f>S20*10000</f>
        <v>4.7456804145440685</v>
      </c>
    </row>
    <row r="21" spans="1:20" x14ac:dyDescent="0.3">
      <c r="A21" t="s">
        <v>35</v>
      </c>
      <c r="B21" t="s">
        <v>21</v>
      </c>
      <c r="C21">
        <v>1</v>
      </c>
      <c r="D21">
        <v>48</v>
      </c>
      <c r="E21" t="s">
        <v>23</v>
      </c>
      <c r="F21">
        <v>0.44007000000000002</v>
      </c>
      <c r="G21" s="1">
        <v>45846</v>
      </c>
      <c r="H21">
        <v>6.3035300000000003</v>
      </c>
      <c r="I21" s="1">
        <v>45874</v>
      </c>
      <c r="J21">
        <v>63.617251160000002</v>
      </c>
      <c r="K21">
        <v>5.31</v>
      </c>
      <c r="L21">
        <v>1</v>
      </c>
      <c r="M21">
        <v>7.5907099999999996</v>
      </c>
      <c r="N21">
        <f>L21*F21</f>
        <v>0.44007000000000002</v>
      </c>
      <c r="O21">
        <f>L21*J21</f>
        <v>63.617251160000002</v>
      </c>
      <c r="P21">
        <f>M21-N21-H21</f>
        <v>0.84710999999999892</v>
      </c>
      <c r="Q21">
        <f>P21/O21</f>
        <v>1.331572780265973E-2</v>
      </c>
      <c r="R21">
        <f>I21-G21</f>
        <v>28</v>
      </c>
      <c r="S21">
        <f>Q21/R21</f>
        <v>4.7556170723784749E-4</v>
      </c>
      <c r="T21">
        <f>S21*10000</f>
        <v>4.7556170723784748</v>
      </c>
    </row>
    <row r="22" spans="1:20" x14ac:dyDescent="0.3">
      <c r="A22" t="s">
        <v>35</v>
      </c>
      <c r="B22" t="s">
        <v>21</v>
      </c>
      <c r="C22">
        <v>1</v>
      </c>
      <c r="D22">
        <v>48</v>
      </c>
      <c r="E22" t="s">
        <v>24</v>
      </c>
      <c r="F22">
        <v>0.42473</v>
      </c>
      <c r="G22" s="1">
        <v>45846</v>
      </c>
      <c r="H22">
        <v>6.3178700000000001</v>
      </c>
      <c r="I22" s="1">
        <v>45874</v>
      </c>
      <c r="J22">
        <v>63.617251160000002</v>
      </c>
      <c r="K22">
        <v>5.31</v>
      </c>
      <c r="L22">
        <v>1</v>
      </c>
      <c r="M22">
        <v>8.0701300000000007</v>
      </c>
      <c r="N22">
        <f>L22*F22</f>
        <v>0.42473</v>
      </c>
      <c r="O22">
        <f>L22*J22</f>
        <v>63.617251160000002</v>
      </c>
      <c r="P22">
        <f>M22-N22-H22</f>
        <v>1.3275300000000003</v>
      </c>
      <c r="Q22">
        <f>P22/O22</f>
        <v>2.0867453022470395E-2</v>
      </c>
      <c r="R22">
        <f>I22-G22</f>
        <v>28</v>
      </c>
      <c r="S22">
        <f>Q22/R22</f>
        <v>7.4526617937394264E-4</v>
      </c>
      <c r="T22">
        <f>S22*10000</f>
        <v>7.4526617937394262</v>
      </c>
    </row>
    <row r="23" spans="1:20" x14ac:dyDescent="0.3">
      <c r="A23" t="s">
        <v>35</v>
      </c>
      <c r="B23" t="s">
        <v>21</v>
      </c>
      <c r="C23">
        <v>2</v>
      </c>
      <c r="D23">
        <v>0.5</v>
      </c>
      <c r="E23" t="s">
        <v>22</v>
      </c>
      <c r="F23">
        <v>0.42314000000000002</v>
      </c>
      <c r="G23" s="1">
        <v>45846</v>
      </c>
      <c r="H23">
        <v>6.9617699999999996</v>
      </c>
      <c r="I23" s="1">
        <v>45874</v>
      </c>
      <c r="J23">
        <v>63.617251160000002</v>
      </c>
      <c r="K23">
        <v>5.31</v>
      </c>
      <c r="L23">
        <v>0.5</v>
      </c>
      <c r="M23">
        <v>7.4886299999999997</v>
      </c>
      <c r="N23">
        <f>L23*F23</f>
        <v>0.21157000000000001</v>
      </c>
      <c r="O23">
        <f>L23*J23</f>
        <v>31.808625580000001</v>
      </c>
      <c r="P23">
        <f>M23-N23-H23</f>
        <v>0.31529000000000007</v>
      </c>
      <c r="Q23">
        <f>P23/O23</f>
        <v>9.9120912724453541E-3</v>
      </c>
      <c r="R23">
        <f>I23-G23</f>
        <v>28</v>
      </c>
      <c r="S23">
        <f>Q23/R23</f>
        <v>3.5400325973019122E-4</v>
      </c>
      <c r="T23">
        <f>S23*10000</f>
        <v>3.540032597301912</v>
      </c>
    </row>
    <row r="24" spans="1:20" x14ac:dyDescent="0.3">
      <c r="A24" t="s">
        <v>35</v>
      </c>
      <c r="B24" t="s">
        <v>21</v>
      </c>
      <c r="C24">
        <v>2</v>
      </c>
      <c r="D24">
        <v>0.5</v>
      </c>
      <c r="E24" t="s">
        <v>23</v>
      </c>
      <c r="F24">
        <v>0.43435000000000001</v>
      </c>
      <c r="G24" s="1">
        <v>45846</v>
      </c>
      <c r="H24">
        <v>6.9276799999999996</v>
      </c>
      <c r="I24" s="1">
        <v>45874</v>
      </c>
      <c r="J24">
        <v>63.617251160000002</v>
      </c>
      <c r="K24">
        <v>5.31</v>
      </c>
      <c r="L24">
        <v>0.25</v>
      </c>
      <c r="M24">
        <v>8.5829500000000003</v>
      </c>
      <c r="N24">
        <f>L24*F24</f>
        <v>0.1085875</v>
      </c>
      <c r="O24">
        <f>L24*J24</f>
        <v>15.904312790000001</v>
      </c>
      <c r="P24">
        <f>M24-N24-H24</f>
        <v>1.5466825000000002</v>
      </c>
      <c r="Q24">
        <f>P24/O24</f>
        <v>9.724925059148061E-2</v>
      </c>
      <c r="R24">
        <f>I24-G24</f>
        <v>28</v>
      </c>
      <c r="S24">
        <f>Q24/R24</f>
        <v>3.4731875211243073E-3</v>
      </c>
      <c r="T24">
        <f>S24*10000</f>
        <v>34.731875211243072</v>
      </c>
    </row>
    <row r="25" spans="1:20" x14ac:dyDescent="0.3">
      <c r="A25" t="s">
        <v>35</v>
      </c>
      <c r="B25" t="s">
        <v>21</v>
      </c>
      <c r="C25">
        <v>2</v>
      </c>
      <c r="D25">
        <v>0.5</v>
      </c>
      <c r="E25" t="s">
        <v>24</v>
      </c>
      <c r="F25">
        <v>0.42416999999999999</v>
      </c>
      <c r="G25" s="1">
        <v>45846</v>
      </c>
      <c r="H25">
        <v>6.9869899999999996</v>
      </c>
      <c r="I25" s="1">
        <v>45874</v>
      </c>
      <c r="J25">
        <v>63.617251160000002</v>
      </c>
      <c r="K25">
        <v>5.31</v>
      </c>
      <c r="L25">
        <v>0.75</v>
      </c>
      <c r="M25">
        <v>8.0237800000000004</v>
      </c>
      <c r="N25">
        <f>L25*F25</f>
        <v>0.31812750000000001</v>
      </c>
      <c r="O25">
        <f>L25*J25</f>
        <v>47.712938370000003</v>
      </c>
      <c r="P25">
        <f>M25-N25-H25</f>
        <v>0.71866250000000065</v>
      </c>
      <c r="Q25">
        <f>P25/O25</f>
        <v>1.5062214245263651E-2</v>
      </c>
      <c r="R25">
        <f>I25-G25</f>
        <v>28</v>
      </c>
      <c r="S25">
        <f>Q25/R25</f>
        <v>5.3793622304513036E-4</v>
      </c>
      <c r="T25">
        <f>S25*10000</f>
        <v>5.3793622304513038</v>
      </c>
    </row>
    <row r="26" spans="1:20" x14ac:dyDescent="0.3">
      <c r="A26" t="s">
        <v>35</v>
      </c>
      <c r="B26" t="s">
        <v>21</v>
      </c>
      <c r="C26">
        <v>2</v>
      </c>
      <c r="D26">
        <v>2</v>
      </c>
      <c r="E26" t="s">
        <v>22</v>
      </c>
      <c r="F26">
        <v>0.43547999999999998</v>
      </c>
      <c r="G26" s="1">
        <v>45846</v>
      </c>
      <c r="H26">
        <v>7.0131800000000002</v>
      </c>
      <c r="I26" s="1">
        <v>45874</v>
      </c>
      <c r="J26">
        <v>63.617251160000002</v>
      </c>
      <c r="K26">
        <v>5.31</v>
      </c>
      <c r="L26">
        <v>0.75</v>
      </c>
      <c r="M26">
        <v>8.2403099999999991</v>
      </c>
      <c r="N26">
        <f>L26*F26</f>
        <v>0.32660999999999996</v>
      </c>
      <c r="O26">
        <f>L26*J26</f>
        <v>47.712938370000003</v>
      </c>
      <c r="P26">
        <f>M26-N26-H26</f>
        <v>0.90051999999999932</v>
      </c>
      <c r="Q26">
        <f>P26/O26</f>
        <v>1.887370660378801E-2</v>
      </c>
      <c r="R26">
        <f>I26-G26</f>
        <v>28</v>
      </c>
      <c r="S26">
        <f>Q26/R26</f>
        <v>6.7406095013528608E-4</v>
      </c>
      <c r="T26">
        <f>S26*10000</f>
        <v>6.7406095013528606</v>
      </c>
    </row>
    <row r="27" spans="1:20" x14ac:dyDescent="0.3">
      <c r="A27" t="s">
        <v>35</v>
      </c>
      <c r="B27" t="s">
        <v>21</v>
      </c>
      <c r="C27">
        <v>2</v>
      </c>
      <c r="D27">
        <v>2</v>
      </c>
      <c r="E27" t="s">
        <v>23</v>
      </c>
      <c r="F27">
        <v>0.43514000000000003</v>
      </c>
      <c r="G27" s="1">
        <v>45846</v>
      </c>
      <c r="H27">
        <v>7.0562800000000001</v>
      </c>
      <c r="I27" s="1">
        <v>45874</v>
      </c>
      <c r="J27">
        <v>63.617251160000002</v>
      </c>
      <c r="K27">
        <v>5.31</v>
      </c>
      <c r="L27">
        <v>1</v>
      </c>
      <c r="M27">
        <v>9.0636100000000006</v>
      </c>
      <c r="N27">
        <f>L27*F27</f>
        <v>0.43514000000000003</v>
      </c>
      <c r="O27">
        <f>L27*J27</f>
        <v>63.617251160000002</v>
      </c>
      <c r="P27">
        <f>M27-N27-H27</f>
        <v>1.57219</v>
      </c>
      <c r="Q27">
        <f>P27/O27</f>
        <v>2.4713265212385198E-2</v>
      </c>
      <c r="R27">
        <f>I27-G27</f>
        <v>28</v>
      </c>
      <c r="S27">
        <f>Q27/R27</f>
        <v>8.826166147280428E-4</v>
      </c>
      <c r="T27">
        <f>S27*10000</f>
        <v>8.8261661472804285</v>
      </c>
    </row>
    <row r="28" spans="1:20" x14ac:dyDescent="0.3">
      <c r="A28" t="s">
        <v>35</v>
      </c>
      <c r="B28" t="s">
        <v>21</v>
      </c>
      <c r="C28">
        <v>2</v>
      </c>
      <c r="D28">
        <v>2</v>
      </c>
      <c r="E28" t="s">
        <v>24</v>
      </c>
      <c r="F28">
        <v>0.43568000000000001</v>
      </c>
      <c r="G28" s="1">
        <v>45846</v>
      </c>
      <c r="H28">
        <v>7.01187</v>
      </c>
      <c r="I28" s="1">
        <v>45874</v>
      </c>
      <c r="J28">
        <v>63.617251160000002</v>
      </c>
      <c r="K28">
        <v>5.31</v>
      </c>
      <c r="L28">
        <v>1</v>
      </c>
      <c r="M28">
        <v>8.6881500000000003</v>
      </c>
      <c r="N28">
        <f>L28*F28</f>
        <v>0.43568000000000001</v>
      </c>
      <c r="O28">
        <f>L28*J28</f>
        <v>63.617251160000002</v>
      </c>
      <c r="P28">
        <f>M28-N28-H28</f>
        <v>1.2406000000000006</v>
      </c>
      <c r="Q28">
        <f>P28/O28</f>
        <v>1.9500999766240146E-2</v>
      </c>
      <c r="R28">
        <f>I28-G28</f>
        <v>28</v>
      </c>
      <c r="S28">
        <f>Q28/R28</f>
        <v>6.9646427736571952E-4</v>
      </c>
      <c r="T28">
        <f>S28*10000</f>
        <v>6.9646427736571956</v>
      </c>
    </row>
    <row r="29" spans="1:20" x14ac:dyDescent="0.3">
      <c r="A29" t="s">
        <v>35</v>
      </c>
      <c r="B29" t="s">
        <v>21</v>
      </c>
      <c r="C29">
        <v>2</v>
      </c>
      <c r="D29">
        <v>6</v>
      </c>
      <c r="E29" t="s">
        <v>22</v>
      </c>
      <c r="F29">
        <v>0.42259000000000002</v>
      </c>
      <c r="G29" s="1">
        <v>45846</v>
      </c>
      <c r="H29">
        <v>6.9469599999999998</v>
      </c>
      <c r="I29" s="1">
        <v>45874</v>
      </c>
      <c r="J29">
        <v>63.617251160000002</v>
      </c>
      <c r="K29">
        <v>5.31</v>
      </c>
      <c r="L29">
        <v>1</v>
      </c>
      <c r="M29">
        <v>8.8984699999999997</v>
      </c>
      <c r="N29">
        <f>L29*F29</f>
        <v>0.42259000000000002</v>
      </c>
      <c r="O29">
        <f>L29*J29</f>
        <v>63.617251160000002</v>
      </c>
      <c r="P29">
        <f>M29-N29-H29</f>
        <v>1.5289200000000003</v>
      </c>
      <c r="Q29">
        <f>P29/O29</f>
        <v>2.4033103790585097E-2</v>
      </c>
      <c r="R29">
        <f>I29-G29</f>
        <v>28</v>
      </c>
      <c r="S29">
        <f>Q29/R29</f>
        <v>8.5832513537803924E-4</v>
      </c>
      <c r="T29">
        <f>S29*10000</f>
        <v>8.5832513537803923</v>
      </c>
    </row>
    <row r="30" spans="1:20" x14ac:dyDescent="0.3">
      <c r="A30" t="s">
        <v>35</v>
      </c>
      <c r="B30" t="s">
        <v>21</v>
      </c>
      <c r="C30">
        <v>2</v>
      </c>
      <c r="D30">
        <v>6</v>
      </c>
      <c r="E30" t="s">
        <v>23</v>
      </c>
      <c r="F30">
        <v>0.43375999999999998</v>
      </c>
      <c r="G30" s="1">
        <v>45846</v>
      </c>
      <c r="H30">
        <v>7.0697799999999997</v>
      </c>
      <c r="I30" s="1">
        <v>45874</v>
      </c>
      <c r="J30">
        <v>63.617251160000002</v>
      </c>
      <c r="K30">
        <v>5.31</v>
      </c>
      <c r="L30">
        <v>1</v>
      </c>
      <c r="M30">
        <v>9.4589300000000005</v>
      </c>
      <c r="N30">
        <f>L30*F30</f>
        <v>0.43375999999999998</v>
      </c>
      <c r="O30">
        <f>L30*J30</f>
        <v>63.617251160000002</v>
      </c>
      <c r="P30">
        <f>M30-N30-H30</f>
        <v>1.9553900000000013</v>
      </c>
      <c r="Q30">
        <f>P30/O30</f>
        <v>3.0736788596572886E-2</v>
      </c>
      <c r="R30">
        <f>I30-G30</f>
        <v>28</v>
      </c>
      <c r="S30">
        <f>Q30/R30</f>
        <v>1.0977424498776031E-3</v>
      </c>
      <c r="T30">
        <f>S30*10000</f>
        <v>10.977424498776031</v>
      </c>
    </row>
    <row r="31" spans="1:20" x14ac:dyDescent="0.3">
      <c r="A31" t="s">
        <v>35</v>
      </c>
      <c r="B31" t="s">
        <v>21</v>
      </c>
      <c r="C31">
        <v>2</v>
      </c>
      <c r="D31">
        <v>6</v>
      </c>
      <c r="E31" t="s">
        <v>24</v>
      </c>
      <c r="F31">
        <v>0.42444999999999999</v>
      </c>
      <c r="G31" s="1">
        <v>45846</v>
      </c>
      <c r="H31">
        <v>7.0239099999999999</v>
      </c>
      <c r="I31" s="1">
        <v>45874</v>
      </c>
      <c r="J31">
        <v>63.617251160000002</v>
      </c>
      <c r="K31">
        <v>5.31</v>
      </c>
      <c r="L31">
        <v>1</v>
      </c>
      <c r="M31">
        <v>9.4281600000000001</v>
      </c>
      <c r="N31">
        <f>L31*F31</f>
        <v>0.42444999999999999</v>
      </c>
      <c r="O31">
        <f>L31*J31</f>
        <v>63.617251160000002</v>
      </c>
      <c r="P31">
        <f>M31-N31-H31</f>
        <v>1.9798</v>
      </c>
      <c r="Q31">
        <f>P31/O31</f>
        <v>3.1120489551186698E-2</v>
      </c>
      <c r="R31">
        <f>I31-G31</f>
        <v>28</v>
      </c>
      <c r="S31">
        <f>Q31/R31</f>
        <v>1.1114460553995249E-3</v>
      </c>
      <c r="T31">
        <f>S31*10000</f>
        <v>11.114460553995249</v>
      </c>
    </row>
    <row r="32" spans="1:20" x14ac:dyDescent="0.3">
      <c r="A32" t="s">
        <v>35</v>
      </c>
      <c r="B32" t="s">
        <v>21</v>
      </c>
      <c r="C32">
        <v>2</v>
      </c>
      <c r="D32">
        <v>12</v>
      </c>
      <c r="E32" t="s">
        <v>22</v>
      </c>
      <c r="F32">
        <v>0.43320999999999998</v>
      </c>
      <c r="G32" s="1">
        <v>45846</v>
      </c>
      <c r="H32">
        <v>6.94625</v>
      </c>
      <c r="I32" s="1">
        <v>45874</v>
      </c>
      <c r="J32">
        <v>63.617251160000002</v>
      </c>
      <c r="K32">
        <v>5.31</v>
      </c>
      <c r="L32">
        <v>0.75</v>
      </c>
      <c r="M32">
        <v>8.6718100000000007</v>
      </c>
      <c r="N32">
        <f>L32*F32</f>
        <v>0.32490750000000002</v>
      </c>
      <c r="O32">
        <f>L32*J32</f>
        <v>47.712938370000003</v>
      </c>
      <c r="P32">
        <f>M32-N32-H32</f>
        <v>1.4006525000000005</v>
      </c>
      <c r="Q32">
        <f>P32/O32</f>
        <v>2.9355821457449267E-2</v>
      </c>
      <c r="R32">
        <f>I32-G32</f>
        <v>28</v>
      </c>
      <c r="S32">
        <f>Q32/R32</f>
        <v>1.0484221949089024E-3</v>
      </c>
      <c r="T32">
        <f>S32*10000</f>
        <v>10.484221949089024</v>
      </c>
    </row>
    <row r="33" spans="1:20" x14ac:dyDescent="0.3">
      <c r="A33" t="s">
        <v>35</v>
      </c>
      <c r="B33" t="s">
        <v>21</v>
      </c>
      <c r="C33">
        <v>2</v>
      </c>
      <c r="D33">
        <v>12</v>
      </c>
      <c r="E33" t="s">
        <v>23</v>
      </c>
      <c r="F33">
        <v>0.43595</v>
      </c>
      <c r="G33" s="1">
        <v>45846</v>
      </c>
      <c r="H33">
        <v>6.9924799999999996</v>
      </c>
      <c r="I33" s="1">
        <v>45874</v>
      </c>
      <c r="J33">
        <v>63.617251160000002</v>
      </c>
      <c r="K33">
        <v>5.31</v>
      </c>
      <c r="L33">
        <v>1</v>
      </c>
      <c r="M33">
        <v>9.6101899999999993</v>
      </c>
      <c r="N33">
        <f>L33*F33</f>
        <v>0.43595</v>
      </c>
      <c r="O33">
        <f>L33*J33</f>
        <v>63.617251160000002</v>
      </c>
      <c r="P33">
        <f>M33-N33-H33</f>
        <v>2.1817599999999997</v>
      </c>
      <c r="Q33">
        <f>P33/O33</f>
        <v>3.4295100153145311E-2</v>
      </c>
      <c r="R33">
        <f>I33-G33</f>
        <v>28</v>
      </c>
      <c r="S33">
        <f>Q33/R33</f>
        <v>1.2248250054694755E-3</v>
      </c>
      <c r="T33">
        <f>S33*10000</f>
        <v>12.248250054694754</v>
      </c>
    </row>
    <row r="34" spans="1:20" x14ac:dyDescent="0.3">
      <c r="A34" t="s">
        <v>35</v>
      </c>
      <c r="B34" t="s">
        <v>21</v>
      </c>
      <c r="C34">
        <v>2</v>
      </c>
      <c r="D34">
        <v>12</v>
      </c>
      <c r="E34" t="s">
        <v>24</v>
      </c>
      <c r="F34">
        <v>0.42329</v>
      </c>
      <c r="G34" s="1">
        <v>45846</v>
      </c>
      <c r="H34">
        <v>7.0681799999999999</v>
      </c>
      <c r="I34" s="1">
        <v>45874</v>
      </c>
      <c r="J34">
        <v>63.617251160000002</v>
      </c>
      <c r="K34">
        <v>5.31</v>
      </c>
      <c r="L34">
        <v>1</v>
      </c>
      <c r="M34">
        <v>8.5764099999999992</v>
      </c>
      <c r="N34">
        <f>L34*F34</f>
        <v>0.42329</v>
      </c>
      <c r="O34">
        <f>L34*J34</f>
        <v>63.617251160000002</v>
      </c>
      <c r="P34">
        <f>M34-N34-H34</f>
        <v>1.0849399999999996</v>
      </c>
      <c r="Q34">
        <f>P34/O34</f>
        <v>1.7054179176515045E-2</v>
      </c>
      <c r="R34">
        <f>I34-G34</f>
        <v>28</v>
      </c>
      <c r="S34">
        <f>Q34/R34</f>
        <v>6.0907782773268022E-4</v>
      </c>
      <c r="T34">
        <f>S34*10000</f>
        <v>6.0907782773268018</v>
      </c>
    </row>
    <row r="35" spans="1:20" x14ac:dyDescent="0.3">
      <c r="A35" t="s">
        <v>35</v>
      </c>
      <c r="B35" t="s">
        <v>21</v>
      </c>
      <c r="C35">
        <v>2</v>
      </c>
      <c r="D35">
        <v>24</v>
      </c>
      <c r="E35" t="s">
        <v>22</v>
      </c>
      <c r="F35">
        <v>0.43370999999999998</v>
      </c>
      <c r="G35" s="1">
        <v>45846</v>
      </c>
      <c r="H35">
        <v>6.9375499999999999</v>
      </c>
      <c r="I35" s="1">
        <v>45874</v>
      </c>
      <c r="J35">
        <v>63.617251160000002</v>
      </c>
      <c r="K35">
        <v>5.31</v>
      </c>
      <c r="L35">
        <v>1</v>
      </c>
      <c r="M35">
        <v>8.2952899999999996</v>
      </c>
      <c r="N35">
        <f>L35*F35</f>
        <v>0.43370999999999998</v>
      </c>
      <c r="O35">
        <f>L35*J35</f>
        <v>63.617251160000002</v>
      </c>
      <c r="P35">
        <f>M35-N35-H35</f>
        <v>0.92403000000000013</v>
      </c>
      <c r="Q35">
        <f>P35/O35</f>
        <v>1.4524833801385518E-2</v>
      </c>
      <c r="R35">
        <f>I35-G35</f>
        <v>28</v>
      </c>
      <c r="S35">
        <f>Q35/R35</f>
        <v>5.1874406433519702E-4</v>
      </c>
      <c r="T35">
        <f>S35*10000</f>
        <v>5.1874406433519704</v>
      </c>
    </row>
    <row r="36" spans="1:20" x14ac:dyDescent="0.3">
      <c r="A36" t="s">
        <v>35</v>
      </c>
      <c r="B36" t="s">
        <v>21</v>
      </c>
      <c r="C36">
        <v>2</v>
      </c>
      <c r="D36">
        <v>24</v>
      </c>
      <c r="E36" t="s">
        <v>23</v>
      </c>
      <c r="F36">
        <v>0.42358000000000001</v>
      </c>
      <c r="G36" s="1">
        <v>45846</v>
      </c>
      <c r="H36">
        <v>7.0182900000000004</v>
      </c>
      <c r="I36" s="1">
        <v>45874</v>
      </c>
      <c r="J36">
        <v>63.617251160000002</v>
      </c>
      <c r="K36">
        <v>5.31</v>
      </c>
      <c r="L36">
        <v>1</v>
      </c>
      <c r="M36">
        <v>8.4044600000000003</v>
      </c>
      <c r="N36">
        <f>L36*F36</f>
        <v>0.42358000000000001</v>
      </c>
      <c r="O36">
        <f>L36*J36</f>
        <v>63.617251160000002</v>
      </c>
      <c r="P36">
        <f>M36-N36-H36</f>
        <v>0.96258999999999961</v>
      </c>
      <c r="Q36">
        <f>P36/O36</f>
        <v>1.5130958701422767E-2</v>
      </c>
      <c r="R36">
        <f>I36-G36</f>
        <v>28</v>
      </c>
      <c r="S36">
        <f>Q36/R36</f>
        <v>5.4039138219367025E-4</v>
      </c>
      <c r="T36">
        <f>S36*10000</f>
        <v>5.4039138219367029</v>
      </c>
    </row>
    <row r="37" spans="1:20" x14ac:dyDescent="0.3">
      <c r="A37" t="s">
        <v>35</v>
      </c>
      <c r="B37" t="s">
        <v>21</v>
      </c>
      <c r="C37">
        <v>2</v>
      </c>
      <c r="D37">
        <v>24</v>
      </c>
      <c r="E37" t="s">
        <v>24</v>
      </c>
      <c r="F37">
        <v>0.43640000000000001</v>
      </c>
      <c r="G37" s="1">
        <v>45846</v>
      </c>
      <c r="H37">
        <v>6.9790999999999999</v>
      </c>
      <c r="I37" s="1">
        <v>45874</v>
      </c>
      <c r="J37">
        <v>63.617251160000002</v>
      </c>
      <c r="K37">
        <v>5.31</v>
      </c>
      <c r="L37">
        <v>1</v>
      </c>
      <c r="M37">
        <v>8.3449399999999994</v>
      </c>
      <c r="N37">
        <f>L37*F37</f>
        <v>0.43640000000000001</v>
      </c>
      <c r="O37">
        <f>L37*J37</f>
        <v>63.617251160000002</v>
      </c>
      <c r="P37">
        <f>M37-N37-H37</f>
        <v>0.9294399999999996</v>
      </c>
      <c r="Q37">
        <f>P37/O37</f>
        <v>1.4609873627868954E-2</v>
      </c>
      <c r="R37">
        <f>I37-G37</f>
        <v>28</v>
      </c>
      <c r="S37">
        <f>Q37/R37</f>
        <v>5.217812009953198E-4</v>
      </c>
      <c r="T37">
        <f>S37*10000</f>
        <v>5.2178120099531977</v>
      </c>
    </row>
    <row r="38" spans="1:20" x14ac:dyDescent="0.3">
      <c r="A38" t="s">
        <v>35</v>
      </c>
      <c r="B38" t="s">
        <v>21</v>
      </c>
      <c r="C38">
        <v>2</v>
      </c>
      <c r="D38">
        <v>48</v>
      </c>
      <c r="E38" t="s">
        <v>22</v>
      </c>
      <c r="F38">
        <v>0.43656</v>
      </c>
      <c r="G38" s="1">
        <v>45846</v>
      </c>
      <c r="H38">
        <v>6.96286</v>
      </c>
      <c r="I38" s="1">
        <v>45874</v>
      </c>
      <c r="J38">
        <v>63.617251160000002</v>
      </c>
      <c r="K38">
        <v>5.31</v>
      </c>
      <c r="L38">
        <v>1</v>
      </c>
      <c r="M38">
        <v>9.3135700000000003</v>
      </c>
      <c r="N38">
        <f>L38*F38</f>
        <v>0.43656</v>
      </c>
      <c r="O38">
        <f>L38*J38</f>
        <v>63.617251160000002</v>
      </c>
      <c r="P38">
        <f>M38-N38-H38</f>
        <v>1.9141500000000002</v>
      </c>
      <c r="Q38">
        <f>P38/O38</f>
        <v>3.0088536758462486E-2</v>
      </c>
      <c r="R38">
        <f>I38-G38</f>
        <v>28</v>
      </c>
      <c r="S38">
        <f>Q38/R38</f>
        <v>1.0745905985165174E-3</v>
      </c>
      <c r="T38">
        <f>S38*10000</f>
        <v>10.745905985165175</v>
      </c>
    </row>
    <row r="39" spans="1:20" x14ac:dyDescent="0.3">
      <c r="A39" t="s">
        <v>35</v>
      </c>
      <c r="B39" t="s">
        <v>21</v>
      </c>
      <c r="C39">
        <v>2</v>
      </c>
      <c r="D39">
        <v>48</v>
      </c>
      <c r="E39" t="s">
        <v>23</v>
      </c>
      <c r="F39">
        <v>0.42331000000000002</v>
      </c>
      <c r="G39" s="1">
        <v>45846</v>
      </c>
      <c r="H39">
        <v>7.0095400000000003</v>
      </c>
      <c r="I39" s="1">
        <v>45874</v>
      </c>
      <c r="J39">
        <v>63.617251160000002</v>
      </c>
      <c r="K39">
        <v>5.31</v>
      </c>
      <c r="L39">
        <v>1</v>
      </c>
      <c r="M39">
        <v>8.6771799999999999</v>
      </c>
      <c r="N39">
        <f>L39*F39</f>
        <v>0.42331000000000002</v>
      </c>
      <c r="O39">
        <f>L39*J39</f>
        <v>63.617251160000002</v>
      </c>
      <c r="P39">
        <f>M39-N39-H39</f>
        <v>1.2443299999999988</v>
      </c>
      <c r="Q39">
        <f>P39/O39</f>
        <v>1.9559631661394135E-2</v>
      </c>
      <c r="R39">
        <f>I39-G39</f>
        <v>28</v>
      </c>
      <c r="S39">
        <f>Q39/R39</f>
        <v>6.9855827362121905E-4</v>
      </c>
      <c r="T39">
        <f>S39*10000</f>
        <v>6.9855827362121907</v>
      </c>
    </row>
    <row r="40" spans="1:20" x14ac:dyDescent="0.3">
      <c r="A40" t="s">
        <v>35</v>
      </c>
      <c r="B40" t="s">
        <v>21</v>
      </c>
      <c r="C40">
        <v>2</v>
      </c>
      <c r="D40">
        <v>48</v>
      </c>
      <c r="E40" t="s">
        <v>24</v>
      </c>
      <c r="F40">
        <v>0.43359999999999999</v>
      </c>
      <c r="G40" s="1">
        <v>45846</v>
      </c>
      <c r="H40">
        <v>6.9751899999999996</v>
      </c>
      <c r="I40" s="1">
        <v>45874</v>
      </c>
      <c r="J40">
        <v>63.617251160000002</v>
      </c>
      <c r="K40">
        <v>5.31</v>
      </c>
      <c r="L40">
        <v>1</v>
      </c>
      <c r="M40">
        <v>8.9184300000000007</v>
      </c>
      <c r="N40">
        <f>L40*F40</f>
        <v>0.43359999999999999</v>
      </c>
      <c r="O40">
        <f>L40*J40</f>
        <v>63.617251160000002</v>
      </c>
      <c r="P40">
        <f>M40-N40-H40</f>
        <v>1.509640000000001</v>
      </c>
      <c r="Q40">
        <f>P40/O40</f>
        <v>2.3730041340566482E-2</v>
      </c>
      <c r="R40">
        <f>I40-G40</f>
        <v>28</v>
      </c>
      <c r="S40">
        <f>Q40/R40</f>
        <v>8.475014764488029E-4</v>
      </c>
      <c r="T40">
        <f>S40*10000</f>
        <v>8.4750147644880283</v>
      </c>
    </row>
    <row r="41" spans="1:20" x14ac:dyDescent="0.3">
      <c r="A41" t="s">
        <v>35</v>
      </c>
      <c r="B41" t="s">
        <v>21</v>
      </c>
      <c r="E41" t="s">
        <v>34</v>
      </c>
      <c r="F41">
        <v>0.42280000000000001</v>
      </c>
      <c r="G41" t="s">
        <v>27</v>
      </c>
      <c r="H41" t="s">
        <v>27</v>
      </c>
      <c r="I41" t="s">
        <v>27</v>
      </c>
      <c r="J41">
        <v>63.617251160000002</v>
      </c>
      <c r="K41">
        <v>5.31</v>
      </c>
      <c r="L41" t="s">
        <v>27</v>
      </c>
      <c r="N41" t="e">
        <f>L41*F41</f>
        <v>#VALUE!</v>
      </c>
      <c r="O41" t="e">
        <f>L41*J41</f>
        <v>#VALUE!</v>
      </c>
      <c r="P41" t="e">
        <f>M41-N41-H41</f>
        <v>#VALUE!</v>
      </c>
      <c r="Q41" t="e">
        <f>P41/O41</f>
        <v>#VALUE!</v>
      </c>
      <c r="R41" t="e">
        <f>I41-G41</f>
        <v>#VALUE!</v>
      </c>
      <c r="S41" t="e">
        <f>Q41/R41</f>
        <v>#VALUE!</v>
      </c>
      <c r="T41" t="e">
        <f>S41*10000</f>
        <v>#VALUE!</v>
      </c>
    </row>
    <row r="42" spans="1:20" x14ac:dyDescent="0.3">
      <c r="A42" t="s">
        <v>35</v>
      </c>
      <c r="B42" t="s">
        <v>37</v>
      </c>
      <c r="C42">
        <v>1</v>
      </c>
      <c r="D42">
        <v>0.5</v>
      </c>
      <c r="E42" t="s">
        <v>22</v>
      </c>
      <c r="F42">
        <v>0.42775999999999997</v>
      </c>
      <c r="G42" t="s">
        <v>27</v>
      </c>
      <c r="H42" t="s">
        <v>38</v>
      </c>
      <c r="I42" t="s">
        <v>27</v>
      </c>
      <c r="J42">
        <v>63.617251160000002</v>
      </c>
      <c r="K42">
        <v>5.31</v>
      </c>
      <c r="L42" t="s">
        <v>27</v>
      </c>
      <c r="M42" t="s">
        <v>27</v>
      </c>
      <c r="N42" t="e">
        <f>L42*F42</f>
        <v>#VALUE!</v>
      </c>
      <c r="O42" t="e">
        <f>L42*J42</f>
        <v>#VALUE!</v>
      </c>
      <c r="P42" t="e">
        <f>M42-N42-H42</f>
        <v>#VALUE!</v>
      </c>
      <c r="Q42" t="e">
        <f>P42/O42</f>
        <v>#VALUE!</v>
      </c>
      <c r="R42" t="e">
        <f>I42-G42</f>
        <v>#VALUE!</v>
      </c>
      <c r="S42" t="e">
        <f>Q42/R42</f>
        <v>#VALUE!</v>
      </c>
      <c r="T42" t="e">
        <f>S42*10000</f>
        <v>#VALUE!</v>
      </c>
    </row>
    <row r="43" spans="1:20" x14ac:dyDescent="0.3">
      <c r="A43" t="s">
        <v>35</v>
      </c>
      <c r="B43" t="s">
        <v>37</v>
      </c>
      <c r="C43">
        <v>1</v>
      </c>
      <c r="D43">
        <v>0.5</v>
      </c>
      <c r="E43" t="s">
        <v>23</v>
      </c>
      <c r="F43">
        <v>0.43178</v>
      </c>
      <c r="G43" t="s">
        <v>27</v>
      </c>
      <c r="H43" t="s">
        <v>38</v>
      </c>
      <c r="I43" t="s">
        <v>27</v>
      </c>
      <c r="J43">
        <v>63.617251160000002</v>
      </c>
      <c r="K43">
        <v>5.31</v>
      </c>
      <c r="L43" t="s">
        <v>27</v>
      </c>
      <c r="M43" t="s">
        <v>27</v>
      </c>
      <c r="N43" t="e">
        <f>L43*F43</f>
        <v>#VALUE!</v>
      </c>
      <c r="O43" t="e">
        <f>L43*J43</f>
        <v>#VALUE!</v>
      </c>
      <c r="P43" t="e">
        <f>M43-N43-H43</f>
        <v>#VALUE!</v>
      </c>
      <c r="Q43" t="e">
        <f>P43/O43</f>
        <v>#VALUE!</v>
      </c>
      <c r="R43" t="e">
        <f>I43-G43</f>
        <v>#VALUE!</v>
      </c>
      <c r="S43" t="e">
        <f>Q43/R43</f>
        <v>#VALUE!</v>
      </c>
      <c r="T43" t="e">
        <f>S43*10000</f>
        <v>#VALUE!</v>
      </c>
    </row>
    <row r="44" spans="1:20" x14ac:dyDescent="0.3">
      <c r="A44" t="s">
        <v>35</v>
      </c>
      <c r="B44" t="s">
        <v>37</v>
      </c>
      <c r="C44">
        <v>1</v>
      </c>
      <c r="D44">
        <v>0.5</v>
      </c>
      <c r="E44" t="s">
        <v>24</v>
      </c>
      <c r="F44">
        <v>0.42708000000000002</v>
      </c>
      <c r="G44" t="s">
        <v>27</v>
      </c>
      <c r="H44" t="s">
        <v>38</v>
      </c>
      <c r="I44" t="s">
        <v>27</v>
      </c>
      <c r="J44">
        <v>63.617251160000002</v>
      </c>
      <c r="K44">
        <v>5.31</v>
      </c>
      <c r="L44" t="s">
        <v>27</v>
      </c>
      <c r="M44" t="s">
        <v>27</v>
      </c>
      <c r="N44" t="e">
        <f>L44*F44</f>
        <v>#VALUE!</v>
      </c>
      <c r="O44" t="e">
        <f>L44*J44</f>
        <v>#VALUE!</v>
      </c>
      <c r="P44" t="e">
        <f>M44-N44-H44</f>
        <v>#VALUE!</v>
      </c>
      <c r="Q44" t="e">
        <f>P44/O44</f>
        <v>#VALUE!</v>
      </c>
      <c r="R44" t="e">
        <f>I44-G44</f>
        <v>#VALUE!</v>
      </c>
      <c r="S44" t="e">
        <f>Q44/R44</f>
        <v>#VALUE!</v>
      </c>
      <c r="T44" t="e">
        <f>S44*10000</f>
        <v>#VALUE!</v>
      </c>
    </row>
    <row r="45" spans="1:20" x14ac:dyDescent="0.3">
      <c r="A45" t="s">
        <v>35</v>
      </c>
      <c r="B45" t="s">
        <v>37</v>
      </c>
      <c r="C45">
        <v>1</v>
      </c>
      <c r="D45">
        <v>2</v>
      </c>
      <c r="E45" t="s">
        <v>22</v>
      </c>
      <c r="F45">
        <v>0.434</v>
      </c>
      <c r="G45" t="s">
        <v>27</v>
      </c>
      <c r="H45" t="s">
        <v>38</v>
      </c>
      <c r="I45" t="s">
        <v>27</v>
      </c>
      <c r="J45">
        <v>63.617251160000002</v>
      </c>
      <c r="K45">
        <v>5.31</v>
      </c>
      <c r="L45" t="s">
        <v>27</v>
      </c>
      <c r="M45" t="s">
        <v>27</v>
      </c>
      <c r="N45" t="e">
        <f>L45*F45</f>
        <v>#VALUE!</v>
      </c>
      <c r="O45" t="e">
        <f>L45*J45</f>
        <v>#VALUE!</v>
      </c>
      <c r="P45" t="e">
        <f>M45-N45-H45</f>
        <v>#VALUE!</v>
      </c>
      <c r="Q45" t="e">
        <f>P45/O45</f>
        <v>#VALUE!</v>
      </c>
      <c r="R45" t="e">
        <f>I45-G45</f>
        <v>#VALUE!</v>
      </c>
      <c r="S45" t="e">
        <f>Q45/R45</f>
        <v>#VALUE!</v>
      </c>
      <c r="T45" t="e">
        <f>S45*10000</f>
        <v>#VALUE!</v>
      </c>
    </row>
    <row r="46" spans="1:20" x14ac:dyDescent="0.3">
      <c r="A46" t="s">
        <v>35</v>
      </c>
      <c r="B46" t="s">
        <v>37</v>
      </c>
      <c r="C46">
        <v>1</v>
      </c>
      <c r="D46">
        <v>2</v>
      </c>
      <c r="E46" t="s">
        <v>23</v>
      </c>
      <c r="F46">
        <v>0.43364999999999998</v>
      </c>
      <c r="G46" t="s">
        <v>27</v>
      </c>
      <c r="H46" t="s">
        <v>38</v>
      </c>
      <c r="I46" t="s">
        <v>27</v>
      </c>
      <c r="J46">
        <v>63.617251160000002</v>
      </c>
      <c r="K46">
        <v>5.31</v>
      </c>
      <c r="L46" t="s">
        <v>27</v>
      </c>
      <c r="M46" t="s">
        <v>27</v>
      </c>
      <c r="N46" t="e">
        <f>L46*F46</f>
        <v>#VALUE!</v>
      </c>
      <c r="O46" t="e">
        <f>L46*J46</f>
        <v>#VALUE!</v>
      </c>
      <c r="P46" t="e">
        <f>M46-N46-H46</f>
        <v>#VALUE!</v>
      </c>
      <c r="Q46" t="e">
        <f>P46/O46</f>
        <v>#VALUE!</v>
      </c>
      <c r="R46" t="e">
        <f>I46-G46</f>
        <v>#VALUE!</v>
      </c>
      <c r="S46" t="e">
        <f>Q46/R46</f>
        <v>#VALUE!</v>
      </c>
      <c r="T46" t="e">
        <f>S46*10000</f>
        <v>#VALUE!</v>
      </c>
    </row>
    <row r="47" spans="1:20" x14ac:dyDescent="0.3">
      <c r="A47" t="s">
        <v>35</v>
      </c>
      <c r="B47" t="s">
        <v>37</v>
      </c>
      <c r="C47">
        <v>1</v>
      </c>
      <c r="D47">
        <v>2</v>
      </c>
      <c r="E47" t="s">
        <v>24</v>
      </c>
      <c r="F47">
        <v>0.42503000000000002</v>
      </c>
      <c r="G47" t="s">
        <v>27</v>
      </c>
      <c r="H47" t="s">
        <v>38</v>
      </c>
      <c r="I47" t="s">
        <v>27</v>
      </c>
      <c r="J47">
        <v>63.617251160000002</v>
      </c>
      <c r="K47">
        <v>5.31</v>
      </c>
      <c r="L47" t="s">
        <v>27</v>
      </c>
      <c r="M47" t="s">
        <v>27</v>
      </c>
      <c r="N47" t="e">
        <f>L47*F47</f>
        <v>#VALUE!</v>
      </c>
      <c r="O47" t="e">
        <f>L47*J47</f>
        <v>#VALUE!</v>
      </c>
      <c r="P47" t="e">
        <f>M47-N47-H47</f>
        <v>#VALUE!</v>
      </c>
      <c r="Q47" t="e">
        <f>P47/O47</f>
        <v>#VALUE!</v>
      </c>
      <c r="R47" t="e">
        <f>I47-G47</f>
        <v>#VALUE!</v>
      </c>
      <c r="S47" t="e">
        <f>Q47/R47</f>
        <v>#VALUE!</v>
      </c>
      <c r="T47" t="e">
        <f>S47*10000</f>
        <v>#VALUE!</v>
      </c>
    </row>
    <row r="48" spans="1:20" x14ac:dyDescent="0.3">
      <c r="A48" t="s">
        <v>35</v>
      </c>
      <c r="B48" t="s">
        <v>37</v>
      </c>
      <c r="C48">
        <v>1</v>
      </c>
      <c r="D48">
        <v>6</v>
      </c>
      <c r="E48" t="s">
        <v>22</v>
      </c>
      <c r="F48">
        <v>0.431782</v>
      </c>
      <c r="G48" t="s">
        <v>27</v>
      </c>
      <c r="H48" t="s">
        <v>38</v>
      </c>
      <c r="I48" t="s">
        <v>27</v>
      </c>
      <c r="J48">
        <v>63.617251160000002</v>
      </c>
      <c r="K48">
        <v>5.31</v>
      </c>
      <c r="L48" t="s">
        <v>27</v>
      </c>
      <c r="M48" t="s">
        <v>27</v>
      </c>
      <c r="N48" t="e">
        <f>L48*F48</f>
        <v>#VALUE!</v>
      </c>
      <c r="O48" t="e">
        <f>L48*J48</f>
        <v>#VALUE!</v>
      </c>
      <c r="P48" t="e">
        <f>M48-N48-H48</f>
        <v>#VALUE!</v>
      </c>
      <c r="Q48" t="e">
        <f>P48/O48</f>
        <v>#VALUE!</v>
      </c>
      <c r="R48" t="e">
        <f>I48-G48</f>
        <v>#VALUE!</v>
      </c>
      <c r="S48" t="e">
        <f>Q48/R48</f>
        <v>#VALUE!</v>
      </c>
      <c r="T48" t="e">
        <f>S48*10000</f>
        <v>#VALUE!</v>
      </c>
    </row>
    <row r="49" spans="1:20" x14ac:dyDescent="0.3">
      <c r="A49" t="s">
        <v>35</v>
      </c>
      <c r="B49" t="s">
        <v>37</v>
      </c>
      <c r="C49">
        <v>1</v>
      </c>
      <c r="D49">
        <v>6</v>
      </c>
      <c r="E49" t="s">
        <v>23</v>
      </c>
      <c r="F49">
        <v>0.42465999999999998</v>
      </c>
      <c r="G49" t="s">
        <v>27</v>
      </c>
      <c r="H49" t="s">
        <v>38</v>
      </c>
      <c r="I49" t="s">
        <v>27</v>
      </c>
      <c r="J49">
        <v>63.617251160000002</v>
      </c>
      <c r="K49">
        <v>5.31</v>
      </c>
      <c r="L49" t="s">
        <v>27</v>
      </c>
      <c r="M49" t="s">
        <v>27</v>
      </c>
      <c r="N49" t="e">
        <f>L49*F49</f>
        <v>#VALUE!</v>
      </c>
      <c r="O49" t="e">
        <f>L49*J49</f>
        <v>#VALUE!</v>
      </c>
      <c r="P49" t="e">
        <f>M49-N49-H49</f>
        <v>#VALUE!</v>
      </c>
      <c r="Q49" t="e">
        <f>P49/O49</f>
        <v>#VALUE!</v>
      </c>
      <c r="R49" t="e">
        <f>I49-G49</f>
        <v>#VALUE!</v>
      </c>
      <c r="S49" t="e">
        <f>Q49/R49</f>
        <v>#VALUE!</v>
      </c>
      <c r="T49" t="e">
        <f>S49*10000</f>
        <v>#VALUE!</v>
      </c>
    </row>
    <row r="50" spans="1:20" x14ac:dyDescent="0.3">
      <c r="A50" t="s">
        <v>35</v>
      </c>
      <c r="B50" t="s">
        <v>37</v>
      </c>
      <c r="C50">
        <v>1</v>
      </c>
      <c r="D50">
        <v>6</v>
      </c>
      <c r="E50" t="s">
        <v>24</v>
      </c>
      <c r="F50">
        <v>0.43221999999999999</v>
      </c>
      <c r="G50" t="s">
        <v>27</v>
      </c>
      <c r="H50" t="s">
        <v>38</v>
      </c>
      <c r="I50" t="s">
        <v>27</v>
      </c>
      <c r="J50">
        <v>63.617251160000002</v>
      </c>
      <c r="K50">
        <v>5.31</v>
      </c>
      <c r="L50" t="s">
        <v>27</v>
      </c>
      <c r="M50" t="s">
        <v>27</v>
      </c>
      <c r="N50" t="e">
        <f>L50*F50</f>
        <v>#VALUE!</v>
      </c>
      <c r="O50" t="e">
        <f>L50*J50</f>
        <v>#VALUE!</v>
      </c>
      <c r="P50" t="e">
        <f>M50-N50-H50</f>
        <v>#VALUE!</v>
      </c>
      <c r="Q50" t="e">
        <f>P50/O50</f>
        <v>#VALUE!</v>
      </c>
      <c r="R50" t="e">
        <f>I50-G50</f>
        <v>#VALUE!</v>
      </c>
      <c r="S50" t="e">
        <f>Q50/R50</f>
        <v>#VALUE!</v>
      </c>
      <c r="T50" t="e">
        <f>S50*10000</f>
        <v>#VALUE!</v>
      </c>
    </row>
    <row r="51" spans="1:20" x14ac:dyDescent="0.3">
      <c r="A51" t="s">
        <v>35</v>
      </c>
      <c r="B51" t="s">
        <v>37</v>
      </c>
      <c r="C51">
        <v>1</v>
      </c>
      <c r="D51">
        <v>12</v>
      </c>
      <c r="E51" t="s">
        <v>22</v>
      </c>
      <c r="F51">
        <v>0.42714000000000002</v>
      </c>
      <c r="G51" t="s">
        <v>27</v>
      </c>
      <c r="H51" t="s">
        <v>38</v>
      </c>
      <c r="I51" t="s">
        <v>27</v>
      </c>
      <c r="J51">
        <v>63.617251160000002</v>
      </c>
      <c r="K51">
        <v>5.31</v>
      </c>
      <c r="L51" t="s">
        <v>27</v>
      </c>
      <c r="M51" t="s">
        <v>27</v>
      </c>
      <c r="N51" t="e">
        <f>L51*F51</f>
        <v>#VALUE!</v>
      </c>
      <c r="O51" t="e">
        <f>L51*J51</f>
        <v>#VALUE!</v>
      </c>
      <c r="P51" t="e">
        <f>M51-N51-H51</f>
        <v>#VALUE!</v>
      </c>
      <c r="Q51" t="e">
        <f>P51/O51</f>
        <v>#VALUE!</v>
      </c>
      <c r="R51" t="e">
        <f>I51-G51</f>
        <v>#VALUE!</v>
      </c>
      <c r="S51" t="e">
        <f>Q51/R51</f>
        <v>#VALUE!</v>
      </c>
      <c r="T51" t="e">
        <f>S51*10000</f>
        <v>#VALUE!</v>
      </c>
    </row>
    <row r="52" spans="1:20" x14ac:dyDescent="0.3">
      <c r="A52" t="s">
        <v>35</v>
      </c>
      <c r="B52" t="s">
        <v>37</v>
      </c>
      <c r="C52">
        <v>1</v>
      </c>
      <c r="D52">
        <v>12</v>
      </c>
      <c r="E52" t="s">
        <v>23</v>
      </c>
      <c r="F52">
        <v>0.43036999999999997</v>
      </c>
      <c r="G52" t="s">
        <v>27</v>
      </c>
      <c r="H52" t="s">
        <v>38</v>
      </c>
      <c r="I52" t="s">
        <v>27</v>
      </c>
      <c r="J52">
        <v>63.617251160000002</v>
      </c>
      <c r="K52">
        <v>5.31</v>
      </c>
      <c r="L52" t="s">
        <v>27</v>
      </c>
      <c r="M52" t="s">
        <v>27</v>
      </c>
      <c r="N52" t="e">
        <f>L52*F52</f>
        <v>#VALUE!</v>
      </c>
      <c r="O52" t="e">
        <f>L52*J52</f>
        <v>#VALUE!</v>
      </c>
      <c r="P52" t="e">
        <f>M52-N52-H52</f>
        <v>#VALUE!</v>
      </c>
      <c r="Q52" t="e">
        <f>P52/O52</f>
        <v>#VALUE!</v>
      </c>
      <c r="R52" t="e">
        <f>I52-G52</f>
        <v>#VALUE!</v>
      </c>
      <c r="S52" t="e">
        <f>Q52/R52</f>
        <v>#VALUE!</v>
      </c>
      <c r="T52" t="e">
        <f>S52*10000</f>
        <v>#VALUE!</v>
      </c>
    </row>
    <row r="53" spans="1:20" x14ac:dyDescent="0.3">
      <c r="A53" t="s">
        <v>35</v>
      </c>
      <c r="B53" t="s">
        <v>37</v>
      </c>
      <c r="C53">
        <v>1</v>
      </c>
      <c r="D53">
        <v>12</v>
      </c>
      <c r="E53" t="s">
        <v>24</v>
      </c>
      <c r="F53">
        <v>0.42926999999999998</v>
      </c>
      <c r="G53" t="s">
        <v>27</v>
      </c>
      <c r="H53" t="s">
        <v>38</v>
      </c>
      <c r="I53" t="s">
        <v>27</v>
      </c>
      <c r="J53">
        <v>63.617251160000002</v>
      </c>
      <c r="K53">
        <v>5.31</v>
      </c>
      <c r="L53" t="s">
        <v>27</v>
      </c>
      <c r="M53" t="s">
        <v>27</v>
      </c>
      <c r="N53" t="e">
        <f>L53*F53</f>
        <v>#VALUE!</v>
      </c>
      <c r="O53" t="e">
        <f>L53*J53</f>
        <v>#VALUE!</v>
      </c>
      <c r="P53" t="e">
        <f>M53-N53-H53</f>
        <v>#VALUE!</v>
      </c>
      <c r="Q53" t="e">
        <f>P53/O53</f>
        <v>#VALUE!</v>
      </c>
      <c r="R53" t="e">
        <f>I53-G53</f>
        <v>#VALUE!</v>
      </c>
      <c r="S53" t="e">
        <f>Q53/R53</f>
        <v>#VALUE!</v>
      </c>
      <c r="T53" t="e">
        <f>S53*10000</f>
        <v>#VALUE!</v>
      </c>
    </row>
    <row r="54" spans="1:20" x14ac:dyDescent="0.3">
      <c r="A54" t="s">
        <v>35</v>
      </c>
      <c r="B54" t="s">
        <v>37</v>
      </c>
      <c r="C54">
        <v>1</v>
      </c>
      <c r="D54">
        <v>24</v>
      </c>
      <c r="E54" t="s">
        <v>22</v>
      </c>
      <c r="F54">
        <v>0.42730000000000001</v>
      </c>
      <c r="G54" t="s">
        <v>27</v>
      </c>
      <c r="H54" t="s">
        <v>38</v>
      </c>
      <c r="I54" t="s">
        <v>27</v>
      </c>
      <c r="J54">
        <v>63.617251160000002</v>
      </c>
      <c r="K54">
        <v>5.31</v>
      </c>
      <c r="L54" t="s">
        <v>27</v>
      </c>
      <c r="M54" t="s">
        <v>27</v>
      </c>
      <c r="N54" t="e">
        <f>L54*F54</f>
        <v>#VALUE!</v>
      </c>
      <c r="O54" t="e">
        <f>L54*J54</f>
        <v>#VALUE!</v>
      </c>
      <c r="P54" t="e">
        <f>M54-N54-H54</f>
        <v>#VALUE!</v>
      </c>
      <c r="Q54" t="e">
        <f>P54/O54</f>
        <v>#VALUE!</v>
      </c>
      <c r="R54" t="e">
        <f>I54-G54</f>
        <v>#VALUE!</v>
      </c>
      <c r="S54" t="e">
        <f>Q54/R54</f>
        <v>#VALUE!</v>
      </c>
      <c r="T54" t="e">
        <f>S54*10000</f>
        <v>#VALUE!</v>
      </c>
    </row>
    <row r="55" spans="1:20" x14ac:dyDescent="0.3">
      <c r="A55" t="s">
        <v>35</v>
      </c>
      <c r="B55" t="s">
        <v>37</v>
      </c>
      <c r="C55">
        <v>1</v>
      </c>
      <c r="D55">
        <v>24</v>
      </c>
      <c r="E55" t="s">
        <v>23</v>
      </c>
      <c r="F55">
        <v>0.43081999999999998</v>
      </c>
      <c r="G55" t="s">
        <v>27</v>
      </c>
      <c r="H55" t="s">
        <v>38</v>
      </c>
      <c r="I55" t="s">
        <v>27</v>
      </c>
      <c r="J55">
        <v>63.617251160000002</v>
      </c>
      <c r="K55">
        <v>5.31</v>
      </c>
      <c r="L55" t="s">
        <v>27</v>
      </c>
      <c r="M55" t="s">
        <v>27</v>
      </c>
      <c r="N55" t="e">
        <f>L55*F55</f>
        <v>#VALUE!</v>
      </c>
      <c r="O55" t="e">
        <f>L55*J55</f>
        <v>#VALUE!</v>
      </c>
      <c r="P55" t="e">
        <f>M55-N55-H55</f>
        <v>#VALUE!</v>
      </c>
      <c r="Q55" t="e">
        <f>P55/O55</f>
        <v>#VALUE!</v>
      </c>
      <c r="R55" t="e">
        <f>I55-G55</f>
        <v>#VALUE!</v>
      </c>
      <c r="S55" t="e">
        <f>Q55/R55</f>
        <v>#VALUE!</v>
      </c>
      <c r="T55" t="e">
        <f>S55*10000</f>
        <v>#VALUE!</v>
      </c>
    </row>
    <row r="56" spans="1:20" x14ac:dyDescent="0.3">
      <c r="A56" t="s">
        <v>35</v>
      </c>
      <c r="B56" t="s">
        <v>37</v>
      </c>
      <c r="C56">
        <v>1</v>
      </c>
      <c r="D56">
        <v>24</v>
      </c>
      <c r="E56" t="s">
        <v>24</v>
      </c>
      <c r="F56">
        <v>0.42634</v>
      </c>
      <c r="G56" t="s">
        <v>27</v>
      </c>
      <c r="H56" t="s">
        <v>38</v>
      </c>
      <c r="I56" t="s">
        <v>27</v>
      </c>
      <c r="J56">
        <v>63.617251160000002</v>
      </c>
      <c r="K56">
        <v>5.31</v>
      </c>
      <c r="L56" t="s">
        <v>27</v>
      </c>
      <c r="M56" t="s">
        <v>27</v>
      </c>
      <c r="N56" t="e">
        <f>L56*F56</f>
        <v>#VALUE!</v>
      </c>
      <c r="O56" t="e">
        <f>L56*J56</f>
        <v>#VALUE!</v>
      </c>
      <c r="P56" t="e">
        <f>M56-N56-H56</f>
        <v>#VALUE!</v>
      </c>
      <c r="Q56" t="e">
        <f>P56/O56</f>
        <v>#VALUE!</v>
      </c>
      <c r="R56" t="e">
        <f>I56-G56</f>
        <v>#VALUE!</v>
      </c>
      <c r="S56" t="e">
        <f>Q56/R56</f>
        <v>#VALUE!</v>
      </c>
      <c r="T56" t="e">
        <f>S56*10000</f>
        <v>#VALUE!</v>
      </c>
    </row>
    <row r="57" spans="1:20" x14ac:dyDescent="0.3">
      <c r="A57" t="s">
        <v>35</v>
      </c>
      <c r="B57" t="s">
        <v>37</v>
      </c>
      <c r="C57">
        <v>1</v>
      </c>
      <c r="D57">
        <v>48</v>
      </c>
      <c r="E57" t="s">
        <v>22</v>
      </c>
      <c r="F57">
        <v>0.43247000000000002</v>
      </c>
      <c r="G57" t="s">
        <v>27</v>
      </c>
      <c r="H57" t="s">
        <v>38</v>
      </c>
      <c r="I57" t="s">
        <v>27</v>
      </c>
      <c r="J57">
        <v>63.617251160000002</v>
      </c>
      <c r="K57">
        <v>5.31</v>
      </c>
      <c r="L57" t="s">
        <v>27</v>
      </c>
      <c r="M57" t="s">
        <v>27</v>
      </c>
      <c r="N57" t="e">
        <f>L57*F57</f>
        <v>#VALUE!</v>
      </c>
      <c r="O57" t="e">
        <f>L57*J57</f>
        <v>#VALUE!</v>
      </c>
      <c r="P57" t="e">
        <f>M57-N57-H57</f>
        <v>#VALUE!</v>
      </c>
      <c r="Q57" t="e">
        <f>P57/O57</f>
        <v>#VALUE!</v>
      </c>
      <c r="R57" t="e">
        <f>I57-G57</f>
        <v>#VALUE!</v>
      </c>
      <c r="S57" t="e">
        <f>Q57/R57</f>
        <v>#VALUE!</v>
      </c>
      <c r="T57" t="e">
        <f>S57*10000</f>
        <v>#VALUE!</v>
      </c>
    </row>
    <row r="58" spans="1:20" x14ac:dyDescent="0.3">
      <c r="A58" t="s">
        <v>35</v>
      </c>
      <c r="B58" t="s">
        <v>37</v>
      </c>
      <c r="C58">
        <v>1</v>
      </c>
      <c r="D58">
        <v>48</v>
      </c>
      <c r="E58" t="s">
        <v>23</v>
      </c>
      <c r="F58">
        <v>0.42890499999999998</v>
      </c>
      <c r="G58" t="s">
        <v>27</v>
      </c>
      <c r="H58" t="s">
        <v>38</v>
      </c>
      <c r="I58" t="s">
        <v>27</v>
      </c>
      <c r="J58">
        <v>63.617251160000002</v>
      </c>
      <c r="K58">
        <v>5.31</v>
      </c>
      <c r="L58" t="s">
        <v>27</v>
      </c>
      <c r="M58" t="s">
        <v>27</v>
      </c>
      <c r="N58" t="e">
        <f>L58*F58</f>
        <v>#VALUE!</v>
      </c>
      <c r="O58" t="e">
        <f>L58*J58</f>
        <v>#VALUE!</v>
      </c>
      <c r="P58" t="e">
        <f>M58-N58-H58</f>
        <v>#VALUE!</v>
      </c>
      <c r="Q58" t="e">
        <f>P58/O58</f>
        <v>#VALUE!</v>
      </c>
      <c r="R58" t="e">
        <f>I58-G58</f>
        <v>#VALUE!</v>
      </c>
      <c r="S58" t="e">
        <f>Q58/R58</f>
        <v>#VALUE!</v>
      </c>
      <c r="T58" t="e">
        <f>S58*10000</f>
        <v>#VALUE!</v>
      </c>
    </row>
    <row r="59" spans="1:20" x14ac:dyDescent="0.3">
      <c r="A59" t="s">
        <v>35</v>
      </c>
      <c r="B59" t="s">
        <v>37</v>
      </c>
      <c r="C59">
        <v>1</v>
      </c>
      <c r="D59">
        <v>48</v>
      </c>
      <c r="E59" t="s">
        <v>24</v>
      </c>
      <c r="F59">
        <v>0.43125999999999998</v>
      </c>
      <c r="G59" t="s">
        <v>27</v>
      </c>
      <c r="H59" t="s">
        <v>38</v>
      </c>
      <c r="I59" t="s">
        <v>27</v>
      </c>
      <c r="J59">
        <v>63.617251160000002</v>
      </c>
      <c r="K59">
        <v>5.31</v>
      </c>
      <c r="L59" t="s">
        <v>27</v>
      </c>
      <c r="M59" t="s">
        <v>27</v>
      </c>
      <c r="N59" t="e">
        <f>L59*F59</f>
        <v>#VALUE!</v>
      </c>
      <c r="O59" t="e">
        <f>L59*J59</f>
        <v>#VALUE!</v>
      </c>
      <c r="P59" t="e">
        <f>M59-N59-H59</f>
        <v>#VALUE!</v>
      </c>
      <c r="Q59" t="e">
        <f>P59/O59</f>
        <v>#VALUE!</v>
      </c>
      <c r="R59" t="e">
        <f>I59-G59</f>
        <v>#VALUE!</v>
      </c>
      <c r="S59" t="e">
        <f>Q59/R59</f>
        <v>#VALUE!</v>
      </c>
      <c r="T59" t="e">
        <f>S59*10000</f>
        <v>#VALUE!</v>
      </c>
    </row>
    <row r="60" spans="1:20" x14ac:dyDescent="0.3">
      <c r="A60" t="s">
        <v>35</v>
      </c>
      <c r="B60" t="s">
        <v>37</v>
      </c>
      <c r="C60">
        <v>2</v>
      </c>
      <c r="D60">
        <v>0.5</v>
      </c>
      <c r="E60" t="s">
        <v>22</v>
      </c>
      <c r="F60">
        <v>0.42487999999999998</v>
      </c>
      <c r="G60" s="1">
        <v>45848</v>
      </c>
      <c r="H60">
        <v>6.65062</v>
      </c>
      <c r="I60" s="1">
        <v>45876</v>
      </c>
      <c r="J60">
        <v>63.617251160000002</v>
      </c>
      <c r="K60">
        <v>5.31</v>
      </c>
      <c r="L60">
        <v>0</v>
      </c>
      <c r="M60">
        <v>6.6661900000000003</v>
      </c>
      <c r="N60">
        <f>L60*F60</f>
        <v>0</v>
      </c>
      <c r="O60">
        <f>L60*J60</f>
        <v>0</v>
      </c>
      <c r="P60">
        <f>M60-N60-H60</f>
        <v>1.5570000000000306E-2</v>
      </c>
      <c r="Q60" t="e">
        <f>P60/O60</f>
        <v>#DIV/0!</v>
      </c>
      <c r="R60">
        <f>I60-G60</f>
        <v>28</v>
      </c>
      <c r="S60" t="e">
        <f>Q60/R60</f>
        <v>#DIV/0!</v>
      </c>
      <c r="T60" t="e">
        <f>S60*10000</f>
        <v>#DIV/0!</v>
      </c>
    </row>
    <row r="61" spans="1:20" x14ac:dyDescent="0.3">
      <c r="A61" t="s">
        <v>35</v>
      </c>
      <c r="B61" t="s">
        <v>37</v>
      </c>
      <c r="C61">
        <v>2</v>
      </c>
      <c r="D61">
        <v>0.5</v>
      </c>
      <c r="E61" t="s">
        <v>23</v>
      </c>
      <c r="F61">
        <v>0.42649999999999999</v>
      </c>
      <c r="G61" s="1">
        <v>45848</v>
      </c>
      <c r="H61">
        <v>6.6760099999999998</v>
      </c>
      <c r="I61" s="1">
        <v>45876</v>
      </c>
      <c r="J61">
        <v>63.617251160000002</v>
      </c>
      <c r="K61">
        <v>5.31</v>
      </c>
      <c r="L61">
        <v>0.25</v>
      </c>
      <c r="M61">
        <v>6.9000500000000002</v>
      </c>
      <c r="N61">
        <f>L61*F61</f>
        <v>0.106625</v>
      </c>
      <c r="O61">
        <f>L61*J61</f>
        <v>15.904312790000001</v>
      </c>
      <c r="P61">
        <f>M61-N61-H61</f>
        <v>0.11741500000000027</v>
      </c>
      <c r="Q61">
        <f>P61/O61</f>
        <v>7.3825887072483986E-3</v>
      </c>
      <c r="R61">
        <f>I61-G61</f>
        <v>28</v>
      </c>
      <c r="S61">
        <f>Q61/R61</f>
        <v>2.6366388240172854E-4</v>
      </c>
      <c r="T61">
        <f>S61*10000</f>
        <v>2.6366388240172856</v>
      </c>
    </row>
    <row r="62" spans="1:20" x14ac:dyDescent="0.3">
      <c r="A62" t="s">
        <v>35</v>
      </c>
      <c r="B62" t="s">
        <v>37</v>
      </c>
      <c r="C62">
        <v>2</v>
      </c>
      <c r="D62">
        <v>0.5</v>
      </c>
      <c r="E62" t="s">
        <v>24</v>
      </c>
      <c r="F62">
        <v>0.43226999999999999</v>
      </c>
      <c r="G62" s="1">
        <v>45848</v>
      </c>
      <c r="H62">
        <v>6.6262600000000003</v>
      </c>
      <c r="I62" s="1">
        <v>45876</v>
      </c>
      <c r="J62">
        <v>63.617251160000002</v>
      </c>
      <c r="K62">
        <v>5.31</v>
      </c>
      <c r="L62">
        <v>0.25</v>
      </c>
      <c r="M62">
        <v>6.8255600000000003</v>
      </c>
      <c r="N62">
        <f>L62*F62</f>
        <v>0.1080675</v>
      </c>
      <c r="O62">
        <f>L62*J62</f>
        <v>15.904312790000001</v>
      </c>
      <c r="P62">
        <f>M62-N62-H62</f>
        <v>9.1232500000000272E-2</v>
      </c>
      <c r="Q62">
        <f>P62/O62</f>
        <v>5.7363371309801982E-3</v>
      </c>
      <c r="R62">
        <f>I62-G62</f>
        <v>28</v>
      </c>
      <c r="S62">
        <f>Q62/R62</f>
        <v>2.0486918324929279E-4</v>
      </c>
      <c r="T62">
        <f>S62*10000</f>
        <v>2.0486918324929277</v>
      </c>
    </row>
    <row r="63" spans="1:20" x14ac:dyDescent="0.3">
      <c r="A63" t="s">
        <v>35</v>
      </c>
      <c r="B63" t="s">
        <v>37</v>
      </c>
      <c r="C63">
        <v>2</v>
      </c>
      <c r="D63">
        <v>2</v>
      </c>
      <c r="E63" t="s">
        <v>22</v>
      </c>
      <c r="F63">
        <v>0.42868000000000001</v>
      </c>
      <c r="G63" s="1">
        <v>45848</v>
      </c>
      <c r="H63">
        <v>6.6493599999999997</v>
      </c>
      <c r="I63" s="1">
        <v>45876</v>
      </c>
      <c r="J63">
        <v>63.617251160000002</v>
      </c>
      <c r="K63">
        <v>5.31</v>
      </c>
      <c r="L63">
        <v>0.25</v>
      </c>
      <c r="M63">
        <v>6.8945499999999997</v>
      </c>
      <c r="N63">
        <f>L63*F63</f>
        <v>0.10717</v>
      </c>
      <c r="O63">
        <f>L63*J63</f>
        <v>15.904312790000001</v>
      </c>
      <c r="P63">
        <f>M63-N63-H63</f>
        <v>0.13802000000000003</v>
      </c>
      <c r="Q63">
        <f>P63/O63</f>
        <v>8.6781492430645299E-3</v>
      </c>
      <c r="R63">
        <f>I63-G63</f>
        <v>28</v>
      </c>
      <c r="S63">
        <f>Q63/R63</f>
        <v>3.0993390153801891E-4</v>
      </c>
      <c r="T63">
        <f>S63*10000</f>
        <v>3.0993390153801892</v>
      </c>
    </row>
    <row r="64" spans="1:20" x14ac:dyDescent="0.3">
      <c r="A64" t="s">
        <v>35</v>
      </c>
      <c r="B64" t="s">
        <v>37</v>
      </c>
      <c r="C64">
        <v>2</v>
      </c>
      <c r="D64">
        <v>2</v>
      </c>
      <c r="E64" t="s">
        <v>23</v>
      </c>
      <c r="F64">
        <v>0.43171999999999999</v>
      </c>
      <c r="G64" s="1">
        <v>45848</v>
      </c>
      <c r="H64">
        <v>6.6877500000000003</v>
      </c>
      <c r="I64" s="1">
        <v>45876</v>
      </c>
      <c r="J64">
        <v>63.617251160000002</v>
      </c>
      <c r="K64">
        <v>5.31</v>
      </c>
      <c r="L64">
        <v>0</v>
      </c>
      <c r="M64">
        <v>6.7622400000000003</v>
      </c>
      <c r="N64">
        <f>L64*F64</f>
        <v>0</v>
      </c>
      <c r="O64">
        <f>L64*J64</f>
        <v>0</v>
      </c>
      <c r="P64">
        <f>M64-N64-H64</f>
        <v>7.4489999999999945E-2</v>
      </c>
      <c r="Q64" t="e">
        <f>P64/O64</f>
        <v>#DIV/0!</v>
      </c>
      <c r="R64">
        <f>I64-G64</f>
        <v>28</v>
      </c>
      <c r="S64" t="e">
        <f>Q64/R64</f>
        <v>#DIV/0!</v>
      </c>
      <c r="T64" t="e">
        <f>S64*10000</f>
        <v>#DIV/0!</v>
      </c>
    </row>
    <row r="65" spans="1:20" x14ac:dyDescent="0.3">
      <c r="A65" t="s">
        <v>35</v>
      </c>
      <c r="B65" t="s">
        <v>37</v>
      </c>
      <c r="C65">
        <v>2</v>
      </c>
      <c r="D65">
        <v>2</v>
      </c>
      <c r="E65" t="s">
        <v>24</v>
      </c>
      <c r="F65">
        <v>0.42643999999999999</v>
      </c>
      <c r="G65" s="1">
        <v>45848</v>
      </c>
      <c r="H65">
        <v>6.6358699999999997</v>
      </c>
      <c r="I65" s="1">
        <v>45876</v>
      </c>
      <c r="J65">
        <v>63.617251160000002</v>
      </c>
      <c r="K65">
        <v>5.31</v>
      </c>
      <c r="L65">
        <v>1</v>
      </c>
      <c r="M65">
        <v>7.3491400000000002</v>
      </c>
      <c r="N65">
        <f>L65*F65</f>
        <v>0.42643999999999999</v>
      </c>
      <c r="O65">
        <f>L65*J65</f>
        <v>63.617251160000002</v>
      </c>
      <c r="P65">
        <f>M65-N65-H65</f>
        <v>0.28683000000000014</v>
      </c>
      <c r="Q65">
        <f>P65/O65</f>
        <v>4.5086827042968404E-3</v>
      </c>
      <c r="R65">
        <f>I65-G65</f>
        <v>28</v>
      </c>
      <c r="S65">
        <f>Q65/R65</f>
        <v>1.6102438229631573E-4</v>
      </c>
      <c r="T65">
        <f>S65*10000</f>
        <v>1.6102438229631573</v>
      </c>
    </row>
    <row r="66" spans="1:20" x14ac:dyDescent="0.3">
      <c r="A66" t="s">
        <v>35</v>
      </c>
      <c r="B66" t="s">
        <v>37</v>
      </c>
      <c r="C66">
        <v>2</v>
      </c>
      <c r="D66">
        <v>6</v>
      </c>
      <c r="E66" t="s">
        <v>22</v>
      </c>
      <c r="F66">
        <v>0.43197999999999998</v>
      </c>
      <c r="G66" s="1">
        <v>45848</v>
      </c>
      <c r="H66">
        <v>6.6406499999999999</v>
      </c>
      <c r="I66" s="1">
        <v>45876</v>
      </c>
      <c r="J66">
        <v>63.617251160000002</v>
      </c>
      <c r="K66">
        <v>5.31</v>
      </c>
      <c r="L66">
        <v>1</v>
      </c>
      <c r="M66">
        <v>7.5896600000000003</v>
      </c>
      <c r="N66">
        <f>L66*F66</f>
        <v>0.43197999999999998</v>
      </c>
      <c r="O66">
        <f>L66*J66</f>
        <v>63.617251160000002</v>
      </c>
      <c r="P66">
        <f>M66-N66-H66</f>
        <v>0.5170300000000001</v>
      </c>
      <c r="Q66">
        <f>P66/O66</f>
        <v>8.1271980566976782E-3</v>
      </c>
      <c r="R66">
        <f>I66-G66</f>
        <v>28</v>
      </c>
      <c r="S66">
        <f>Q66/R66</f>
        <v>2.902570734534885E-4</v>
      </c>
      <c r="T66">
        <f>S66*10000</f>
        <v>2.9025707345348848</v>
      </c>
    </row>
    <row r="67" spans="1:20" x14ac:dyDescent="0.3">
      <c r="A67" t="s">
        <v>35</v>
      </c>
      <c r="B67" t="s">
        <v>37</v>
      </c>
      <c r="C67">
        <v>2</v>
      </c>
      <c r="D67">
        <v>6</v>
      </c>
      <c r="E67" t="s">
        <v>23</v>
      </c>
      <c r="F67">
        <v>0.42608000000000001</v>
      </c>
      <c r="G67" s="1">
        <v>45848</v>
      </c>
      <c r="H67">
        <v>6.6155799999999996</v>
      </c>
      <c r="I67" s="1">
        <v>45876</v>
      </c>
      <c r="J67">
        <v>63.617251160000002</v>
      </c>
      <c r="K67">
        <v>5.31</v>
      </c>
      <c r="L67">
        <v>0.5</v>
      </c>
      <c r="M67">
        <v>7.3523899999999998</v>
      </c>
      <c r="N67">
        <f>L67*F67</f>
        <v>0.21304000000000001</v>
      </c>
      <c r="O67">
        <f>L67*J67</f>
        <v>31.808625580000001</v>
      </c>
      <c r="P67">
        <f>M67-N67-H67</f>
        <v>0.52376999999999985</v>
      </c>
      <c r="Q67">
        <f>P67/O67</f>
        <v>1.6466288324300488E-2</v>
      </c>
      <c r="R67">
        <f>I67-G67</f>
        <v>28</v>
      </c>
      <c r="S67">
        <f>Q67/R67</f>
        <v>5.8808172586787455E-4</v>
      </c>
      <c r="T67">
        <f>S67*10000</f>
        <v>5.8808172586787455</v>
      </c>
    </row>
    <row r="68" spans="1:20" x14ac:dyDescent="0.3">
      <c r="A68" t="s">
        <v>35</v>
      </c>
      <c r="B68" t="s">
        <v>37</v>
      </c>
      <c r="C68">
        <v>2</v>
      </c>
      <c r="D68">
        <v>6</v>
      </c>
      <c r="E68" t="s">
        <v>24</v>
      </c>
      <c r="F68">
        <v>0.42168</v>
      </c>
      <c r="G68" s="1">
        <v>45848</v>
      </c>
      <c r="H68">
        <v>6.6060299999999996</v>
      </c>
      <c r="I68" s="1">
        <v>45876</v>
      </c>
      <c r="J68">
        <v>63.617251160000002</v>
      </c>
      <c r="K68">
        <v>5.31</v>
      </c>
      <c r="L68">
        <v>1</v>
      </c>
      <c r="M68">
        <v>7.5045400000000004</v>
      </c>
      <c r="N68">
        <f>L68*F68</f>
        <v>0.42168</v>
      </c>
      <c r="O68">
        <f>L68*J68</f>
        <v>63.617251160000002</v>
      </c>
      <c r="P68">
        <f>M68-N68-H68</f>
        <v>0.47683000000000053</v>
      </c>
      <c r="Q68">
        <f>P68/O68</f>
        <v>7.495293985600753E-3</v>
      </c>
      <c r="R68">
        <f>I68-G68</f>
        <v>28</v>
      </c>
      <c r="S68">
        <f>Q68/R68</f>
        <v>2.6768907091431261E-4</v>
      </c>
      <c r="T68">
        <f>S68*10000</f>
        <v>2.6768907091431262</v>
      </c>
    </row>
    <row r="69" spans="1:20" x14ac:dyDescent="0.3">
      <c r="A69" t="s">
        <v>35</v>
      </c>
      <c r="B69" t="s">
        <v>37</v>
      </c>
      <c r="C69">
        <v>2</v>
      </c>
      <c r="D69">
        <v>12</v>
      </c>
      <c r="E69" t="s">
        <v>22</v>
      </c>
      <c r="F69">
        <v>0.433</v>
      </c>
      <c r="G69" s="1">
        <v>45848</v>
      </c>
      <c r="H69">
        <v>6.6974</v>
      </c>
      <c r="I69" s="1">
        <v>45876</v>
      </c>
      <c r="J69">
        <v>63.617251160000002</v>
      </c>
      <c r="K69">
        <v>5.31</v>
      </c>
      <c r="L69">
        <v>1</v>
      </c>
      <c r="M69">
        <v>7.5754999999999999</v>
      </c>
      <c r="N69">
        <f>L69*F69</f>
        <v>0.433</v>
      </c>
      <c r="O69">
        <f>L69*J69</f>
        <v>63.617251160000002</v>
      </c>
      <c r="P69">
        <f>M69-N69-H69</f>
        <v>0.44510000000000005</v>
      </c>
      <c r="Q69">
        <f>P69/O69</f>
        <v>6.9965299016229929E-3</v>
      </c>
      <c r="R69">
        <f>I69-G69</f>
        <v>28</v>
      </c>
      <c r="S69">
        <f>Q69/R69</f>
        <v>2.4987606791510687E-4</v>
      </c>
      <c r="T69">
        <f>S69*10000</f>
        <v>2.4987606791510686</v>
      </c>
    </row>
    <row r="70" spans="1:20" x14ac:dyDescent="0.3">
      <c r="A70" t="s">
        <v>35</v>
      </c>
      <c r="B70" t="s">
        <v>37</v>
      </c>
      <c r="C70">
        <v>2</v>
      </c>
      <c r="D70">
        <v>12</v>
      </c>
      <c r="E70" t="s">
        <v>23</v>
      </c>
      <c r="F70">
        <v>0.42180000000000001</v>
      </c>
      <c r="G70" s="1">
        <v>45848</v>
      </c>
      <c r="H70">
        <v>6.6374300000000002</v>
      </c>
      <c r="I70" s="1">
        <v>45876</v>
      </c>
      <c r="J70">
        <v>63.617251160000002</v>
      </c>
      <c r="K70">
        <v>5.31</v>
      </c>
      <c r="L70">
        <v>1</v>
      </c>
      <c r="M70">
        <v>7.56386</v>
      </c>
      <c r="N70">
        <f>L70*F70</f>
        <v>0.42180000000000001</v>
      </c>
      <c r="O70">
        <f>L70*J70</f>
        <v>63.617251160000002</v>
      </c>
      <c r="P70">
        <f>M70-N70-H70</f>
        <v>0.50462999999999969</v>
      </c>
      <c r="Q70">
        <f>P70/O70</f>
        <v>7.9322823730757323E-3</v>
      </c>
      <c r="R70">
        <f>I70-G70</f>
        <v>28</v>
      </c>
      <c r="S70">
        <f>Q70/R70</f>
        <v>2.8329579903841901E-4</v>
      </c>
      <c r="T70">
        <f>S70*10000</f>
        <v>2.8329579903841902</v>
      </c>
    </row>
    <row r="71" spans="1:20" x14ac:dyDescent="0.3">
      <c r="A71" t="s">
        <v>35</v>
      </c>
      <c r="B71" t="s">
        <v>37</v>
      </c>
      <c r="C71">
        <v>2</v>
      </c>
      <c r="D71">
        <v>12</v>
      </c>
      <c r="E71" t="s">
        <v>24</v>
      </c>
      <c r="F71">
        <v>0.42931000000000002</v>
      </c>
      <c r="G71" s="1">
        <v>45848</v>
      </c>
      <c r="H71">
        <v>6.6511300000000002</v>
      </c>
      <c r="I71" s="1">
        <v>45876</v>
      </c>
      <c r="J71">
        <v>63.617251160000002</v>
      </c>
      <c r="K71">
        <v>5.31</v>
      </c>
      <c r="L71">
        <v>0.75</v>
      </c>
      <c r="M71">
        <v>7.4553500000000001</v>
      </c>
      <c r="N71">
        <f>L71*F71</f>
        <v>0.3219825</v>
      </c>
      <c r="O71">
        <f>L71*J71</f>
        <v>47.712938370000003</v>
      </c>
      <c r="P71">
        <f>M71-N71-H71</f>
        <v>0.4822375000000001</v>
      </c>
      <c r="Q71">
        <f>P71/O71</f>
        <v>1.0107059352756438E-2</v>
      </c>
      <c r="R71">
        <f>I71-G71</f>
        <v>28</v>
      </c>
      <c r="S71">
        <f>Q71/R71</f>
        <v>3.6096640545558707E-4</v>
      </c>
      <c r="T71">
        <f>S71*10000</f>
        <v>3.6096640545558709</v>
      </c>
    </row>
    <row r="72" spans="1:20" x14ac:dyDescent="0.3">
      <c r="A72" t="s">
        <v>35</v>
      </c>
      <c r="B72" t="s">
        <v>37</v>
      </c>
      <c r="C72">
        <v>2</v>
      </c>
      <c r="D72">
        <v>24</v>
      </c>
      <c r="E72" t="s">
        <v>22</v>
      </c>
      <c r="F72">
        <v>0.42086000000000001</v>
      </c>
      <c r="G72" s="1">
        <v>45848</v>
      </c>
      <c r="H72">
        <v>6.62479</v>
      </c>
      <c r="I72" s="1">
        <v>45876</v>
      </c>
      <c r="J72">
        <v>63.617251160000002</v>
      </c>
      <c r="K72">
        <v>5.31</v>
      </c>
      <c r="L72">
        <v>1</v>
      </c>
      <c r="M72">
        <v>8.3043099999999992</v>
      </c>
      <c r="N72">
        <f>L72*F72</f>
        <v>0.42086000000000001</v>
      </c>
      <c r="O72">
        <f>L72*J72</f>
        <v>63.617251160000002</v>
      </c>
      <c r="P72">
        <f>M72-N72-H72</f>
        <v>1.258659999999999</v>
      </c>
      <c r="Q72">
        <f>P72/O72</f>
        <v>1.9784885028031426E-2</v>
      </c>
      <c r="R72">
        <f>I72-G72</f>
        <v>28</v>
      </c>
      <c r="S72">
        <f>Q72/R72</f>
        <v>7.0660303671540804E-4</v>
      </c>
      <c r="T72">
        <f>S72*10000</f>
        <v>7.0660303671540801</v>
      </c>
    </row>
    <row r="73" spans="1:20" x14ac:dyDescent="0.3">
      <c r="A73" t="s">
        <v>35</v>
      </c>
      <c r="B73" t="s">
        <v>37</v>
      </c>
      <c r="C73">
        <v>2</v>
      </c>
      <c r="D73">
        <v>24</v>
      </c>
      <c r="E73" t="s">
        <v>23</v>
      </c>
      <c r="F73">
        <v>0.43197000000000002</v>
      </c>
      <c r="G73" s="1">
        <v>45848</v>
      </c>
      <c r="H73">
        <v>6.6175899999999999</v>
      </c>
      <c r="I73" s="1">
        <v>45876</v>
      </c>
      <c r="J73">
        <v>63.617251160000002</v>
      </c>
      <c r="K73">
        <v>5.31</v>
      </c>
      <c r="L73">
        <v>1</v>
      </c>
      <c r="M73">
        <v>8.1971100000000003</v>
      </c>
      <c r="N73">
        <f>L73*F73</f>
        <v>0.43197000000000002</v>
      </c>
      <c r="O73">
        <f>L73*J73</f>
        <v>63.617251160000002</v>
      </c>
      <c r="P73">
        <f>M73-N73-H73</f>
        <v>1.1475500000000007</v>
      </c>
      <c r="Q73">
        <f>P73/O73</f>
        <v>1.8038346188738417E-2</v>
      </c>
      <c r="R73">
        <f>I73-G73</f>
        <v>28</v>
      </c>
      <c r="S73">
        <f>Q73/R73</f>
        <v>6.4422664959780059E-4</v>
      </c>
      <c r="T73">
        <f>S73*10000</f>
        <v>6.4422664959780063</v>
      </c>
    </row>
    <row r="74" spans="1:20" x14ac:dyDescent="0.3">
      <c r="A74" t="s">
        <v>35</v>
      </c>
      <c r="B74" t="s">
        <v>37</v>
      </c>
      <c r="C74">
        <v>2</v>
      </c>
      <c r="D74">
        <v>24</v>
      </c>
      <c r="E74" t="s">
        <v>24</v>
      </c>
      <c r="F74">
        <v>0.42453999999999997</v>
      </c>
      <c r="G74" s="1">
        <v>45848</v>
      </c>
      <c r="H74">
        <v>6.6701899999999998</v>
      </c>
      <c r="I74" s="1">
        <v>45876</v>
      </c>
      <c r="J74">
        <v>63.617251160000002</v>
      </c>
      <c r="K74">
        <v>5.31</v>
      </c>
      <c r="L74">
        <v>1</v>
      </c>
      <c r="M74">
        <v>8.5128799999999991</v>
      </c>
      <c r="N74">
        <f>L74*F74</f>
        <v>0.42453999999999997</v>
      </c>
      <c r="O74">
        <f>L74*J74</f>
        <v>63.617251160000002</v>
      </c>
      <c r="P74">
        <f>M74-N74-H74</f>
        <v>1.4181499999999989</v>
      </c>
      <c r="Q74">
        <f>P74/O74</f>
        <v>2.2291909413584901E-2</v>
      </c>
      <c r="R74">
        <f>I74-G74</f>
        <v>28</v>
      </c>
      <c r="S74">
        <f>Q74/R74</f>
        <v>7.9613962191374648E-4</v>
      </c>
      <c r="T74">
        <f>S74*10000</f>
        <v>7.9613962191374652</v>
      </c>
    </row>
    <row r="75" spans="1:20" x14ac:dyDescent="0.3">
      <c r="A75" t="s">
        <v>35</v>
      </c>
      <c r="B75" t="s">
        <v>37</v>
      </c>
      <c r="C75">
        <v>2</v>
      </c>
      <c r="D75">
        <v>48</v>
      </c>
      <c r="E75" t="s">
        <v>22</v>
      </c>
      <c r="F75">
        <v>0.42446</v>
      </c>
      <c r="G75" s="1">
        <v>45848</v>
      </c>
      <c r="H75">
        <v>6.5580100000000003</v>
      </c>
      <c r="I75" s="1">
        <v>45876</v>
      </c>
      <c r="J75">
        <v>63.617251160000002</v>
      </c>
      <c r="K75">
        <v>5.31</v>
      </c>
      <c r="L75">
        <v>1</v>
      </c>
      <c r="M75">
        <v>7.8449600000000004</v>
      </c>
      <c r="N75">
        <f>L75*F75</f>
        <v>0.42446</v>
      </c>
      <c r="O75">
        <f>L75*J75</f>
        <v>63.617251160000002</v>
      </c>
      <c r="P75">
        <f>M75-N75-H75</f>
        <v>0.8624900000000002</v>
      </c>
      <c r="Q75">
        <f>P75/O75</f>
        <v>1.3557486126377928E-2</v>
      </c>
      <c r="R75">
        <f>I75-G75</f>
        <v>28</v>
      </c>
      <c r="S75">
        <f>Q75/R75</f>
        <v>4.8419593308492598E-4</v>
      </c>
      <c r="T75">
        <f>S75*10000</f>
        <v>4.8419593308492601</v>
      </c>
    </row>
    <row r="76" spans="1:20" x14ac:dyDescent="0.3">
      <c r="A76" t="s">
        <v>35</v>
      </c>
      <c r="B76" t="s">
        <v>37</v>
      </c>
      <c r="C76">
        <v>2</v>
      </c>
      <c r="D76">
        <v>48</v>
      </c>
      <c r="E76" t="s">
        <v>23</v>
      </c>
      <c r="F76">
        <v>0.43159999999999998</v>
      </c>
      <c r="G76" s="1">
        <v>45848</v>
      </c>
      <c r="H76">
        <v>6.6289600000000002</v>
      </c>
      <c r="I76" s="1">
        <v>45876</v>
      </c>
      <c r="J76">
        <v>63.617251160000002</v>
      </c>
      <c r="K76">
        <v>5.31</v>
      </c>
      <c r="L76" t="s">
        <v>39</v>
      </c>
      <c r="M76">
        <v>7.3991699999999998</v>
      </c>
      <c r="N76" t="e">
        <f>L76*F76</f>
        <v>#VALUE!</v>
      </c>
      <c r="O76" t="e">
        <f>L76*J76</f>
        <v>#VALUE!</v>
      </c>
      <c r="P76" t="e">
        <f>M76-N76-H76</f>
        <v>#VALUE!</v>
      </c>
      <c r="Q76" t="e">
        <f>P76/O76</f>
        <v>#VALUE!</v>
      </c>
      <c r="R76">
        <f>I76-G76</f>
        <v>28</v>
      </c>
      <c r="S76" t="e">
        <f>Q76/R76</f>
        <v>#VALUE!</v>
      </c>
      <c r="T76" t="e">
        <f>S76*10000</f>
        <v>#VALUE!</v>
      </c>
    </row>
    <row r="77" spans="1:20" x14ac:dyDescent="0.3">
      <c r="A77" t="s">
        <v>35</v>
      </c>
      <c r="B77" t="s">
        <v>37</v>
      </c>
      <c r="C77">
        <v>2</v>
      </c>
      <c r="D77">
        <v>48</v>
      </c>
      <c r="E77" t="s">
        <v>24</v>
      </c>
      <c r="F77">
        <v>0.42410999999999999</v>
      </c>
      <c r="G77" s="1">
        <v>45848</v>
      </c>
      <c r="H77">
        <v>6.6048999999999998</v>
      </c>
      <c r="I77" s="1">
        <v>45876</v>
      </c>
      <c r="J77">
        <v>63.617251160000002</v>
      </c>
      <c r="K77">
        <v>5.31</v>
      </c>
      <c r="L77">
        <v>0.25</v>
      </c>
      <c r="M77">
        <v>8.0095100000000006</v>
      </c>
      <c r="N77">
        <f>L77*F77</f>
        <v>0.1060275</v>
      </c>
      <c r="O77">
        <f>L77*J77</f>
        <v>15.904312790000001</v>
      </c>
      <c r="P77">
        <f>M77-N77-H77</f>
        <v>1.2985825000000011</v>
      </c>
      <c r="Q77">
        <f>P77/O77</f>
        <v>8.1649708299028054E-2</v>
      </c>
      <c r="R77">
        <f>I77-G77</f>
        <v>28</v>
      </c>
      <c r="S77">
        <f>Q77/R77</f>
        <v>2.9160610106795733E-3</v>
      </c>
      <c r="T77">
        <f>S77*10000</f>
        <v>29.160610106795733</v>
      </c>
    </row>
    <row r="78" spans="1:20" x14ac:dyDescent="0.3">
      <c r="A78" t="s">
        <v>35</v>
      </c>
      <c r="B78" t="s">
        <v>37</v>
      </c>
      <c r="C78">
        <v>2</v>
      </c>
      <c r="E78" t="s">
        <v>29</v>
      </c>
      <c r="F78">
        <v>0.43120999999999998</v>
      </c>
      <c r="G78" t="s">
        <v>27</v>
      </c>
      <c r="H78">
        <v>6.5839999999999996</v>
      </c>
      <c r="I78" t="s">
        <v>27</v>
      </c>
      <c r="J78">
        <v>63.617251160000002</v>
      </c>
      <c r="K78">
        <v>5.31</v>
      </c>
      <c r="L78" t="s">
        <v>27</v>
      </c>
      <c r="M78" t="s">
        <v>27</v>
      </c>
      <c r="N78" t="e">
        <f>L78*F78</f>
        <v>#VALUE!</v>
      </c>
      <c r="O78" t="e">
        <f>L78*J78</f>
        <v>#VALUE!</v>
      </c>
      <c r="P78" t="e">
        <f>M78-N78-H78</f>
        <v>#VALUE!</v>
      </c>
      <c r="Q78" t="e">
        <f>P78/O78</f>
        <v>#VALUE!</v>
      </c>
      <c r="R78" t="e">
        <f>I78-G78</f>
        <v>#VALUE!</v>
      </c>
      <c r="S78" t="e">
        <f>Q78/R78</f>
        <v>#VALUE!</v>
      </c>
      <c r="T78" t="e">
        <f>S78*10000</f>
        <v>#VALUE!</v>
      </c>
    </row>
    <row r="79" spans="1:20" x14ac:dyDescent="0.3">
      <c r="A79" t="s">
        <v>35</v>
      </c>
      <c r="B79" t="s">
        <v>37</v>
      </c>
      <c r="C79">
        <v>2</v>
      </c>
      <c r="E79" t="s">
        <v>31</v>
      </c>
      <c r="F79">
        <v>0.42387000000000002</v>
      </c>
      <c r="G79" t="s">
        <v>27</v>
      </c>
      <c r="H79">
        <v>6.5652699999999999</v>
      </c>
      <c r="I79" t="s">
        <v>27</v>
      </c>
      <c r="J79">
        <v>63.617251160000002</v>
      </c>
      <c r="K79">
        <v>5.31</v>
      </c>
      <c r="L79" t="s">
        <v>27</v>
      </c>
      <c r="M79" t="s">
        <v>27</v>
      </c>
      <c r="N79" t="e">
        <f>L79*F79</f>
        <v>#VALUE!</v>
      </c>
      <c r="O79" t="e">
        <f>L79*J79</f>
        <v>#VALUE!</v>
      </c>
      <c r="P79" t="e">
        <f>M79-N79-H79</f>
        <v>#VALUE!</v>
      </c>
      <c r="Q79" t="e">
        <f>P79/O79</f>
        <v>#VALUE!</v>
      </c>
      <c r="R79" t="e">
        <f>I79-G79</f>
        <v>#VALUE!</v>
      </c>
      <c r="S79" t="e">
        <f>Q79/R79</f>
        <v>#VALUE!</v>
      </c>
      <c r="T79" t="e">
        <f>S79*10000</f>
        <v>#VALUE!</v>
      </c>
    </row>
    <row r="80" spans="1:20" x14ac:dyDescent="0.3">
      <c r="A80" t="s">
        <v>35</v>
      </c>
      <c r="B80" t="s">
        <v>37</v>
      </c>
      <c r="C80">
        <v>2</v>
      </c>
      <c r="E80" t="s">
        <v>33</v>
      </c>
      <c r="F80">
        <v>0.43196000000000001</v>
      </c>
      <c r="G80" t="s">
        <v>27</v>
      </c>
      <c r="H80">
        <v>6.6211799999999998</v>
      </c>
      <c r="I80" t="s">
        <v>27</v>
      </c>
      <c r="J80">
        <v>63.617251160000002</v>
      </c>
      <c r="K80">
        <v>5.31</v>
      </c>
      <c r="L80" t="s">
        <v>27</v>
      </c>
      <c r="M80" t="s">
        <v>27</v>
      </c>
      <c r="N80" t="e">
        <f>L80*F80</f>
        <v>#VALUE!</v>
      </c>
      <c r="O80" t="e">
        <f>L80*J80</f>
        <v>#VALUE!</v>
      </c>
      <c r="P80" t="e">
        <f>M80-N80-H80</f>
        <v>#VALUE!</v>
      </c>
      <c r="Q80" t="e">
        <f>P80/O80</f>
        <v>#VALUE!</v>
      </c>
      <c r="R80" t="e">
        <f>I80-G80</f>
        <v>#VALUE!</v>
      </c>
      <c r="S80" t="e">
        <f>Q80/R80</f>
        <v>#VALUE!</v>
      </c>
      <c r="T80" t="e">
        <f>S80*10000</f>
        <v>#VALUE!</v>
      </c>
    </row>
    <row r="81" spans="1:20" x14ac:dyDescent="0.3">
      <c r="A81" t="s">
        <v>35</v>
      </c>
      <c r="B81" t="s">
        <v>37</v>
      </c>
      <c r="C81">
        <v>2</v>
      </c>
      <c r="E81" t="s">
        <v>34</v>
      </c>
      <c r="F81">
        <v>0.42092000000000002</v>
      </c>
      <c r="G81" t="s">
        <v>27</v>
      </c>
      <c r="H81">
        <v>6.6698199999999996</v>
      </c>
      <c r="I81" t="s">
        <v>27</v>
      </c>
      <c r="J81">
        <v>63.617251160000002</v>
      </c>
      <c r="K81">
        <v>5.31</v>
      </c>
      <c r="L81" t="s">
        <v>27</v>
      </c>
      <c r="M81" t="s">
        <v>27</v>
      </c>
      <c r="N81" t="e">
        <f>L81*F81</f>
        <v>#VALUE!</v>
      </c>
      <c r="O81" t="e">
        <f>L81*J81</f>
        <v>#VALUE!</v>
      </c>
      <c r="P81" t="e">
        <f>M81-N81-H81</f>
        <v>#VALUE!</v>
      </c>
      <c r="Q81" t="e">
        <f>P81/O81</f>
        <v>#VALUE!</v>
      </c>
      <c r="R81" t="e">
        <f>I81-G81</f>
        <v>#VALUE!</v>
      </c>
      <c r="S81" t="e">
        <f>Q81/R81</f>
        <v>#VALUE!</v>
      </c>
      <c r="T81" t="e">
        <f>S81*10000</f>
        <v>#VALUE!</v>
      </c>
    </row>
    <row r="82" spans="1:20" x14ac:dyDescent="0.3">
      <c r="A82" t="s">
        <v>35</v>
      </c>
      <c r="B82" t="s">
        <v>36</v>
      </c>
      <c r="C82">
        <v>1</v>
      </c>
      <c r="D82">
        <v>0.5</v>
      </c>
      <c r="E82" t="s">
        <v>22</v>
      </c>
      <c r="F82">
        <v>0.42669000000000001</v>
      </c>
      <c r="G82" s="1">
        <v>45847</v>
      </c>
      <c r="H82">
        <v>6.5805300000000004</v>
      </c>
      <c r="I82" s="1">
        <v>45875</v>
      </c>
      <c r="J82">
        <v>63.617251160000002</v>
      </c>
      <c r="K82">
        <v>5.31</v>
      </c>
      <c r="L82">
        <v>1</v>
      </c>
      <c r="M82">
        <v>6.6297499999999996</v>
      </c>
      <c r="N82">
        <f>L82*F82</f>
        <v>0.42669000000000001</v>
      </c>
      <c r="O82">
        <f>L82*J82</f>
        <v>63.617251160000002</v>
      </c>
      <c r="P82">
        <f>M82-N82-H82</f>
        <v>-0.37747000000000064</v>
      </c>
      <c r="Q82">
        <f>P82/O82</f>
        <v>-5.9334534755462491E-3</v>
      </c>
      <c r="R82">
        <f>I82-G82</f>
        <v>28</v>
      </c>
      <c r="S82">
        <f>Q82/R82</f>
        <v>-2.1190905269808034E-4</v>
      </c>
      <c r="T82">
        <f>S82*10000</f>
        <v>-2.1190905269808034</v>
      </c>
    </row>
    <row r="83" spans="1:20" x14ac:dyDescent="0.3">
      <c r="A83" t="s">
        <v>35</v>
      </c>
      <c r="B83" t="s">
        <v>36</v>
      </c>
      <c r="C83">
        <v>1</v>
      </c>
      <c r="D83">
        <v>0.5</v>
      </c>
      <c r="E83" t="s">
        <v>23</v>
      </c>
      <c r="F83">
        <v>0.43941000000000002</v>
      </c>
      <c r="G83" s="1">
        <v>45847</v>
      </c>
      <c r="H83">
        <v>6.6060699999999999</v>
      </c>
      <c r="I83" s="1">
        <v>45875</v>
      </c>
      <c r="J83">
        <v>63.617251160000002</v>
      </c>
      <c r="K83">
        <v>5.31</v>
      </c>
      <c r="L83">
        <v>0.75</v>
      </c>
      <c r="M83">
        <v>10.90851</v>
      </c>
      <c r="N83">
        <f>L83*F83</f>
        <v>0.3295575</v>
      </c>
      <c r="O83">
        <f>L83*J83</f>
        <v>47.712938370000003</v>
      </c>
      <c r="P83">
        <f>M83-N83-H83</f>
        <v>3.9728824999999999</v>
      </c>
      <c r="Q83">
        <f>P83/O83</f>
        <v>8.3266355745928874E-2</v>
      </c>
      <c r="R83">
        <f>I83-G83</f>
        <v>28</v>
      </c>
      <c r="S83">
        <f>Q83/R83</f>
        <v>2.9737984194974599E-3</v>
      </c>
      <c r="T83">
        <f>S83*10000</f>
        <v>29.737984194974601</v>
      </c>
    </row>
    <row r="84" spans="1:20" x14ac:dyDescent="0.3">
      <c r="A84" t="s">
        <v>35</v>
      </c>
      <c r="B84" t="s">
        <v>36</v>
      </c>
      <c r="C84">
        <v>1</v>
      </c>
      <c r="D84">
        <v>0.5</v>
      </c>
      <c r="E84" t="s">
        <v>24</v>
      </c>
      <c r="F84">
        <v>0.43635000000000002</v>
      </c>
      <c r="G84" s="1">
        <v>45847</v>
      </c>
      <c r="H84">
        <v>6.5826599999999997</v>
      </c>
      <c r="I84" s="1">
        <v>45875</v>
      </c>
      <c r="J84">
        <v>63.617251160000002</v>
      </c>
      <c r="K84">
        <v>5.31</v>
      </c>
      <c r="L84">
        <v>1</v>
      </c>
      <c r="M84">
        <v>15.80663</v>
      </c>
      <c r="N84">
        <f>L84*F84</f>
        <v>0.43635000000000002</v>
      </c>
      <c r="O84">
        <f>L84*J84</f>
        <v>63.617251160000002</v>
      </c>
      <c r="P84">
        <f>M84-N84-H84</f>
        <v>8.7876200000000004</v>
      </c>
      <c r="Q84">
        <f>P84/O84</f>
        <v>0.13813265804111491</v>
      </c>
      <c r="R84">
        <f>I84-G84</f>
        <v>28</v>
      </c>
      <c r="S84">
        <f>Q84/R84</f>
        <v>4.9333092157541041E-3</v>
      </c>
      <c r="T84">
        <f>S84*10000</f>
        <v>49.333092157541039</v>
      </c>
    </row>
    <row r="85" spans="1:20" x14ac:dyDescent="0.3">
      <c r="A85" t="s">
        <v>35</v>
      </c>
      <c r="B85" t="s">
        <v>36</v>
      </c>
      <c r="C85">
        <v>1</v>
      </c>
      <c r="D85">
        <v>2</v>
      </c>
      <c r="E85" t="s">
        <v>22</v>
      </c>
      <c r="F85">
        <v>0.42355999999999999</v>
      </c>
      <c r="G85" s="1">
        <v>45847</v>
      </c>
      <c r="H85">
        <v>6.5946199999999999</v>
      </c>
      <c r="I85" s="1">
        <v>45875</v>
      </c>
      <c r="J85">
        <v>63.617251160000002</v>
      </c>
      <c r="K85">
        <v>5.31</v>
      </c>
      <c r="L85">
        <v>0.5</v>
      </c>
      <c r="M85">
        <v>7.5062199999999999</v>
      </c>
      <c r="N85">
        <f>L85*F85</f>
        <v>0.21178</v>
      </c>
      <c r="O85">
        <f>L85*J85</f>
        <v>31.808625580000001</v>
      </c>
      <c r="P85">
        <f>M85-N85-H85</f>
        <v>0.69981999999999989</v>
      </c>
      <c r="Q85">
        <f>P85/O85</f>
        <v>2.2000950598758937E-2</v>
      </c>
      <c r="R85">
        <f>I85-G85</f>
        <v>28</v>
      </c>
      <c r="S85">
        <f>Q85/R85</f>
        <v>7.8574823566996202E-4</v>
      </c>
      <c r="T85">
        <f>S85*10000</f>
        <v>7.8574823566996201</v>
      </c>
    </row>
    <row r="86" spans="1:20" x14ac:dyDescent="0.3">
      <c r="A86" t="s">
        <v>35</v>
      </c>
      <c r="B86" t="s">
        <v>36</v>
      </c>
      <c r="C86">
        <v>1</v>
      </c>
      <c r="D86">
        <v>2</v>
      </c>
      <c r="E86" t="s">
        <v>23</v>
      </c>
      <c r="F86">
        <v>0.43584000000000001</v>
      </c>
      <c r="G86" s="1">
        <v>45847</v>
      </c>
      <c r="H86">
        <v>6.6515399999999998</v>
      </c>
      <c r="I86" s="1">
        <v>45875</v>
      </c>
      <c r="J86">
        <v>63.617251160000002</v>
      </c>
      <c r="K86">
        <v>5.31</v>
      </c>
      <c r="L86">
        <v>1</v>
      </c>
      <c r="M86">
        <v>8.4301600000000008</v>
      </c>
      <c r="N86">
        <f>L86*F86</f>
        <v>0.43584000000000001</v>
      </c>
      <c r="O86">
        <f>L86*J86</f>
        <v>63.617251160000002</v>
      </c>
      <c r="P86">
        <f>M86-N86-H86</f>
        <v>1.3427800000000012</v>
      </c>
      <c r="Q86">
        <f>P86/O86</f>
        <v>2.1107167875311906E-2</v>
      </c>
      <c r="R86">
        <f>I86-G86</f>
        <v>28</v>
      </c>
      <c r="S86">
        <f>Q86/R86</f>
        <v>7.5382742411828237E-4</v>
      </c>
      <c r="T86">
        <f>S86*10000</f>
        <v>7.5382742411828234</v>
      </c>
    </row>
    <row r="87" spans="1:20" x14ac:dyDescent="0.3">
      <c r="A87" t="s">
        <v>35</v>
      </c>
      <c r="B87" t="s">
        <v>36</v>
      </c>
      <c r="C87">
        <v>1</v>
      </c>
      <c r="D87">
        <v>2</v>
      </c>
      <c r="E87" t="s">
        <v>24</v>
      </c>
      <c r="F87">
        <v>0.42371999999999999</v>
      </c>
      <c r="G87" s="1">
        <v>45847</v>
      </c>
      <c r="H87">
        <v>6.6098100000000004</v>
      </c>
      <c r="I87" s="1">
        <v>45875</v>
      </c>
      <c r="J87">
        <v>63.617251160000002</v>
      </c>
      <c r="K87">
        <v>5.31</v>
      </c>
      <c r="L87">
        <v>1</v>
      </c>
      <c r="M87">
        <v>10.19847</v>
      </c>
      <c r="N87">
        <f>L87*F87</f>
        <v>0.42371999999999999</v>
      </c>
      <c r="O87">
        <f>L87*J87</f>
        <v>63.617251160000002</v>
      </c>
      <c r="P87">
        <f>M87-N87-H87</f>
        <v>3.1649400000000005</v>
      </c>
      <c r="Q87">
        <f>P87/O87</f>
        <v>4.9749713203420975E-2</v>
      </c>
      <c r="R87">
        <f>I87-G87</f>
        <v>28</v>
      </c>
      <c r="S87">
        <f>Q87/R87</f>
        <v>1.7767754715507492E-3</v>
      </c>
      <c r="T87">
        <f>S87*10000</f>
        <v>17.767754715507493</v>
      </c>
    </row>
    <row r="88" spans="1:20" x14ac:dyDescent="0.3">
      <c r="A88" t="s">
        <v>35</v>
      </c>
      <c r="B88" t="s">
        <v>36</v>
      </c>
      <c r="C88">
        <v>1</v>
      </c>
      <c r="D88">
        <v>6</v>
      </c>
      <c r="E88" t="s">
        <v>22</v>
      </c>
      <c r="F88">
        <v>0.43828</v>
      </c>
      <c r="G88" s="1">
        <v>45847</v>
      </c>
      <c r="H88">
        <v>6.6723299999999997</v>
      </c>
      <c r="I88" s="1">
        <v>45875</v>
      </c>
      <c r="J88">
        <v>63.617251160000002</v>
      </c>
      <c r="K88">
        <v>5.31</v>
      </c>
      <c r="L88">
        <v>1</v>
      </c>
      <c r="M88">
        <v>10.011039999999999</v>
      </c>
      <c r="N88">
        <f>L88*F88</f>
        <v>0.43828</v>
      </c>
      <c r="O88">
        <f>L88*J88</f>
        <v>63.617251160000002</v>
      </c>
      <c r="P88">
        <f>M88-N88-H88</f>
        <v>2.9004299999999992</v>
      </c>
      <c r="Q88">
        <f>P88/O88</f>
        <v>4.5591878729643605E-2</v>
      </c>
      <c r="R88">
        <f>I88-G88</f>
        <v>28</v>
      </c>
      <c r="S88">
        <f>Q88/R88</f>
        <v>1.6282813832015574E-3</v>
      </c>
      <c r="T88">
        <f>S88*10000</f>
        <v>16.282813832015574</v>
      </c>
    </row>
    <row r="89" spans="1:20" x14ac:dyDescent="0.3">
      <c r="A89" t="s">
        <v>35</v>
      </c>
      <c r="B89" t="s">
        <v>36</v>
      </c>
      <c r="C89">
        <v>1</v>
      </c>
      <c r="D89">
        <v>6</v>
      </c>
      <c r="E89" t="s">
        <v>23</v>
      </c>
      <c r="F89">
        <v>0.42448999999999998</v>
      </c>
      <c r="G89" s="1">
        <v>45847</v>
      </c>
      <c r="H89">
        <v>6.64696</v>
      </c>
      <c r="I89" s="1">
        <v>45875</v>
      </c>
      <c r="J89">
        <v>63.617251160000002</v>
      </c>
      <c r="K89">
        <v>5.31</v>
      </c>
      <c r="L89">
        <v>1</v>
      </c>
      <c r="M89">
        <v>8.9650999999999996</v>
      </c>
      <c r="N89">
        <f>L89*F89</f>
        <v>0.42448999999999998</v>
      </c>
      <c r="O89">
        <f>L89*J89</f>
        <v>63.617251160000002</v>
      </c>
      <c r="P89">
        <f>M89-N89-H89</f>
        <v>1.8936499999999992</v>
      </c>
      <c r="Q89">
        <f>P89/O89</f>
        <v>2.9766297120216521E-2</v>
      </c>
      <c r="R89">
        <f>I89-G89</f>
        <v>28</v>
      </c>
      <c r="S89">
        <f>Q89/R89</f>
        <v>1.0630820400077329E-3</v>
      </c>
      <c r="T89">
        <f>S89*10000</f>
        <v>10.630820400077329</v>
      </c>
    </row>
    <row r="90" spans="1:20" x14ac:dyDescent="0.3">
      <c r="A90" t="s">
        <v>35</v>
      </c>
      <c r="B90" t="s">
        <v>36</v>
      </c>
      <c r="C90">
        <v>1</v>
      </c>
      <c r="D90">
        <v>6</v>
      </c>
      <c r="E90" t="s">
        <v>24</v>
      </c>
      <c r="F90">
        <v>0.43802999999999997</v>
      </c>
      <c r="G90" s="1">
        <v>45847</v>
      </c>
      <c r="H90">
        <v>6.6450300000000002</v>
      </c>
      <c r="I90" s="1">
        <v>45875</v>
      </c>
      <c r="J90">
        <v>63.617251160000002</v>
      </c>
      <c r="K90">
        <v>5.31</v>
      </c>
      <c r="L90">
        <v>1</v>
      </c>
      <c r="M90">
        <v>9.2694200000000002</v>
      </c>
      <c r="N90">
        <f>L90*F90</f>
        <v>0.43802999999999997</v>
      </c>
      <c r="O90">
        <f>L90*J90</f>
        <v>63.617251160000002</v>
      </c>
      <c r="P90">
        <f>M90-N90-H90</f>
        <v>2.1863600000000005</v>
      </c>
      <c r="Q90">
        <f>P90/O90</f>
        <v>3.4367407584166364E-2</v>
      </c>
      <c r="R90">
        <f>I90-G90</f>
        <v>28</v>
      </c>
      <c r="S90">
        <f>Q90/R90</f>
        <v>1.2274074137202274E-3</v>
      </c>
      <c r="T90">
        <f>S90*10000</f>
        <v>12.274074137202273</v>
      </c>
    </row>
    <row r="91" spans="1:20" x14ac:dyDescent="0.3">
      <c r="A91" t="s">
        <v>35</v>
      </c>
      <c r="B91" t="s">
        <v>36</v>
      </c>
      <c r="C91">
        <v>1</v>
      </c>
      <c r="D91">
        <v>12</v>
      </c>
      <c r="E91" t="s">
        <v>22</v>
      </c>
      <c r="F91">
        <v>0.42454999999999998</v>
      </c>
      <c r="G91" s="1">
        <v>45847</v>
      </c>
      <c r="H91">
        <v>6.6996900000000004</v>
      </c>
      <c r="I91" s="1">
        <v>45875</v>
      </c>
      <c r="J91">
        <v>63.617251160000002</v>
      </c>
      <c r="K91">
        <v>5.31</v>
      </c>
      <c r="L91">
        <v>1</v>
      </c>
      <c r="M91">
        <v>8.6840700000000002</v>
      </c>
      <c r="N91">
        <f>L91*F91</f>
        <v>0.42454999999999998</v>
      </c>
      <c r="O91">
        <f>L91*J91</f>
        <v>63.617251160000002</v>
      </c>
      <c r="P91">
        <f>M91-N91-H91</f>
        <v>1.5598299999999998</v>
      </c>
      <c r="Q91">
        <f>P91/O91</f>
        <v>2.4518978289033006E-2</v>
      </c>
      <c r="R91">
        <f>I91-G91</f>
        <v>28</v>
      </c>
      <c r="S91">
        <f>Q91/R91</f>
        <v>8.7567779603689303E-4</v>
      </c>
      <c r="T91">
        <f>S91*10000</f>
        <v>8.7567779603689306</v>
      </c>
    </row>
    <row r="92" spans="1:20" x14ac:dyDescent="0.3">
      <c r="A92" t="s">
        <v>35</v>
      </c>
      <c r="B92" t="s">
        <v>36</v>
      </c>
      <c r="C92">
        <v>1</v>
      </c>
      <c r="D92">
        <v>12</v>
      </c>
      <c r="E92" t="s">
        <v>23</v>
      </c>
      <c r="F92">
        <v>0.43630000000000002</v>
      </c>
      <c r="G92" s="1">
        <v>45847</v>
      </c>
      <c r="H92">
        <v>6.6218199999999996</v>
      </c>
      <c r="I92" s="1">
        <v>45875</v>
      </c>
      <c r="J92">
        <v>63.617251160000002</v>
      </c>
      <c r="K92">
        <v>5.31</v>
      </c>
      <c r="L92">
        <v>1</v>
      </c>
      <c r="M92">
        <v>8.5885599999999993</v>
      </c>
      <c r="N92">
        <f>L92*F92</f>
        <v>0.43630000000000002</v>
      </c>
      <c r="O92">
        <f>L92*J92</f>
        <v>63.617251160000002</v>
      </c>
      <c r="P92">
        <f>M92-N92-H92</f>
        <v>1.5304400000000005</v>
      </c>
      <c r="Q92">
        <f>P92/O92</f>
        <v>2.4056996680835531E-2</v>
      </c>
      <c r="R92">
        <f>I92-G92</f>
        <v>28</v>
      </c>
      <c r="S92">
        <f>Q92/R92</f>
        <v>8.5917845288698328E-4</v>
      </c>
      <c r="T92">
        <f>S92*10000</f>
        <v>8.591784528869832</v>
      </c>
    </row>
    <row r="93" spans="1:20" x14ac:dyDescent="0.3">
      <c r="A93" t="s">
        <v>35</v>
      </c>
      <c r="B93" t="s">
        <v>36</v>
      </c>
      <c r="C93">
        <v>1</v>
      </c>
      <c r="D93">
        <v>12</v>
      </c>
      <c r="E93" t="s">
        <v>24</v>
      </c>
      <c r="F93">
        <v>0.42479</v>
      </c>
      <c r="G93" s="1">
        <v>45847</v>
      </c>
      <c r="H93">
        <v>6.6832700000000003</v>
      </c>
      <c r="I93" s="1">
        <v>45875</v>
      </c>
      <c r="J93">
        <v>63.617251160000002</v>
      </c>
      <c r="K93">
        <v>5.31</v>
      </c>
      <c r="L93">
        <v>1</v>
      </c>
      <c r="M93">
        <v>8.7545000000000002</v>
      </c>
      <c r="N93">
        <f>L93*F93</f>
        <v>0.42479</v>
      </c>
      <c r="O93">
        <f>L93*J93</f>
        <v>63.617251160000002</v>
      </c>
      <c r="P93">
        <f>M93-N93-H93</f>
        <v>1.6464400000000001</v>
      </c>
      <c r="Q93">
        <f>P93/O93</f>
        <v>2.5880401463105281E-2</v>
      </c>
      <c r="R93">
        <f>I93-G93</f>
        <v>28</v>
      </c>
      <c r="S93">
        <f>Q93/R93</f>
        <v>9.2430005225375999E-4</v>
      </c>
      <c r="T93">
        <f>S93*10000</f>
        <v>9.2430005225375993</v>
      </c>
    </row>
    <row r="94" spans="1:20" x14ac:dyDescent="0.3">
      <c r="A94" t="s">
        <v>35</v>
      </c>
      <c r="B94" t="s">
        <v>36</v>
      </c>
      <c r="C94">
        <v>1</v>
      </c>
      <c r="D94">
        <v>24</v>
      </c>
      <c r="E94" t="s">
        <v>22</v>
      </c>
      <c r="F94">
        <v>0.438</v>
      </c>
      <c r="G94" s="1">
        <v>45847</v>
      </c>
      <c r="H94">
        <v>6.6820399999999998</v>
      </c>
      <c r="I94" s="1">
        <v>45875</v>
      </c>
      <c r="J94">
        <v>63.617251160000002</v>
      </c>
      <c r="K94">
        <v>5.31</v>
      </c>
      <c r="L94">
        <v>1</v>
      </c>
      <c r="M94">
        <v>8.2736599999999996</v>
      </c>
      <c r="N94">
        <f>L94*F94</f>
        <v>0.438</v>
      </c>
      <c r="O94">
        <f>L94*J94</f>
        <v>63.617251160000002</v>
      </c>
      <c r="P94">
        <f>M94-N94-H94</f>
        <v>1.1536200000000001</v>
      </c>
      <c r="Q94">
        <f>P94/O94</f>
        <v>1.8133760559672696E-2</v>
      </c>
      <c r="R94">
        <f>I94-G94</f>
        <v>28</v>
      </c>
      <c r="S94">
        <f>Q94/R94</f>
        <v>6.4763430570259628E-4</v>
      </c>
      <c r="T94">
        <f>S94*10000</f>
        <v>6.4763430570259626</v>
      </c>
    </row>
    <row r="95" spans="1:20" x14ac:dyDescent="0.3">
      <c r="A95" t="s">
        <v>35</v>
      </c>
      <c r="B95" t="s">
        <v>36</v>
      </c>
      <c r="C95">
        <v>1</v>
      </c>
      <c r="D95">
        <v>24</v>
      </c>
      <c r="E95" t="s">
        <v>23</v>
      </c>
      <c r="F95">
        <v>0.43867</v>
      </c>
      <c r="G95" s="1">
        <v>45847</v>
      </c>
      <c r="H95">
        <v>6.6606899999999998</v>
      </c>
      <c r="I95" s="1">
        <v>45875</v>
      </c>
      <c r="J95">
        <v>63.617251160000002</v>
      </c>
      <c r="K95">
        <v>5.31</v>
      </c>
      <c r="L95">
        <v>1</v>
      </c>
      <c r="M95">
        <v>8.0606299999999997</v>
      </c>
      <c r="N95">
        <f>L95*F95</f>
        <v>0.43867</v>
      </c>
      <c r="O95">
        <f>L95*J95</f>
        <v>63.617251160000002</v>
      </c>
      <c r="P95">
        <f>M95-N95-H95</f>
        <v>0.96126999999999985</v>
      </c>
      <c r="Q95">
        <f>P95/O95</f>
        <v>1.511020961252108E-2</v>
      </c>
      <c r="R95">
        <f>I95-G95</f>
        <v>28</v>
      </c>
      <c r="S95">
        <f>Q95/R95</f>
        <v>5.3965034330432434E-4</v>
      </c>
      <c r="T95">
        <f>S95*10000</f>
        <v>5.3965034330432431</v>
      </c>
    </row>
    <row r="96" spans="1:20" x14ac:dyDescent="0.3">
      <c r="A96" t="s">
        <v>35</v>
      </c>
      <c r="B96" t="s">
        <v>36</v>
      </c>
      <c r="C96">
        <v>1</v>
      </c>
      <c r="D96">
        <v>24</v>
      </c>
      <c r="E96" t="s">
        <v>24</v>
      </c>
      <c r="F96">
        <v>0.42518</v>
      </c>
      <c r="G96" s="1">
        <v>45847</v>
      </c>
      <c r="H96">
        <v>6.58249</v>
      </c>
      <c r="I96" s="1">
        <v>45875</v>
      </c>
      <c r="J96">
        <v>63.617251160000002</v>
      </c>
      <c r="K96">
        <v>5.31</v>
      </c>
      <c r="L96">
        <v>1</v>
      </c>
      <c r="M96">
        <v>8.3255199999999991</v>
      </c>
      <c r="N96">
        <f>L96*F96</f>
        <v>0.42518</v>
      </c>
      <c r="O96">
        <f>L96*J96</f>
        <v>63.617251160000002</v>
      </c>
      <c r="P96">
        <f>M96-N96-H96</f>
        <v>1.3178499999999991</v>
      </c>
      <c r="Q96">
        <f>P96/O96</f>
        <v>2.0715293037191315E-2</v>
      </c>
      <c r="R96">
        <f>I96-G96</f>
        <v>28</v>
      </c>
      <c r="S96">
        <f>Q96/R96</f>
        <v>7.3983189418540415E-4</v>
      </c>
      <c r="T96">
        <f>S96*10000</f>
        <v>7.3983189418540416</v>
      </c>
    </row>
    <row r="97" spans="1:20" x14ac:dyDescent="0.3">
      <c r="A97" t="s">
        <v>35</v>
      </c>
      <c r="B97" t="s">
        <v>36</v>
      </c>
      <c r="C97">
        <v>1</v>
      </c>
      <c r="D97">
        <v>48</v>
      </c>
      <c r="E97" t="s">
        <v>22</v>
      </c>
      <c r="F97">
        <v>0.43807000000000001</v>
      </c>
      <c r="G97" s="1">
        <v>45847</v>
      </c>
      <c r="H97">
        <v>6.6267300000000002</v>
      </c>
      <c r="I97" s="1">
        <v>45875</v>
      </c>
      <c r="J97">
        <v>63.617251160000002</v>
      </c>
      <c r="K97">
        <v>5.31</v>
      </c>
      <c r="L97">
        <v>0.5</v>
      </c>
      <c r="M97">
        <v>7.4111900000000004</v>
      </c>
      <c r="N97">
        <f>L97*F97</f>
        <v>0.21903500000000001</v>
      </c>
      <c r="O97">
        <f>L97*J97</f>
        <v>31.808625580000001</v>
      </c>
      <c r="P97">
        <f>M97-N97-H97</f>
        <v>0.56542500000000029</v>
      </c>
      <c r="Q97">
        <f>P97/O97</f>
        <v>1.7775838776118547E-2</v>
      </c>
      <c r="R97">
        <f>I97-G97</f>
        <v>28</v>
      </c>
      <c r="S97">
        <f>Q97/R97</f>
        <v>6.3485138486137668E-4</v>
      </c>
      <c r="T97">
        <f>S97*10000</f>
        <v>6.3485138486137664</v>
      </c>
    </row>
    <row r="98" spans="1:20" x14ac:dyDescent="0.3">
      <c r="A98" t="s">
        <v>35</v>
      </c>
      <c r="B98" t="s">
        <v>36</v>
      </c>
      <c r="C98">
        <v>1</v>
      </c>
      <c r="D98">
        <v>48</v>
      </c>
      <c r="E98" t="s">
        <v>23</v>
      </c>
      <c r="F98">
        <v>0.42597000000000002</v>
      </c>
      <c r="G98" s="1">
        <v>45847</v>
      </c>
      <c r="H98">
        <v>6.6290300000000002</v>
      </c>
      <c r="I98" s="1">
        <v>45875</v>
      </c>
      <c r="J98">
        <v>63.617251160000002</v>
      </c>
      <c r="K98">
        <v>5.31</v>
      </c>
      <c r="L98">
        <v>1</v>
      </c>
      <c r="M98">
        <v>7.4518300000000002</v>
      </c>
      <c r="N98">
        <f>L98*F98</f>
        <v>0.42597000000000002</v>
      </c>
      <c r="O98">
        <f>L98*J98</f>
        <v>63.617251160000002</v>
      </c>
      <c r="P98">
        <f>M98-N98-H98</f>
        <v>0.39682999999999957</v>
      </c>
      <c r="Q98">
        <f>P98/O98</f>
        <v>6.237773446104356E-3</v>
      </c>
      <c r="R98">
        <f>I98-G98</f>
        <v>28</v>
      </c>
      <c r="S98">
        <f>Q98/R98</f>
        <v>2.2277762307515558E-4</v>
      </c>
      <c r="T98">
        <f>S98*10000</f>
        <v>2.2277762307515556</v>
      </c>
    </row>
    <row r="99" spans="1:20" x14ac:dyDescent="0.3">
      <c r="A99" t="s">
        <v>35</v>
      </c>
      <c r="B99" t="s">
        <v>36</v>
      </c>
      <c r="C99">
        <v>1</v>
      </c>
      <c r="D99">
        <v>48</v>
      </c>
      <c r="E99" t="s">
        <v>24</v>
      </c>
      <c r="F99">
        <v>0.43694</v>
      </c>
      <c r="G99" s="1">
        <v>45847</v>
      </c>
      <c r="H99">
        <v>6.6616400000000002</v>
      </c>
      <c r="I99" s="1">
        <v>45875</v>
      </c>
      <c r="J99">
        <v>63.617251160000002</v>
      </c>
      <c r="K99">
        <v>5.31</v>
      </c>
      <c r="L99">
        <v>1</v>
      </c>
      <c r="M99">
        <v>7.48447</v>
      </c>
      <c r="N99">
        <f>L99*F99</f>
        <v>0.43694</v>
      </c>
      <c r="O99">
        <f>L99*J99</f>
        <v>63.617251160000002</v>
      </c>
      <c r="P99">
        <f>M99-N99-H99</f>
        <v>0.38588999999999984</v>
      </c>
      <c r="Q99">
        <f>P99/O99</f>
        <v>6.0658075123282305E-3</v>
      </c>
      <c r="R99">
        <f>I99-G99</f>
        <v>28</v>
      </c>
      <c r="S99">
        <f>Q99/R99</f>
        <v>2.1663598258315109E-4</v>
      </c>
      <c r="T99">
        <f>S99*10000</f>
        <v>2.1663598258315111</v>
      </c>
    </row>
    <row r="100" spans="1:20" x14ac:dyDescent="0.3">
      <c r="A100" t="s">
        <v>35</v>
      </c>
      <c r="B100" t="s">
        <v>36</v>
      </c>
      <c r="C100">
        <v>2</v>
      </c>
      <c r="D100">
        <v>0.5</v>
      </c>
      <c r="E100" t="s">
        <v>22</v>
      </c>
      <c r="F100">
        <v>0.42443999999999998</v>
      </c>
      <c r="G100" s="1">
        <v>45847</v>
      </c>
      <c r="H100">
        <v>6.6141199999999998</v>
      </c>
      <c r="I100" s="1">
        <v>45875</v>
      </c>
      <c r="J100">
        <v>63.617251160000002</v>
      </c>
      <c r="K100">
        <v>5.31</v>
      </c>
      <c r="L100">
        <v>0</v>
      </c>
      <c r="M100">
        <v>6.6099600000000001</v>
      </c>
      <c r="N100">
        <f>L100*F100</f>
        <v>0</v>
      </c>
      <c r="O100">
        <f>L100*J100</f>
        <v>0</v>
      </c>
      <c r="P100">
        <f>M100-N100-H100</f>
        <v>-4.1599999999997195E-3</v>
      </c>
      <c r="Q100" t="e">
        <f>P100/O100</f>
        <v>#DIV/0!</v>
      </c>
      <c r="R100">
        <f>I100-G100</f>
        <v>28</v>
      </c>
      <c r="S100" t="e">
        <f>Q100/R100</f>
        <v>#DIV/0!</v>
      </c>
      <c r="T100" t="e">
        <f>S100*10000</f>
        <v>#DIV/0!</v>
      </c>
    </row>
    <row r="101" spans="1:20" x14ac:dyDescent="0.3">
      <c r="A101" t="s">
        <v>35</v>
      </c>
      <c r="B101" t="s">
        <v>36</v>
      </c>
      <c r="C101">
        <v>2</v>
      </c>
      <c r="D101">
        <v>0.5</v>
      </c>
      <c r="E101" t="s">
        <v>23</v>
      </c>
      <c r="F101">
        <v>0.43742999999999999</v>
      </c>
      <c r="G101" s="1">
        <v>45847</v>
      </c>
      <c r="H101">
        <v>6.5961800000000004</v>
      </c>
      <c r="I101" s="1">
        <v>45875</v>
      </c>
      <c r="J101">
        <v>63.617251160000002</v>
      </c>
      <c r="K101">
        <v>5.31</v>
      </c>
      <c r="L101">
        <v>0</v>
      </c>
      <c r="M101">
        <v>6.6044700000000001</v>
      </c>
      <c r="N101">
        <f>L101*F101</f>
        <v>0</v>
      </c>
      <c r="O101">
        <f>L101*J101</f>
        <v>0</v>
      </c>
      <c r="P101">
        <f>M101-N101-H101</f>
        <v>8.2899999999996865E-3</v>
      </c>
      <c r="Q101" t="e">
        <f>P101/O101</f>
        <v>#DIV/0!</v>
      </c>
      <c r="R101">
        <f>I101-G101</f>
        <v>28</v>
      </c>
      <c r="S101" t="e">
        <f>Q101/R101</f>
        <v>#DIV/0!</v>
      </c>
      <c r="T101" t="e">
        <f>S101*10000</f>
        <v>#DIV/0!</v>
      </c>
    </row>
    <row r="102" spans="1:20" x14ac:dyDescent="0.3">
      <c r="A102" t="s">
        <v>35</v>
      </c>
      <c r="B102" t="s">
        <v>36</v>
      </c>
      <c r="C102">
        <v>2</v>
      </c>
      <c r="D102">
        <v>0.5</v>
      </c>
      <c r="E102" t="s">
        <v>24</v>
      </c>
      <c r="F102">
        <v>0.43774000000000002</v>
      </c>
      <c r="G102" s="1">
        <v>45847</v>
      </c>
      <c r="H102">
        <v>6.5816400000000002</v>
      </c>
      <c r="I102" s="1">
        <v>45875</v>
      </c>
      <c r="J102">
        <v>63.617251160000002</v>
      </c>
      <c r="K102">
        <v>5.31</v>
      </c>
      <c r="L102">
        <v>0</v>
      </c>
      <c r="M102">
        <v>6.58134</v>
      </c>
      <c r="N102">
        <f>L102*F102</f>
        <v>0</v>
      </c>
      <c r="O102">
        <f>L102*J102</f>
        <v>0</v>
      </c>
      <c r="P102">
        <f>M102-N102-H102</f>
        <v>-3.00000000000189E-4</v>
      </c>
      <c r="Q102" t="e">
        <f>P102/O102</f>
        <v>#DIV/0!</v>
      </c>
      <c r="R102">
        <f>I102-G102</f>
        <v>28</v>
      </c>
      <c r="S102" t="e">
        <f>Q102/R102</f>
        <v>#DIV/0!</v>
      </c>
      <c r="T102" t="e">
        <f>S102*10000</f>
        <v>#DIV/0!</v>
      </c>
    </row>
    <row r="103" spans="1:20" x14ac:dyDescent="0.3">
      <c r="A103" t="s">
        <v>35</v>
      </c>
      <c r="B103" t="s">
        <v>36</v>
      </c>
      <c r="C103">
        <v>2</v>
      </c>
      <c r="D103">
        <v>2</v>
      </c>
      <c r="E103" t="s">
        <v>22</v>
      </c>
      <c r="F103">
        <v>0.42282999999999998</v>
      </c>
      <c r="G103" s="1">
        <v>45847</v>
      </c>
      <c r="H103">
        <v>6.6538000000000004</v>
      </c>
      <c r="I103" s="1">
        <v>45875</v>
      </c>
      <c r="J103">
        <v>63.617251160000002</v>
      </c>
      <c r="K103">
        <v>5.31</v>
      </c>
      <c r="L103">
        <v>0.5</v>
      </c>
      <c r="M103">
        <v>20.636990000000001</v>
      </c>
      <c r="N103">
        <f>L103*F103</f>
        <v>0.21141499999999999</v>
      </c>
      <c r="O103">
        <f>L103*J103</f>
        <v>31.808625580000001</v>
      </c>
      <c r="P103">
        <f>M103-N103-H103</f>
        <v>13.771775000000002</v>
      </c>
      <c r="Q103">
        <f>P103/O103</f>
        <v>0.43295724819556952</v>
      </c>
      <c r="R103">
        <f>I103-G103</f>
        <v>28</v>
      </c>
      <c r="S103">
        <f>Q103/R103</f>
        <v>1.5462758864127483E-2</v>
      </c>
      <c r="T103">
        <f>S103*10000</f>
        <v>154.62758864127483</v>
      </c>
    </row>
    <row r="104" spans="1:20" x14ac:dyDescent="0.3">
      <c r="A104" t="s">
        <v>35</v>
      </c>
      <c r="B104" t="s">
        <v>36</v>
      </c>
      <c r="C104">
        <v>2</v>
      </c>
      <c r="D104">
        <v>2</v>
      </c>
      <c r="E104" t="s">
        <v>23</v>
      </c>
      <c r="F104">
        <v>0.43595</v>
      </c>
      <c r="G104" s="1">
        <v>45847</v>
      </c>
      <c r="H104">
        <v>6.5819200000000002</v>
      </c>
      <c r="I104" s="1">
        <v>45875</v>
      </c>
      <c r="J104">
        <v>63.617251160000002</v>
      </c>
      <c r="K104">
        <v>5.31</v>
      </c>
      <c r="L104">
        <v>1</v>
      </c>
      <c r="M104">
        <v>64.786500000000004</v>
      </c>
      <c r="N104">
        <f>L104*F104</f>
        <v>0.43595</v>
      </c>
      <c r="O104">
        <f>L104*J104</f>
        <v>63.617251160000002</v>
      </c>
      <c r="P104">
        <f>M104-N104-H104</f>
        <v>57.768630000000002</v>
      </c>
      <c r="Q104">
        <f>P104/O104</f>
        <v>0.90806548454458558</v>
      </c>
      <c r="R104">
        <f>I104-G104</f>
        <v>28</v>
      </c>
      <c r="S104">
        <f>Q104/R104</f>
        <v>3.2430910162306627E-2</v>
      </c>
      <c r="T104">
        <f>S104*10000</f>
        <v>324.30910162306628</v>
      </c>
    </row>
    <row r="105" spans="1:20" x14ac:dyDescent="0.3">
      <c r="A105" t="s">
        <v>35</v>
      </c>
      <c r="B105" t="s">
        <v>36</v>
      </c>
      <c r="C105">
        <v>2</v>
      </c>
      <c r="D105">
        <v>2</v>
      </c>
      <c r="E105" t="s">
        <v>24</v>
      </c>
      <c r="F105">
        <v>0.42492000000000002</v>
      </c>
      <c r="G105" s="1">
        <v>45847</v>
      </c>
      <c r="H105">
        <v>6.649</v>
      </c>
      <c r="I105" s="1">
        <v>45875</v>
      </c>
      <c r="J105">
        <v>63.617251160000002</v>
      </c>
      <c r="K105">
        <v>2.6549999999999998</v>
      </c>
      <c r="L105">
        <v>1</v>
      </c>
      <c r="M105">
        <v>11.851290000000001</v>
      </c>
      <c r="N105">
        <f>L105*F105</f>
        <v>0.42492000000000002</v>
      </c>
      <c r="O105">
        <f>L105*J105</f>
        <v>63.617251160000002</v>
      </c>
      <c r="P105">
        <f>M105-N105-H105</f>
        <v>4.7773700000000003</v>
      </c>
      <c r="Q105">
        <f>P105/O105</f>
        <v>7.5095511247172855E-2</v>
      </c>
      <c r="R105">
        <f>I105-G105</f>
        <v>28</v>
      </c>
      <c r="S105">
        <f>Q105/R105</f>
        <v>2.6819825445418876E-3</v>
      </c>
      <c r="T105">
        <f>S105*10000</f>
        <v>26.819825445418875</v>
      </c>
    </row>
    <row r="106" spans="1:20" x14ac:dyDescent="0.3">
      <c r="A106" t="s">
        <v>35</v>
      </c>
      <c r="B106" t="s">
        <v>36</v>
      </c>
      <c r="C106">
        <v>2</v>
      </c>
      <c r="D106">
        <v>6</v>
      </c>
      <c r="E106" t="s">
        <v>22</v>
      </c>
      <c r="F106">
        <v>0.42946000000000001</v>
      </c>
      <c r="G106" s="1">
        <v>45847</v>
      </c>
      <c r="H106">
        <v>6.5941400000000003</v>
      </c>
      <c r="I106" s="1">
        <v>45875</v>
      </c>
      <c r="J106">
        <v>63.617251160000002</v>
      </c>
      <c r="K106">
        <v>5.31</v>
      </c>
      <c r="L106">
        <v>1</v>
      </c>
      <c r="M106">
        <v>8.6137899999999998</v>
      </c>
      <c r="N106">
        <f>L106*F106</f>
        <v>0.42946000000000001</v>
      </c>
      <c r="O106">
        <f>L106*J106</f>
        <v>63.617251160000002</v>
      </c>
      <c r="P106">
        <f>M106-N106-H106</f>
        <v>1.5901899999999989</v>
      </c>
      <c r="Q106">
        <f>P106/O106</f>
        <v>2.4996207333771867E-2</v>
      </c>
      <c r="R106">
        <f>I106-G106</f>
        <v>28</v>
      </c>
      <c r="S106">
        <f>Q106/R106</f>
        <v>8.9272169049185235E-4</v>
      </c>
      <c r="T106">
        <f>S106*10000</f>
        <v>8.9272169049185237</v>
      </c>
    </row>
    <row r="107" spans="1:20" x14ac:dyDescent="0.3">
      <c r="A107" t="s">
        <v>35</v>
      </c>
      <c r="B107" t="s">
        <v>36</v>
      </c>
      <c r="C107">
        <v>2</v>
      </c>
      <c r="D107">
        <v>6</v>
      </c>
      <c r="E107" t="s">
        <v>23</v>
      </c>
      <c r="F107">
        <v>0.43231000000000003</v>
      </c>
      <c r="G107" s="1">
        <v>45847</v>
      </c>
      <c r="H107">
        <v>6.6372299999999997</v>
      </c>
      <c r="I107" s="1">
        <v>45875</v>
      </c>
      <c r="J107">
        <v>63.617251160000002</v>
      </c>
      <c r="K107">
        <v>5.31</v>
      </c>
      <c r="L107">
        <v>1</v>
      </c>
      <c r="M107">
        <v>8.6666100000000004</v>
      </c>
      <c r="N107">
        <f>L107*F107</f>
        <v>0.43231000000000003</v>
      </c>
      <c r="O107">
        <f>L107*J107</f>
        <v>63.617251160000002</v>
      </c>
      <c r="P107">
        <f>M107-N107-H107</f>
        <v>1.5970700000000013</v>
      </c>
      <c r="Q107">
        <f>P107/O107</f>
        <v>2.5104354100168595E-2</v>
      </c>
      <c r="R107">
        <f>I107-G107</f>
        <v>28</v>
      </c>
      <c r="S107">
        <f>Q107/R107</f>
        <v>8.9658407500602122E-4</v>
      </c>
      <c r="T107">
        <f>S107*10000</f>
        <v>8.9658407500602113</v>
      </c>
    </row>
    <row r="108" spans="1:20" x14ac:dyDescent="0.3">
      <c r="A108" t="s">
        <v>35</v>
      </c>
      <c r="B108" t="s">
        <v>36</v>
      </c>
      <c r="C108">
        <v>2</v>
      </c>
      <c r="D108">
        <v>6</v>
      </c>
      <c r="E108" t="s">
        <v>24</v>
      </c>
      <c r="F108">
        <v>0.43280000000000002</v>
      </c>
      <c r="G108" s="1">
        <v>45847</v>
      </c>
      <c r="H108">
        <v>6.6915699999999996</v>
      </c>
      <c r="I108" s="1">
        <v>45875</v>
      </c>
      <c r="J108">
        <v>63.617251160000002</v>
      </c>
      <c r="K108">
        <v>5.31</v>
      </c>
      <c r="L108">
        <v>1</v>
      </c>
      <c r="M108">
        <v>8.7146899999999992</v>
      </c>
      <c r="N108">
        <f>L108*F108</f>
        <v>0.43280000000000002</v>
      </c>
      <c r="O108">
        <f>L108*J108</f>
        <v>63.617251160000002</v>
      </c>
      <c r="P108">
        <f>M108-N108-H108</f>
        <v>1.5903199999999993</v>
      </c>
      <c r="Q108">
        <f>P108/O108</f>
        <v>2.4998250804648556E-2</v>
      </c>
      <c r="R108">
        <f>I108-G108</f>
        <v>28</v>
      </c>
      <c r="S108">
        <f>Q108/R108</f>
        <v>8.9279467159459128E-4</v>
      </c>
      <c r="T108">
        <f>S108*10000</f>
        <v>8.9279467159459127</v>
      </c>
    </row>
    <row r="109" spans="1:20" x14ac:dyDescent="0.3">
      <c r="A109" t="s">
        <v>35</v>
      </c>
      <c r="B109" t="s">
        <v>36</v>
      </c>
      <c r="C109">
        <v>2</v>
      </c>
      <c r="D109">
        <v>12</v>
      </c>
      <c r="E109" t="s">
        <v>22</v>
      </c>
      <c r="F109">
        <v>0.43375000000000002</v>
      </c>
      <c r="G109" s="1">
        <v>45847</v>
      </c>
      <c r="H109">
        <v>6.5573899999999998</v>
      </c>
      <c r="I109" s="1">
        <v>45875</v>
      </c>
      <c r="J109">
        <v>63.617251160000002</v>
      </c>
      <c r="K109">
        <v>5.31</v>
      </c>
      <c r="L109">
        <v>1</v>
      </c>
      <c r="M109">
        <v>8.2454099999999997</v>
      </c>
      <c r="N109">
        <f>L109*F109</f>
        <v>0.43375000000000002</v>
      </c>
      <c r="O109">
        <f>L109*J109</f>
        <v>63.617251160000002</v>
      </c>
      <c r="P109">
        <f>M109-N109-H109</f>
        <v>1.25427</v>
      </c>
      <c r="Q109">
        <f>P109/O109</f>
        <v>1.9715878588426577E-2</v>
      </c>
      <c r="R109">
        <f>I109-G109</f>
        <v>28</v>
      </c>
      <c r="S109">
        <f>Q109/R109</f>
        <v>7.0413852101523496E-4</v>
      </c>
      <c r="T109">
        <f>S109*10000</f>
        <v>7.0413852101523497</v>
      </c>
    </row>
    <row r="110" spans="1:20" x14ac:dyDescent="0.3">
      <c r="A110" t="s">
        <v>35</v>
      </c>
      <c r="B110" t="s">
        <v>36</v>
      </c>
      <c r="C110">
        <v>2</v>
      </c>
      <c r="D110">
        <v>12</v>
      </c>
      <c r="E110" t="s">
        <v>23</v>
      </c>
      <c r="F110">
        <v>0.43256</v>
      </c>
      <c r="G110" s="1">
        <v>45847</v>
      </c>
      <c r="H110">
        <v>6.6494099999999996</v>
      </c>
      <c r="I110" s="1">
        <v>45875</v>
      </c>
      <c r="J110">
        <v>63.617251160000002</v>
      </c>
      <c r="K110">
        <v>5.31</v>
      </c>
      <c r="L110">
        <v>1</v>
      </c>
      <c r="M110">
        <v>8.2781400000000005</v>
      </c>
      <c r="N110">
        <f>L110*F110</f>
        <v>0.43256</v>
      </c>
      <c r="O110">
        <f>L110*J110</f>
        <v>63.617251160000002</v>
      </c>
      <c r="P110">
        <f>M110-N110-H110</f>
        <v>1.1961700000000013</v>
      </c>
      <c r="Q110">
        <f>P110/O110</f>
        <v>1.8802604296617353E-2</v>
      </c>
      <c r="R110">
        <f>I110-G110</f>
        <v>28</v>
      </c>
      <c r="S110">
        <f>Q110/R110</f>
        <v>6.715215820220483E-4</v>
      </c>
      <c r="T110">
        <f>S110*10000</f>
        <v>6.7152158202204832</v>
      </c>
    </row>
    <row r="111" spans="1:20" x14ac:dyDescent="0.3">
      <c r="A111" t="s">
        <v>35</v>
      </c>
      <c r="B111" t="s">
        <v>36</v>
      </c>
      <c r="C111">
        <v>2</v>
      </c>
      <c r="D111">
        <v>12</v>
      </c>
      <c r="E111" t="s">
        <v>24</v>
      </c>
      <c r="F111">
        <v>0.43267</v>
      </c>
      <c r="G111" s="1">
        <v>45847</v>
      </c>
      <c r="H111">
        <v>6.6373600000000001</v>
      </c>
      <c r="I111" s="1">
        <v>45875</v>
      </c>
      <c r="J111">
        <v>63.617251160000002</v>
      </c>
      <c r="K111">
        <v>5.31</v>
      </c>
      <c r="L111">
        <v>1</v>
      </c>
      <c r="M111">
        <v>8.37073</v>
      </c>
      <c r="N111">
        <f>L111*F111</f>
        <v>0.43267</v>
      </c>
      <c r="O111">
        <f>L111*J111</f>
        <v>63.617251160000002</v>
      </c>
      <c r="P111">
        <f>M111-N111-H111</f>
        <v>1.3007</v>
      </c>
      <c r="Q111">
        <f>P111/O111</f>
        <v>2.0445712071536792E-2</v>
      </c>
      <c r="R111">
        <f>I111-G111</f>
        <v>28</v>
      </c>
      <c r="S111">
        <f>Q111/R111</f>
        <v>7.3020400255488537E-4</v>
      </c>
      <c r="T111">
        <f>S111*10000</f>
        <v>7.3020400255488536</v>
      </c>
    </row>
    <row r="112" spans="1:20" x14ac:dyDescent="0.3">
      <c r="A112" t="s">
        <v>35</v>
      </c>
      <c r="B112" t="s">
        <v>36</v>
      </c>
      <c r="C112">
        <v>2</v>
      </c>
      <c r="D112">
        <v>24</v>
      </c>
      <c r="E112" t="s">
        <v>22</v>
      </c>
      <c r="F112">
        <v>0.42796000000000001</v>
      </c>
      <c r="G112" s="1">
        <v>45847</v>
      </c>
      <c r="H112">
        <v>6.5876799999999998</v>
      </c>
      <c r="I112" s="1">
        <v>45875</v>
      </c>
      <c r="J112">
        <v>63.617251160000002</v>
      </c>
      <c r="K112">
        <v>5.31</v>
      </c>
      <c r="L112">
        <v>1</v>
      </c>
      <c r="M112">
        <v>7.5479500000000002</v>
      </c>
      <c r="N112">
        <f>L112*F112</f>
        <v>0.42796000000000001</v>
      </c>
      <c r="O112">
        <f>L112*J112</f>
        <v>63.617251160000002</v>
      </c>
      <c r="P112">
        <f>M112-N112-H112</f>
        <v>0.53231000000000073</v>
      </c>
      <c r="Q112">
        <f>P112/O112</f>
        <v>8.3673844797414968E-3</v>
      </c>
      <c r="R112">
        <f>I112-G112</f>
        <v>28</v>
      </c>
      <c r="S112">
        <f>Q112/R112</f>
        <v>2.9883515999076777E-4</v>
      </c>
      <c r="T112">
        <f>S112*10000</f>
        <v>2.9883515999076775</v>
      </c>
    </row>
    <row r="113" spans="1:20" x14ac:dyDescent="0.3">
      <c r="A113" t="s">
        <v>35</v>
      </c>
      <c r="B113" t="s">
        <v>36</v>
      </c>
      <c r="C113">
        <v>2</v>
      </c>
      <c r="D113">
        <v>24</v>
      </c>
      <c r="E113" t="s">
        <v>23</v>
      </c>
      <c r="F113">
        <v>0.42897999999999997</v>
      </c>
      <c r="G113" s="1">
        <v>45847</v>
      </c>
      <c r="H113">
        <v>6.5383800000000001</v>
      </c>
      <c r="I113" s="1">
        <v>45875</v>
      </c>
      <c r="J113">
        <v>63.617251160000002</v>
      </c>
      <c r="K113">
        <v>5.31</v>
      </c>
      <c r="L113">
        <v>1</v>
      </c>
      <c r="M113">
        <v>7.5095200000000002</v>
      </c>
      <c r="N113">
        <f>L113*F113</f>
        <v>0.42897999999999997</v>
      </c>
      <c r="O113">
        <f>L113*J113</f>
        <v>63.617251160000002</v>
      </c>
      <c r="P113">
        <f>M113-N113-H113</f>
        <v>0.54215999999999998</v>
      </c>
      <c r="Q113">
        <f>P113/O113</f>
        <v>8.5222166961669774E-3</v>
      </c>
      <c r="R113">
        <f>I113-G113</f>
        <v>28</v>
      </c>
      <c r="S113">
        <f>Q113/R113</f>
        <v>3.0436488200596349E-4</v>
      </c>
      <c r="T113">
        <f>S113*10000</f>
        <v>3.043648820059635</v>
      </c>
    </row>
    <row r="114" spans="1:20" x14ac:dyDescent="0.3">
      <c r="A114" t="s">
        <v>35</v>
      </c>
      <c r="B114" t="s">
        <v>36</v>
      </c>
      <c r="C114">
        <v>2</v>
      </c>
      <c r="D114">
        <v>24</v>
      </c>
      <c r="E114" t="s">
        <v>24</v>
      </c>
      <c r="F114">
        <v>0.43245</v>
      </c>
      <c r="G114" s="1">
        <v>45847</v>
      </c>
      <c r="H114">
        <v>6.61165</v>
      </c>
      <c r="I114" s="1">
        <v>45875</v>
      </c>
      <c r="J114">
        <v>63.617251160000002</v>
      </c>
      <c r="K114">
        <v>5.31</v>
      </c>
      <c r="L114">
        <v>1</v>
      </c>
      <c r="M114">
        <v>7.6116400000000004</v>
      </c>
      <c r="N114">
        <f>L114*F114</f>
        <v>0.43245</v>
      </c>
      <c r="O114">
        <f>L114*J114</f>
        <v>63.617251160000002</v>
      </c>
      <c r="P114">
        <f>M114-N114-H114</f>
        <v>0.56754000000000016</v>
      </c>
      <c r="Q114">
        <f>P114/O114</f>
        <v>8.9211650873222068E-3</v>
      </c>
      <c r="R114">
        <f>I114-G114</f>
        <v>28</v>
      </c>
      <c r="S114">
        <f>Q114/R114</f>
        <v>3.1861303883293598E-4</v>
      </c>
      <c r="T114">
        <f>S114*10000</f>
        <v>3.1861303883293597</v>
      </c>
    </row>
    <row r="115" spans="1:20" x14ac:dyDescent="0.3">
      <c r="A115" t="s">
        <v>35</v>
      </c>
      <c r="B115" t="s">
        <v>36</v>
      </c>
      <c r="C115">
        <v>2</v>
      </c>
      <c r="D115">
        <v>48</v>
      </c>
      <c r="E115" t="s">
        <v>22</v>
      </c>
      <c r="F115">
        <v>0.42976999999999999</v>
      </c>
      <c r="G115" s="1">
        <v>45847</v>
      </c>
      <c r="H115">
        <v>6.6246200000000002</v>
      </c>
      <c r="I115" s="1">
        <v>45875</v>
      </c>
      <c r="J115">
        <v>63.617251160000002</v>
      </c>
      <c r="K115">
        <v>5.31</v>
      </c>
      <c r="L115">
        <v>1</v>
      </c>
      <c r="M115">
        <v>7.6172700000000004</v>
      </c>
      <c r="N115">
        <f>L115*F115</f>
        <v>0.42976999999999999</v>
      </c>
      <c r="O115">
        <f>L115*J115</f>
        <v>63.617251160000002</v>
      </c>
      <c r="P115">
        <f>M115-N115-H115</f>
        <v>0.56287999999999982</v>
      </c>
      <c r="Q115">
        <f>P115/O115</f>
        <v>8.8479145158965374E-3</v>
      </c>
      <c r="R115">
        <f>I115-G115</f>
        <v>28</v>
      </c>
      <c r="S115">
        <f>Q115/R115</f>
        <v>3.1599694699630492E-4</v>
      </c>
      <c r="T115">
        <f>S115*10000</f>
        <v>3.1599694699630492</v>
      </c>
    </row>
    <row r="116" spans="1:20" x14ac:dyDescent="0.3">
      <c r="A116" t="s">
        <v>35</v>
      </c>
      <c r="B116" t="s">
        <v>36</v>
      </c>
      <c r="C116">
        <v>2</v>
      </c>
      <c r="D116">
        <v>48</v>
      </c>
      <c r="E116" t="s">
        <v>23</v>
      </c>
      <c r="F116">
        <v>0.43139</v>
      </c>
      <c r="G116" s="1">
        <v>45847</v>
      </c>
      <c r="H116">
        <v>6.6426800000000004</v>
      </c>
      <c r="I116" s="1">
        <v>45875</v>
      </c>
      <c r="J116">
        <v>63.617251160000002</v>
      </c>
      <c r="K116">
        <v>5.31</v>
      </c>
      <c r="L116">
        <v>1</v>
      </c>
      <c r="M116">
        <v>7.69618</v>
      </c>
      <c r="N116">
        <f>L116*F116</f>
        <v>0.43139</v>
      </c>
      <c r="O116">
        <f>L116*J116</f>
        <v>63.617251160000002</v>
      </c>
      <c r="P116">
        <f>M116-N116-H116</f>
        <v>0.62210999999999927</v>
      </c>
      <c r="Q116">
        <f>P116/O116</f>
        <v>9.7789512853261613E-3</v>
      </c>
      <c r="R116">
        <f>I116-G116</f>
        <v>28</v>
      </c>
      <c r="S116">
        <f>Q116/R116</f>
        <v>3.4924826019022004E-4</v>
      </c>
      <c r="T116">
        <f>S116*10000</f>
        <v>3.4924826019022004</v>
      </c>
    </row>
    <row r="117" spans="1:20" x14ac:dyDescent="0.3">
      <c r="A117" t="s">
        <v>35</v>
      </c>
      <c r="B117" t="s">
        <v>36</v>
      </c>
      <c r="C117">
        <v>2</v>
      </c>
      <c r="D117">
        <v>48</v>
      </c>
      <c r="E117" t="s">
        <v>24</v>
      </c>
      <c r="F117">
        <v>0.42964000000000002</v>
      </c>
      <c r="G117" s="1">
        <v>45847</v>
      </c>
      <c r="H117">
        <v>6.5836699999999997</v>
      </c>
      <c r="I117" s="1">
        <v>45875</v>
      </c>
      <c r="J117">
        <v>63.617251160000002</v>
      </c>
      <c r="K117">
        <v>5.31</v>
      </c>
      <c r="L117">
        <v>1</v>
      </c>
      <c r="M117">
        <v>7.4322900000000001</v>
      </c>
      <c r="N117">
        <f>L117*F117</f>
        <v>0.42964000000000002</v>
      </c>
      <c r="O117">
        <f>L117*J117</f>
        <v>63.617251160000002</v>
      </c>
      <c r="P117">
        <f>M117-N117-H117</f>
        <v>0.41898000000000035</v>
      </c>
      <c r="Q117">
        <f>P117/O117</f>
        <v>6.585949445477429E-3</v>
      </c>
      <c r="R117">
        <f>I117-G117</f>
        <v>28</v>
      </c>
      <c r="S117">
        <f>Q117/R117</f>
        <v>2.3521248019562247E-4</v>
      </c>
      <c r="T117">
        <f>S117*10000</f>
        <v>2.3521248019562249</v>
      </c>
    </row>
    <row r="118" spans="1:20" x14ac:dyDescent="0.3">
      <c r="A118" t="s">
        <v>35</v>
      </c>
      <c r="B118" t="s">
        <v>36</v>
      </c>
      <c r="E118" t="s">
        <v>29</v>
      </c>
      <c r="F118">
        <v>0.43209999999999998</v>
      </c>
      <c r="G118" t="s">
        <v>27</v>
      </c>
      <c r="H118">
        <v>6.4448999999999996</v>
      </c>
      <c r="I118" t="s">
        <v>27</v>
      </c>
      <c r="J118">
        <v>63.617251160000002</v>
      </c>
      <c r="K118">
        <v>5.31</v>
      </c>
      <c r="L118" t="s">
        <v>27</v>
      </c>
      <c r="M118" t="s">
        <v>27</v>
      </c>
      <c r="N118" t="e">
        <f>L118*F118</f>
        <v>#VALUE!</v>
      </c>
      <c r="O118" t="e">
        <f>L118*J118</f>
        <v>#VALUE!</v>
      </c>
      <c r="P118" t="e">
        <f>M118-N118-H118</f>
        <v>#VALUE!</v>
      </c>
      <c r="Q118" t="e">
        <f>P118/O118</f>
        <v>#VALUE!</v>
      </c>
      <c r="R118" t="e">
        <f>I118-G118</f>
        <v>#VALUE!</v>
      </c>
      <c r="S118" t="e">
        <f>Q118/R118</f>
        <v>#VALUE!</v>
      </c>
      <c r="T118" t="e">
        <f>S118*10000</f>
        <v>#VALUE!</v>
      </c>
    </row>
    <row r="119" spans="1:20" x14ac:dyDescent="0.3">
      <c r="A119" t="s">
        <v>35</v>
      </c>
      <c r="B119" t="s">
        <v>36</v>
      </c>
      <c r="E119" t="s">
        <v>31</v>
      </c>
      <c r="F119">
        <v>0.43558000000000002</v>
      </c>
      <c r="G119" t="s">
        <v>27</v>
      </c>
      <c r="H119">
        <v>6.6893700000000003</v>
      </c>
      <c r="I119" t="s">
        <v>27</v>
      </c>
      <c r="J119">
        <v>63.617251160000002</v>
      </c>
      <c r="K119">
        <v>5.31</v>
      </c>
      <c r="L119" t="s">
        <v>27</v>
      </c>
      <c r="M119" t="s">
        <v>27</v>
      </c>
      <c r="N119" t="e">
        <f>L119*F119</f>
        <v>#VALUE!</v>
      </c>
      <c r="O119" t="e">
        <f>L119*J119</f>
        <v>#VALUE!</v>
      </c>
      <c r="P119" t="e">
        <f>M119-N119-H119</f>
        <v>#VALUE!</v>
      </c>
      <c r="Q119" t="e">
        <f>P119/O119</f>
        <v>#VALUE!</v>
      </c>
      <c r="R119" t="e">
        <f>I119-G119</f>
        <v>#VALUE!</v>
      </c>
      <c r="S119" t="e">
        <f>Q119/R119</f>
        <v>#VALUE!</v>
      </c>
      <c r="T119" t="e">
        <f>S119*10000</f>
        <v>#VALUE!</v>
      </c>
    </row>
    <row r="120" spans="1:20" x14ac:dyDescent="0.3">
      <c r="A120" t="s">
        <v>35</v>
      </c>
      <c r="B120" t="s">
        <v>36</v>
      </c>
      <c r="E120" t="s">
        <v>33</v>
      </c>
      <c r="F120">
        <v>0.42676999999999998</v>
      </c>
      <c r="G120" t="s">
        <v>27</v>
      </c>
      <c r="H120">
        <v>6.6115399999999998</v>
      </c>
      <c r="I120" t="s">
        <v>27</v>
      </c>
      <c r="J120">
        <v>63.617251160000002</v>
      </c>
      <c r="K120">
        <v>5.31</v>
      </c>
      <c r="L120" t="s">
        <v>27</v>
      </c>
      <c r="M120" t="s">
        <v>27</v>
      </c>
      <c r="N120" t="e">
        <f>L120*F120</f>
        <v>#VALUE!</v>
      </c>
      <c r="O120" t="e">
        <f>L120*J120</f>
        <v>#VALUE!</v>
      </c>
      <c r="P120" t="e">
        <f>M120-N120-H120</f>
        <v>#VALUE!</v>
      </c>
      <c r="Q120" t="e">
        <f>P120/O120</f>
        <v>#VALUE!</v>
      </c>
      <c r="R120" t="e">
        <f>I120-G120</f>
        <v>#VALUE!</v>
      </c>
      <c r="S120" t="e">
        <f>Q120/R120</f>
        <v>#VALUE!</v>
      </c>
      <c r="T120" t="e">
        <f>S120*10000</f>
        <v>#VALUE!</v>
      </c>
    </row>
    <row r="121" spans="1:20" x14ac:dyDescent="0.3">
      <c r="A121" t="s">
        <v>35</v>
      </c>
      <c r="B121" t="s">
        <v>36</v>
      </c>
      <c r="E121" t="s">
        <v>34</v>
      </c>
      <c r="F121">
        <v>0.43303000000000003</v>
      </c>
      <c r="G121" t="s">
        <v>27</v>
      </c>
      <c r="H121">
        <v>6.6825000000000001</v>
      </c>
      <c r="I121" t="s">
        <v>27</v>
      </c>
      <c r="J121">
        <v>63.617251160000002</v>
      </c>
      <c r="K121">
        <v>5.31</v>
      </c>
      <c r="L121" t="s">
        <v>27</v>
      </c>
      <c r="M121" t="s">
        <v>27</v>
      </c>
      <c r="N121" t="e">
        <f>L121*F121</f>
        <v>#VALUE!</v>
      </c>
      <c r="O121" t="e">
        <f>L121*J121</f>
        <v>#VALUE!</v>
      </c>
      <c r="P121" t="e">
        <f>M121-N121-H121</f>
        <v>#VALUE!</v>
      </c>
      <c r="Q121" t="e">
        <f>P121/O121</f>
        <v>#VALUE!</v>
      </c>
      <c r="R121" t="e">
        <f>I121-G121</f>
        <v>#VALUE!</v>
      </c>
      <c r="S121" t="e">
        <f>Q121/R121</f>
        <v>#VALUE!</v>
      </c>
      <c r="T121" t="e">
        <f>S121*10000</f>
        <v>#VALUE!</v>
      </c>
    </row>
    <row r="122" spans="1:20" x14ac:dyDescent="0.3">
      <c r="A122" t="s">
        <v>35</v>
      </c>
      <c r="B122" t="s">
        <v>40</v>
      </c>
      <c r="C122">
        <v>1</v>
      </c>
      <c r="D122">
        <v>0.5</v>
      </c>
      <c r="E122" t="s">
        <v>22</v>
      </c>
      <c r="F122">
        <v>0.42259000000000002</v>
      </c>
      <c r="G122" s="1">
        <v>45849</v>
      </c>
      <c r="H122">
        <v>6.6936799999999996</v>
      </c>
      <c r="I122" s="1">
        <v>45877</v>
      </c>
      <c r="J122">
        <v>63.617251160000002</v>
      </c>
      <c r="K122">
        <v>5.31</v>
      </c>
      <c r="L122" t="s">
        <v>41</v>
      </c>
      <c r="M122">
        <v>9.6023399999999999</v>
      </c>
      <c r="N122" t="e">
        <f>L122*F122</f>
        <v>#VALUE!</v>
      </c>
      <c r="O122" t="e">
        <f>L122*J122</f>
        <v>#VALUE!</v>
      </c>
      <c r="P122" t="e">
        <f>M122-N122-H122</f>
        <v>#VALUE!</v>
      </c>
      <c r="Q122" t="e">
        <f>P122/O122</f>
        <v>#VALUE!</v>
      </c>
      <c r="R122">
        <f>I122-G122</f>
        <v>28</v>
      </c>
      <c r="S122" t="e">
        <f>Q122/R122</f>
        <v>#VALUE!</v>
      </c>
      <c r="T122" t="e">
        <f>S122*10000</f>
        <v>#VALUE!</v>
      </c>
    </row>
    <row r="123" spans="1:20" x14ac:dyDescent="0.3">
      <c r="A123" t="s">
        <v>35</v>
      </c>
      <c r="B123" t="s">
        <v>40</v>
      </c>
      <c r="C123">
        <v>1</v>
      </c>
      <c r="D123">
        <v>0.5</v>
      </c>
      <c r="E123" t="s">
        <v>23</v>
      </c>
      <c r="F123">
        <v>0.43187999999999999</v>
      </c>
      <c r="G123" s="1">
        <v>45849</v>
      </c>
      <c r="H123">
        <v>6.5922000000000001</v>
      </c>
      <c r="I123" s="1">
        <v>45877</v>
      </c>
      <c r="J123">
        <v>63.617251160000002</v>
      </c>
      <c r="K123">
        <v>5.31</v>
      </c>
      <c r="L123">
        <v>0</v>
      </c>
      <c r="M123">
        <v>6.6311200000000001</v>
      </c>
      <c r="N123">
        <f>L123*F123</f>
        <v>0</v>
      </c>
      <c r="O123">
        <f>L123*J123</f>
        <v>0</v>
      </c>
      <c r="P123">
        <f>M123-N123-H123</f>
        <v>3.8920000000000066E-2</v>
      </c>
      <c r="Q123" t="e">
        <f>P123/O123</f>
        <v>#DIV/0!</v>
      </c>
      <c r="R123">
        <f>I123-G123</f>
        <v>28</v>
      </c>
      <c r="S123" t="e">
        <f>Q123/R123</f>
        <v>#DIV/0!</v>
      </c>
      <c r="T123" t="e">
        <f>S123*10000</f>
        <v>#DIV/0!</v>
      </c>
    </row>
    <row r="124" spans="1:20" x14ac:dyDescent="0.3">
      <c r="A124" t="s">
        <v>35</v>
      </c>
      <c r="B124" t="s">
        <v>40</v>
      </c>
      <c r="C124">
        <v>1</v>
      </c>
      <c r="D124">
        <v>0.5</v>
      </c>
      <c r="E124" t="s">
        <v>24</v>
      </c>
      <c r="F124">
        <v>0.42029</v>
      </c>
      <c r="G124" s="1">
        <v>45849</v>
      </c>
      <c r="H124">
        <v>6.6918199999999999</v>
      </c>
      <c r="I124" s="1">
        <v>45877</v>
      </c>
      <c r="J124">
        <v>63.617251160000002</v>
      </c>
      <c r="K124">
        <v>5.31</v>
      </c>
      <c r="L124">
        <v>0</v>
      </c>
      <c r="M124">
        <v>6.7434399999999997</v>
      </c>
      <c r="N124">
        <f>L124*F124</f>
        <v>0</v>
      </c>
      <c r="O124">
        <f>L124*J124</f>
        <v>0</v>
      </c>
      <c r="P124">
        <f>M124-N124-H124</f>
        <v>5.1619999999999777E-2</v>
      </c>
      <c r="Q124" t="e">
        <f>P124/O124</f>
        <v>#DIV/0!</v>
      </c>
      <c r="R124">
        <f>I124-G124</f>
        <v>28</v>
      </c>
      <c r="S124" t="e">
        <f>Q124/R124</f>
        <v>#DIV/0!</v>
      </c>
      <c r="T124" t="e">
        <f>S124*10000</f>
        <v>#DIV/0!</v>
      </c>
    </row>
    <row r="125" spans="1:20" x14ac:dyDescent="0.3">
      <c r="A125" t="s">
        <v>35</v>
      </c>
      <c r="B125" t="s">
        <v>40</v>
      </c>
      <c r="C125">
        <v>1</v>
      </c>
      <c r="D125">
        <v>2</v>
      </c>
      <c r="E125" t="s">
        <v>22</v>
      </c>
      <c r="F125">
        <v>0.43142999999999998</v>
      </c>
      <c r="G125" s="1">
        <v>45849</v>
      </c>
      <c r="H125">
        <v>6.6646099999999997</v>
      </c>
      <c r="I125" s="1">
        <v>45877</v>
      </c>
      <c r="J125">
        <v>63.617251160000002</v>
      </c>
      <c r="K125">
        <v>5.31</v>
      </c>
      <c r="L125">
        <v>1</v>
      </c>
      <c r="M125">
        <v>8.2593599999999991</v>
      </c>
      <c r="N125">
        <f>L125*F125</f>
        <v>0.43142999999999998</v>
      </c>
      <c r="O125">
        <f>L125*J125</f>
        <v>63.617251160000002</v>
      </c>
      <c r="P125">
        <f>M125-N125-H125</f>
        <v>1.1633199999999997</v>
      </c>
      <c r="Q125">
        <f>P125/O125</f>
        <v>1.8286234925086627E-2</v>
      </c>
      <c r="R125">
        <f>I125-G125</f>
        <v>28</v>
      </c>
      <c r="S125">
        <f>Q125/R125</f>
        <v>6.5307981875309385E-4</v>
      </c>
      <c r="T125">
        <f>S125*10000</f>
        <v>6.5307981875309382</v>
      </c>
    </row>
    <row r="126" spans="1:20" x14ac:dyDescent="0.3">
      <c r="A126" t="s">
        <v>35</v>
      </c>
      <c r="B126" t="s">
        <v>40</v>
      </c>
      <c r="C126">
        <v>1</v>
      </c>
      <c r="D126">
        <v>2</v>
      </c>
      <c r="E126" t="s">
        <v>23</v>
      </c>
      <c r="F126">
        <v>0.42475000000000002</v>
      </c>
      <c r="G126" s="1">
        <v>45849</v>
      </c>
      <c r="H126">
        <v>6.69217</v>
      </c>
      <c r="I126" s="1">
        <v>45877</v>
      </c>
      <c r="J126">
        <v>63.617251160000002</v>
      </c>
      <c r="K126">
        <v>5.31</v>
      </c>
      <c r="L126">
        <v>1</v>
      </c>
      <c r="M126">
        <v>11.43052</v>
      </c>
      <c r="N126">
        <f>L126*F126</f>
        <v>0.42475000000000002</v>
      </c>
      <c r="O126">
        <f>L126*J126</f>
        <v>63.617251160000002</v>
      </c>
      <c r="P126">
        <f>M126-N126-H126</f>
        <v>4.3136000000000001</v>
      </c>
      <c r="Q126">
        <f>P126/O126</f>
        <v>6.7805507489644895E-2</v>
      </c>
      <c r="R126">
        <f>I126-G126</f>
        <v>28</v>
      </c>
      <c r="S126">
        <f>Q126/R126</f>
        <v>2.4216252674873176E-3</v>
      </c>
      <c r="T126">
        <f>S126*10000</f>
        <v>24.216252674873175</v>
      </c>
    </row>
    <row r="127" spans="1:20" x14ac:dyDescent="0.3">
      <c r="A127" t="s">
        <v>35</v>
      </c>
      <c r="B127" t="s">
        <v>40</v>
      </c>
      <c r="C127">
        <v>1</v>
      </c>
      <c r="D127">
        <v>2</v>
      </c>
      <c r="E127" t="s">
        <v>24</v>
      </c>
      <c r="F127">
        <v>0.43084</v>
      </c>
      <c r="G127" s="1">
        <v>45849</v>
      </c>
      <c r="H127">
        <v>6.7646899999999999</v>
      </c>
      <c r="I127" s="1">
        <v>45877</v>
      </c>
      <c r="J127">
        <v>63.617251160000002</v>
      </c>
      <c r="K127">
        <v>5.31</v>
      </c>
      <c r="L127">
        <v>1</v>
      </c>
      <c r="M127">
        <v>12.008369999999999</v>
      </c>
      <c r="N127">
        <f>L127*F127</f>
        <v>0.43084</v>
      </c>
      <c r="O127">
        <f>L127*J127</f>
        <v>63.617251160000002</v>
      </c>
      <c r="P127">
        <f>M127-N127-H127</f>
        <v>4.8128399999999996</v>
      </c>
      <c r="Q127">
        <f>P127/O127</f>
        <v>7.5653064416372054E-2</v>
      </c>
      <c r="R127">
        <f>I127-G127</f>
        <v>28</v>
      </c>
      <c r="S127">
        <f>Q127/R127</f>
        <v>2.7018951577275734E-3</v>
      </c>
      <c r="T127">
        <f>S127*10000</f>
        <v>27.018951577275732</v>
      </c>
    </row>
    <row r="128" spans="1:20" x14ac:dyDescent="0.3">
      <c r="A128" t="s">
        <v>35</v>
      </c>
      <c r="B128" t="s">
        <v>40</v>
      </c>
      <c r="C128">
        <v>1</v>
      </c>
      <c r="D128">
        <v>6</v>
      </c>
      <c r="E128" t="s">
        <v>22</v>
      </c>
      <c r="F128">
        <v>0.42111999999999999</v>
      </c>
      <c r="G128" s="1">
        <v>45849</v>
      </c>
      <c r="H128">
        <v>6.66134</v>
      </c>
      <c r="I128" s="1">
        <v>45877</v>
      </c>
      <c r="J128">
        <v>63.617251160000002</v>
      </c>
      <c r="K128">
        <v>5.31</v>
      </c>
      <c r="L128">
        <v>1</v>
      </c>
      <c r="M128">
        <v>7.9649099999999997</v>
      </c>
      <c r="N128">
        <f>L128*F128</f>
        <v>0.42111999999999999</v>
      </c>
      <c r="O128">
        <f>L128*J128</f>
        <v>63.617251160000002</v>
      </c>
      <c r="P128">
        <f>M128-N128-H128</f>
        <v>0.88244999999999951</v>
      </c>
      <c r="Q128">
        <f>P128/O128</f>
        <v>1.3871237500982264E-2</v>
      </c>
      <c r="R128">
        <f>I128-G128</f>
        <v>28</v>
      </c>
      <c r="S128">
        <f>Q128/R128</f>
        <v>4.9540133932079512E-4</v>
      </c>
      <c r="T128">
        <f>S128*10000</f>
        <v>4.9540133932079513</v>
      </c>
    </row>
    <row r="129" spans="1:20" x14ac:dyDescent="0.3">
      <c r="A129" t="s">
        <v>35</v>
      </c>
      <c r="B129" t="s">
        <v>40</v>
      </c>
      <c r="C129">
        <v>1</v>
      </c>
      <c r="D129">
        <v>6</v>
      </c>
      <c r="E129" t="s">
        <v>23</v>
      </c>
      <c r="F129">
        <v>0.42265000000000003</v>
      </c>
      <c r="G129" s="1">
        <v>45849</v>
      </c>
      <c r="H129">
        <v>6.7390600000000003</v>
      </c>
      <c r="I129" s="1">
        <v>45877</v>
      </c>
      <c r="J129">
        <v>63.617251160000002</v>
      </c>
      <c r="K129">
        <v>5.31</v>
      </c>
      <c r="L129">
        <v>0.75</v>
      </c>
      <c r="M129">
        <v>8.0279399999999992</v>
      </c>
      <c r="N129">
        <f>L129*F129</f>
        <v>0.31698750000000003</v>
      </c>
      <c r="O129">
        <f>L129*J129</f>
        <v>47.712938370000003</v>
      </c>
      <c r="P129">
        <f>M129-N129-H129</f>
        <v>0.97189249999999916</v>
      </c>
      <c r="Q129">
        <f>P129/O129</f>
        <v>2.0369579682208098E-2</v>
      </c>
      <c r="R129">
        <f>I129-G129</f>
        <v>28</v>
      </c>
      <c r="S129">
        <f>Q129/R129</f>
        <v>7.2748498865028916E-4</v>
      </c>
      <c r="T129">
        <f>S129*10000</f>
        <v>7.2748498865028912</v>
      </c>
    </row>
    <row r="130" spans="1:20" x14ac:dyDescent="0.3">
      <c r="A130" t="s">
        <v>35</v>
      </c>
      <c r="B130" t="s">
        <v>40</v>
      </c>
      <c r="C130">
        <v>1</v>
      </c>
      <c r="D130">
        <v>6</v>
      </c>
      <c r="E130" t="s">
        <v>24</v>
      </c>
      <c r="F130">
        <v>0.43170999999999998</v>
      </c>
      <c r="G130" s="1">
        <v>45849</v>
      </c>
      <c r="H130">
        <v>6.7060599999999999</v>
      </c>
      <c r="I130" s="1">
        <v>45877</v>
      </c>
      <c r="J130">
        <v>63.617251160000002</v>
      </c>
      <c r="K130">
        <v>5.31</v>
      </c>
      <c r="L130">
        <v>0.5</v>
      </c>
      <c r="M130">
        <v>7.8952799999999996</v>
      </c>
      <c r="N130">
        <f>L130*F130</f>
        <v>0.21585499999999999</v>
      </c>
      <c r="O130">
        <f>L130*J130</f>
        <v>31.808625580000001</v>
      </c>
      <c r="P130">
        <f>M130-N130-H130</f>
        <v>0.97336499999999937</v>
      </c>
      <c r="Q130">
        <f>P130/O130</f>
        <v>3.0600661998172362E-2</v>
      </c>
      <c r="R130">
        <f>I130-G130</f>
        <v>28</v>
      </c>
      <c r="S130">
        <f>Q130/R130</f>
        <v>1.0928807856490129E-3</v>
      </c>
      <c r="T130">
        <f>S130*10000</f>
        <v>10.928807856490129</v>
      </c>
    </row>
    <row r="131" spans="1:20" x14ac:dyDescent="0.3">
      <c r="A131" t="s">
        <v>35</v>
      </c>
      <c r="B131" t="s">
        <v>40</v>
      </c>
      <c r="C131">
        <v>1</v>
      </c>
      <c r="D131">
        <v>12</v>
      </c>
      <c r="E131" t="s">
        <v>22</v>
      </c>
      <c r="F131">
        <v>0.42268</v>
      </c>
      <c r="G131" s="1">
        <v>45849</v>
      </c>
      <c r="H131">
        <v>6.6596200000000003</v>
      </c>
      <c r="I131" s="1">
        <v>45877</v>
      </c>
      <c r="J131">
        <v>63.617251160000002</v>
      </c>
      <c r="K131">
        <v>5.31</v>
      </c>
      <c r="L131">
        <v>1</v>
      </c>
      <c r="M131">
        <v>7.5361200000000004</v>
      </c>
      <c r="N131">
        <f>L131*F131</f>
        <v>0.42268</v>
      </c>
      <c r="O131">
        <f>L131*J131</f>
        <v>63.617251160000002</v>
      </c>
      <c r="P131">
        <f>M131-N131-H131</f>
        <v>0.45382000000000033</v>
      </c>
      <c r="Q131">
        <f>P131/O131</f>
        <v>7.1335996404281029E-3</v>
      </c>
      <c r="R131">
        <f>I131-G131</f>
        <v>28</v>
      </c>
      <c r="S131">
        <f>Q131/R131</f>
        <v>2.547714157295751E-4</v>
      </c>
      <c r="T131">
        <f>S131*10000</f>
        <v>2.5477141572957511</v>
      </c>
    </row>
    <row r="132" spans="1:20" x14ac:dyDescent="0.3">
      <c r="A132" t="s">
        <v>35</v>
      </c>
      <c r="B132" t="s">
        <v>40</v>
      </c>
      <c r="C132">
        <v>1</v>
      </c>
      <c r="D132">
        <v>12</v>
      </c>
      <c r="E132" t="s">
        <v>23</v>
      </c>
      <c r="F132">
        <v>0.42975999999999998</v>
      </c>
      <c r="G132" s="1">
        <v>45849</v>
      </c>
      <c r="H132">
        <v>6.6021799999999997</v>
      </c>
      <c r="I132" s="1">
        <v>45877</v>
      </c>
      <c r="J132">
        <v>63.617251160000002</v>
      </c>
      <c r="K132">
        <v>5.31</v>
      </c>
      <c r="L132">
        <v>1</v>
      </c>
      <c r="M132">
        <v>7.4416000000000002</v>
      </c>
      <c r="N132">
        <f>L132*F132</f>
        <v>0.42975999999999998</v>
      </c>
      <c r="O132">
        <f>L132*J132</f>
        <v>63.617251160000002</v>
      </c>
      <c r="P132">
        <f>M132-N132-H132</f>
        <v>0.40966000000000058</v>
      </c>
      <c r="Q132">
        <f>P132/O132</f>
        <v>6.4394483026261043E-3</v>
      </c>
      <c r="R132">
        <f>I132-G132</f>
        <v>28</v>
      </c>
      <c r="S132">
        <f>Q132/R132</f>
        <v>2.2998029652236085E-4</v>
      </c>
      <c r="T132">
        <f>S132*10000</f>
        <v>2.2998029652236087</v>
      </c>
    </row>
    <row r="133" spans="1:20" x14ac:dyDescent="0.3">
      <c r="A133" t="s">
        <v>35</v>
      </c>
      <c r="B133" t="s">
        <v>40</v>
      </c>
      <c r="C133">
        <v>1</v>
      </c>
      <c r="D133">
        <v>12</v>
      </c>
      <c r="E133" t="s">
        <v>24</v>
      </c>
      <c r="F133">
        <v>0.42283999999999999</v>
      </c>
      <c r="G133" s="1">
        <v>45849</v>
      </c>
      <c r="H133">
        <v>6.6732399999999998</v>
      </c>
      <c r="I133" s="1">
        <v>45877</v>
      </c>
      <c r="J133">
        <v>63.617251160000002</v>
      </c>
      <c r="K133">
        <v>5.31</v>
      </c>
      <c r="L133">
        <v>1</v>
      </c>
      <c r="M133">
        <v>7.9310299999999998</v>
      </c>
      <c r="N133">
        <f>L133*F133</f>
        <v>0.42283999999999999</v>
      </c>
      <c r="O133">
        <f>L133*J133</f>
        <v>63.617251160000002</v>
      </c>
      <c r="P133">
        <f>M133-N133-H133</f>
        <v>0.83495000000000008</v>
      </c>
      <c r="Q133">
        <f>P133/O133</f>
        <v>1.3124584680656297E-2</v>
      </c>
      <c r="R133">
        <f>I133-G133</f>
        <v>28</v>
      </c>
      <c r="S133">
        <f>Q133/R133</f>
        <v>4.6873516716629634E-4</v>
      </c>
      <c r="T133">
        <f>S133*10000</f>
        <v>4.6873516716629631</v>
      </c>
    </row>
    <row r="134" spans="1:20" x14ac:dyDescent="0.3">
      <c r="A134" t="s">
        <v>35</v>
      </c>
      <c r="B134" t="s">
        <v>40</v>
      </c>
      <c r="C134">
        <v>1</v>
      </c>
      <c r="D134">
        <v>24</v>
      </c>
      <c r="E134" t="s">
        <v>22</v>
      </c>
      <c r="F134">
        <v>0.43008999999999997</v>
      </c>
      <c r="G134" s="1">
        <v>45849</v>
      </c>
      <c r="H134">
        <v>6.6699700000000002</v>
      </c>
      <c r="I134" s="1">
        <v>45877</v>
      </c>
      <c r="J134">
        <v>63.617251160000002</v>
      </c>
      <c r="K134">
        <v>5.31</v>
      </c>
      <c r="L134">
        <v>1</v>
      </c>
      <c r="M134">
        <v>7.5827099999999996</v>
      </c>
      <c r="N134">
        <f>L134*F134</f>
        <v>0.43008999999999997</v>
      </c>
      <c r="O134">
        <f>L134*J134</f>
        <v>63.617251160000002</v>
      </c>
      <c r="P134">
        <f>M134-N134-H134</f>
        <v>0.48264999999999958</v>
      </c>
      <c r="Q134">
        <f>P134/O134</f>
        <v>7.5867786048490994E-3</v>
      </c>
      <c r="R134">
        <f>I134-G134</f>
        <v>28</v>
      </c>
      <c r="S134">
        <f>Q134/R134</f>
        <v>2.7095637874461069E-4</v>
      </c>
      <c r="T134">
        <f>S134*10000</f>
        <v>2.7095637874461067</v>
      </c>
    </row>
    <row r="135" spans="1:20" x14ac:dyDescent="0.3">
      <c r="A135" t="s">
        <v>35</v>
      </c>
      <c r="B135" t="s">
        <v>40</v>
      </c>
      <c r="C135">
        <v>1</v>
      </c>
      <c r="D135">
        <v>24</v>
      </c>
      <c r="E135" t="s">
        <v>23</v>
      </c>
      <c r="F135">
        <v>0.42660999999999999</v>
      </c>
      <c r="G135" s="1">
        <v>45849</v>
      </c>
      <c r="H135">
        <v>6.7090199999999998</v>
      </c>
      <c r="I135" s="1">
        <v>45877</v>
      </c>
      <c r="J135">
        <v>63.617251160000002</v>
      </c>
      <c r="K135">
        <v>5.31</v>
      </c>
      <c r="L135">
        <v>1</v>
      </c>
      <c r="M135">
        <v>7.7900799999999997</v>
      </c>
      <c r="N135">
        <f>L135*F135</f>
        <v>0.42660999999999999</v>
      </c>
      <c r="O135">
        <f>L135*J135</f>
        <v>63.617251160000002</v>
      </c>
      <c r="P135">
        <f>M135-N135-H135</f>
        <v>0.65444999999999975</v>
      </c>
      <c r="Q135">
        <f>P135/O135</f>
        <v>1.0287303963417581E-2</v>
      </c>
      <c r="R135">
        <f>I135-G135</f>
        <v>28</v>
      </c>
      <c r="S135">
        <f>Q135/R135</f>
        <v>3.6740371297919931E-4</v>
      </c>
      <c r="T135">
        <f>S135*10000</f>
        <v>3.6740371297919929</v>
      </c>
    </row>
    <row r="136" spans="1:20" x14ac:dyDescent="0.3">
      <c r="A136" t="s">
        <v>35</v>
      </c>
      <c r="B136" t="s">
        <v>40</v>
      </c>
      <c r="C136">
        <v>1</v>
      </c>
      <c r="D136">
        <v>24</v>
      </c>
      <c r="E136" t="s">
        <v>24</v>
      </c>
      <c r="F136">
        <v>0.42204999999999998</v>
      </c>
      <c r="G136" s="1">
        <v>45849</v>
      </c>
      <c r="H136">
        <v>6.6318400000000004</v>
      </c>
      <c r="I136" s="1">
        <v>45877</v>
      </c>
      <c r="J136">
        <v>63.617251160000002</v>
      </c>
      <c r="K136">
        <v>5.31</v>
      </c>
      <c r="L136">
        <v>1</v>
      </c>
      <c r="M136">
        <v>7.6504700000000003</v>
      </c>
      <c r="N136">
        <f>L136*F136</f>
        <v>0.42204999999999998</v>
      </c>
      <c r="O136">
        <f>L136*J136</f>
        <v>63.617251160000002</v>
      </c>
      <c r="P136">
        <f>M136-N136-H136</f>
        <v>0.59658000000000033</v>
      </c>
      <c r="Q136">
        <f>P136/O136</f>
        <v>9.3776450431593949E-3</v>
      </c>
      <c r="R136">
        <f>I136-G136</f>
        <v>28</v>
      </c>
      <c r="S136">
        <f>Q136/R136</f>
        <v>3.3491589439854983E-4</v>
      </c>
      <c r="T136">
        <f>S136*10000</f>
        <v>3.3491589439854983</v>
      </c>
    </row>
    <row r="137" spans="1:20" x14ac:dyDescent="0.3">
      <c r="A137" t="s">
        <v>35</v>
      </c>
      <c r="B137" t="s">
        <v>40</v>
      </c>
      <c r="C137">
        <v>1</v>
      </c>
      <c r="D137">
        <v>48</v>
      </c>
      <c r="E137" t="s">
        <v>22</v>
      </c>
      <c r="F137">
        <v>0.43223</v>
      </c>
      <c r="G137" s="1">
        <v>45849</v>
      </c>
      <c r="H137">
        <v>6.6443500000000002</v>
      </c>
      <c r="I137" s="1">
        <v>45877</v>
      </c>
      <c r="J137">
        <v>63.617251160000002</v>
      </c>
      <c r="K137">
        <v>5.31</v>
      </c>
      <c r="L137">
        <v>1</v>
      </c>
      <c r="M137">
        <v>7.3989500000000001</v>
      </c>
      <c r="N137">
        <f>L137*F137</f>
        <v>0.43223</v>
      </c>
      <c r="O137">
        <f>L137*J137</f>
        <v>63.617251160000002</v>
      </c>
      <c r="P137">
        <f>M137-N137-H137</f>
        <v>0.32237000000000027</v>
      </c>
      <c r="Q137">
        <f>P137/O137</f>
        <v>5.0673362039681102E-3</v>
      </c>
      <c r="R137">
        <f>I137-G137</f>
        <v>28</v>
      </c>
      <c r="S137">
        <f>Q137/R137</f>
        <v>1.8097629299886108E-4</v>
      </c>
      <c r="T137">
        <f>S137*10000</f>
        <v>1.8097629299886109</v>
      </c>
    </row>
    <row r="138" spans="1:20" x14ac:dyDescent="0.3">
      <c r="A138" t="s">
        <v>35</v>
      </c>
      <c r="B138" t="s">
        <v>40</v>
      </c>
      <c r="C138">
        <v>1</v>
      </c>
      <c r="D138">
        <v>48</v>
      </c>
      <c r="E138" t="s">
        <v>23</v>
      </c>
      <c r="F138">
        <v>0.42085</v>
      </c>
      <c r="G138" s="1">
        <v>45849</v>
      </c>
      <c r="H138">
        <v>6.6665900000000002</v>
      </c>
      <c r="I138" s="1">
        <v>45877</v>
      </c>
      <c r="J138">
        <v>63.617251160000002</v>
      </c>
      <c r="K138">
        <v>5.31</v>
      </c>
      <c r="L138">
        <v>1</v>
      </c>
      <c r="M138">
        <v>7.5585100000000001</v>
      </c>
      <c r="N138">
        <f>L138*F138</f>
        <v>0.42085</v>
      </c>
      <c r="O138">
        <f>L138*J138</f>
        <v>63.617251160000002</v>
      </c>
      <c r="P138">
        <f>M138-N138-H138</f>
        <v>0.4710700000000001</v>
      </c>
      <c r="Q138">
        <f>P138/O138</f>
        <v>7.4047525067570067E-3</v>
      </c>
      <c r="R138">
        <f>I138-G138</f>
        <v>28</v>
      </c>
      <c r="S138">
        <f>Q138/R138</f>
        <v>2.644554466698931E-4</v>
      </c>
      <c r="T138">
        <f>S138*10000</f>
        <v>2.6445544666989309</v>
      </c>
    </row>
    <row r="139" spans="1:20" x14ac:dyDescent="0.3">
      <c r="A139" t="s">
        <v>35</v>
      </c>
      <c r="B139" t="s">
        <v>40</v>
      </c>
      <c r="C139">
        <v>1</v>
      </c>
      <c r="D139">
        <v>48</v>
      </c>
      <c r="E139" t="s">
        <v>24</v>
      </c>
      <c r="F139">
        <v>0.42093000000000003</v>
      </c>
      <c r="G139" s="1">
        <v>45849</v>
      </c>
      <c r="H139">
        <v>6.6370100000000001</v>
      </c>
      <c r="I139" s="1">
        <v>45877</v>
      </c>
      <c r="J139">
        <v>63.617251160000002</v>
      </c>
      <c r="K139">
        <v>5.31</v>
      </c>
      <c r="L139">
        <v>1</v>
      </c>
      <c r="M139">
        <v>7.44076</v>
      </c>
      <c r="N139">
        <f>L139*F139</f>
        <v>0.42093000000000003</v>
      </c>
      <c r="O139">
        <f>L139*J139</f>
        <v>63.617251160000002</v>
      </c>
      <c r="P139">
        <f>M139-N139-H139</f>
        <v>0.38281999999999972</v>
      </c>
      <c r="Q139">
        <f>P139/O139</f>
        <v>6.0175501616250545E-3</v>
      </c>
      <c r="R139">
        <f>I139-G139</f>
        <v>28</v>
      </c>
      <c r="S139">
        <f>Q139/R139</f>
        <v>2.1491250577232337E-4</v>
      </c>
      <c r="T139">
        <f>S139*10000</f>
        <v>2.1491250577232339</v>
      </c>
    </row>
    <row r="140" spans="1:20" x14ac:dyDescent="0.3">
      <c r="A140" t="s">
        <v>35</v>
      </c>
      <c r="B140" t="s">
        <v>40</v>
      </c>
      <c r="C140">
        <v>2</v>
      </c>
      <c r="D140">
        <v>0.5</v>
      </c>
      <c r="E140" t="s">
        <v>22</v>
      </c>
      <c r="F140">
        <v>0.43018000000000001</v>
      </c>
      <c r="G140" s="1">
        <v>45849</v>
      </c>
      <c r="H140">
        <v>6.5827799999999996</v>
      </c>
      <c r="I140" s="1">
        <v>45877</v>
      </c>
      <c r="J140">
        <v>63.617251160000002</v>
      </c>
      <c r="K140">
        <v>5.31</v>
      </c>
      <c r="L140">
        <v>0</v>
      </c>
      <c r="M140">
        <v>7.3575100000000004</v>
      </c>
      <c r="N140">
        <f>L140*F140</f>
        <v>0</v>
      </c>
      <c r="O140">
        <f>L140*J140</f>
        <v>0</v>
      </c>
      <c r="P140">
        <f>M140-N140-H140</f>
        <v>0.77473000000000081</v>
      </c>
      <c r="Q140" t="e">
        <f>P140/O140</f>
        <v>#DIV/0!</v>
      </c>
      <c r="R140">
        <f>I140-G140</f>
        <v>28</v>
      </c>
      <c r="S140" t="e">
        <f>Q140/R140</f>
        <v>#DIV/0!</v>
      </c>
      <c r="T140" t="e">
        <f>S140*10000</f>
        <v>#DIV/0!</v>
      </c>
    </row>
    <row r="141" spans="1:20" x14ac:dyDescent="0.3">
      <c r="A141" t="s">
        <v>35</v>
      </c>
      <c r="B141" t="s">
        <v>40</v>
      </c>
      <c r="C141">
        <v>2</v>
      </c>
      <c r="D141">
        <v>0.5</v>
      </c>
      <c r="E141" t="s">
        <v>23</v>
      </c>
      <c r="F141">
        <v>0.43064999999999998</v>
      </c>
      <c r="G141" s="1">
        <v>45849</v>
      </c>
      <c r="H141">
        <v>6.6503899999999998</v>
      </c>
      <c r="I141" s="1">
        <v>45877</v>
      </c>
      <c r="J141">
        <v>63.617251160000002</v>
      </c>
      <c r="K141">
        <v>5.31</v>
      </c>
      <c r="L141">
        <v>0</v>
      </c>
      <c r="M141">
        <v>6.7200899999999999</v>
      </c>
      <c r="N141">
        <f>L141*F141</f>
        <v>0</v>
      </c>
      <c r="O141">
        <f>L141*J141</f>
        <v>0</v>
      </c>
      <c r="P141">
        <f>M141-N141-H141</f>
        <v>6.9700000000000095E-2</v>
      </c>
      <c r="Q141" t="e">
        <f>P141/O141</f>
        <v>#DIV/0!</v>
      </c>
      <c r="R141">
        <f>I141-G141</f>
        <v>28</v>
      </c>
      <c r="S141" t="e">
        <f>Q141/R141</f>
        <v>#DIV/0!</v>
      </c>
      <c r="T141" t="e">
        <f>S141*10000</f>
        <v>#DIV/0!</v>
      </c>
    </row>
    <row r="142" spans="1:20" x14ac:dyDescent="0.3">
      <c r="A142" t="s">
        <v>35</v>
      </c>
      <c r="B142" t="s">
        <v>40</v>
      </c>
      <c r="C142">
        <v>2</v>
      </c>
      <c r="D142">
        <v>0.5</v>
      </c>
      <c r="E142" t="s">
        <v>24</v>
      </c>
      <c r="F142">
        <v>0.42487999999999998</v>
      </c>
      <c r="G142" s="1">
        <v>45849</v>
      </c>
      <c r="H142">
        <v>6.6150399999999996</v>
      </c>
      <c r="I142" s="1">
        <v>45877</v>
      </c>
      <c r="J142">
        <v>63.617251160000002</v>
      </c>
      <c r="K142">
        <v>5.31</v>
      </c>
      <c r="L142">
        <v>0</v>
      </c>
      <c r="M142">
        <v>6.61219</v>
      </c>
      <c r="N142">
        <f>L142*F142</f>
        <v>0</v>
      </c>
      <c r="O142">
        <f>L142*J142</f>
        <v>0</v>
      </c>
      <c r="P142">
        <f>M142-N142-H142</f>
        <v>-2.8499999999995751E-3</v>
      </c>
      <c r="Q142" t="e">
        <f>P142/O142</f>
        <v>#DIV/0!</v>
      </c>
      <c r="R142">
        <f>I142-G142</f>
        <v>28</v>
      </c>
      <c r="S142" t="e">
        <f>Q142/R142</f>
        <v>#DIV/0!</v>
      </c>
      <c r="T142" t="e">
        <f>S142*10000</f>
        <v>#DIV/0!</v>
      </c>
    </row>
    <row r="143" spans="1:20" x14ac:dyDescent="0.3">
      <c r="A143" t="s">
        <v>35</v>
      </c>
      <c r="B143" t="s">
        <v>40</v>
      </c>
      <c r="C143">
        <v>2</v>
      </c>
      <c r="D143">
        <v>2</v>
      </c>
      <c r="E143" t="s">
        <v>22</v>
      </c>
      <c r="F143">
        <v>0.42537999999999998</v>
      </c>
      <c r="G143" s="1">
        <v>45849</v>
      </c>
      <c r="H143">
        <v>6.6375500000000001</v>
      </c>
      <c r="I143" s="1">
        <v>45877</v>
      </c>
      <c r="J143">
        <v>63.617251160000002</v>
      </c>
      <c r="K143">
        <v>5.31</v>
      </c>
      <c r="L143">
        <v>0.25</v>
      </c>
      <c r="M143">
        <v>8.63551</v>
      </c>
      <c r="N143">
        <f>L143*F143</f>
        <v>0.106345</v>
      </c>
      <c r="O143">
        <f>L143*J143</f>
        <v>15.904312790000001</v>
      </c>
      <c r="P143">
        <f>M143-N143-H143</f>
        <v>1.8916150000000007</v>
      </c>
      <c r="Q143">
        <f>P143/O143</f>
        <v>0.11893723576597243</v>
      </c>
      <c r="R143">
        <f>I143-G143</f>
        <v>28</v>
      </c>
      <c r="S143">
        <f>Q143/R143</f>
        <v>4.2477584202133007E-3</v>
      </c>
      <c r="T143">
        <f>S143*10000</f>
        <v>42.477584202133009</v>
      </c>
    </row>
    <row r="144" spans="1:20" x14ac:dyDescent="0.3">
      <c r="A144" t="s">
        <v>35</v>
      </c>
      <c r="B144" t="s">
        <v>40</v>
      </c>
      <c r="C144">
        <v>2</v>
      </c>
      <c r="D144">
        <v>2</v>
      </c>
      <c r="E144" t="s">
        <v>23</v>
      </c>
      <c r="F144">
        <v>0.43090000000000001</v>
      </c>
      <c r="G144" s="1">
        <v>45849</v>
      </c>
      <c r="H144">
        <v>6.6432099999999998</v>
      </c>
      <c r="I144" s="1">
        <v>45877</v>
      </c>
      <c r="J144">
        <v>63.617251160000002</v>
      </c>
      <c r="K144">
        <v>5.31</v>
      </c>
      <c r="L144">
        <v>0</v>
      </c>
      <c r="M144">
        <v>6.7304300000000001</v>
      </c>
      <c r="N144">
        <f>L144*F144</f>
        <v>0</v>
      </c>
      <c r="O144">
        <f>L144*J144</f>
        <v>0</v>
      </c>
      <c r="P144">
        <f>M144-N144-H144</f>
        <v>8.7220000000000297E-2</v>
      </c>
      <c r="Q144" t="e">
        <f>P144/O144</f>
        <v>#DIV/0!</v>
      </c>
      <c r="R144">
        <f>I144-G144</f>
        <v>28</v>
      </c>
      <c r="S144" t="e">
        <f>Q144/R144</f>
        <v>#DIV/0!</v>
      </c>
      <c r="T144" t="e">
        <f>S144*10000</f>
        <v>#DIV/0!</v>
      </c>
    </row>
    <row r="145" spans="1:20" x14ac:dyDescent="0.3">
      <c r="A145" t="s">
        <v>35</v>
      </c>
      <c r="B145" t="s">
        <v>40</v>
      </c>
      <c r="C145">
        <v>2</v>
      </c>
      <c r="D145">
        <v>2</v>
      </c>
      <c r="E145" t="s">
        <v>24</v>
      </c>
      <c r="F145">
        <v>0.42568</v>
      </c>
      <c r="G145" s="1">
        <v>45849</v>
      </c>
      <c r="H145">
        <v>6.6903100000000002</v>
      </c>
      <c r="I145" s="1">
        <v>45877</v>
      </c>
      <c r="J145">
        <v>63.617251160000002</v>
      </c>
      <c r="K145">
        <v>5.31</v>
      </c>
      <c r="L145">
        <v>0.25</v>
      </c>
      <c r="M145">
        <v>7.7950499999999998</v>
      </c>
      <c r="N145">
        <f>L145*F145</f>
        <v>0.10642</v>
      </c>
      <c r="O145">
        <f>L145*J145</f>
        <v>15.904312790000001</v>
      </c>
      <c r="P145">
        <f>M145-N145-H145</f>
        <v>0.99831999999999965</v>
      </c>
      <c r="Q145">
        <f>P145/O145</f>
        <v>6.2770395249501357E-2</v>
      </c>
      <c r="R145">
        <f>I145-G145</f>
        <v>28</v>
      </c>
      <c r="S145">
        <f>Q145/R145</f>
        <v>2.2417998303393342E-3</v>
      </c>
      <c r="T145">
        <f>S145*10000</f>
        <v>22.417998303393343</v>
      </c>
    </row>
    <row r="146" spans="1:20" x14ac:dyDescent="0.3">
      <c r="A146" t="s">
        <v>35</v>
      </c>
      <c r="B146" t="s">
        <v>40</v>
      </c>
      <c r="C146">
        <v>2</v>
      </c>
      <c r="D146">
        <v>6</v>
      </c>
      <c r="E146" t="s">
        <v>22</v>
      </c>
      <c r="F146">
        <v>0.43030000000000002</v>
      </c>
      <c r="G146" s="1">
        <v>45849</v>
      </c>
      <c r="H146">
        <v>6.6720199999999998</v>
      </c>
      <c r="I146" s="1">
        <v>45877</v>
      </c>
      <c r="J146">
        <v>63.617251160000002</v>
      </c>
      <c r="K146">
        <v>5.31</v>
      </c>
      <c r="L146">
        <v>0.25</v>
      </c>
      <c r="M146">
        <v>6.9573999999999998</v>
      </c>
      <c r="N146">
        <f>L146*F146</f>
        <v>0.107575</v>
      </c>
      <c r="O146">
        <f>L146*J146</f>
        <v>15.904312790000001</v>
      </c>
      <c r="P146">
        <f>M146-N146-H146</f>
        <v>0.17780500000000021</v>
      </c>
      <c r="Q146">
        <f>P146/O146</f>
        <v>1.1179671976257719E-2</v>
      </c>
      <c r="R146">
        <f>I146-G146</f>
        <v>28</v>
      </c>
      <c r="S146">
        <f>Q146/R146</f>
        <v>3.9927399915206139E-4</v>
      </c>
      <c r="T146">
        <f>S146*10000</f>
        <v>3.9927399915206139</v>
      </c>
    </row>
    <row r="147" spans="1:20" x14ac:dyDescent="0.3">
      <c r="A147" t="s">
        <v>35</v>
      </c>
      <c r="B147" t="s">
        <v>40</v>
      </c>
      <c r="C147">
        <v>2</v>
      </c>
      <c r="D147">
        <v>6</v>
      </c>
      <c r="E147" t="s">
        <v>23</v>
      </c>
      <c r="F147">
        <v>0.42574000000000001</v>
      </c>
      <c r="G147" s="1">
        <v>45849</v>
      </c>
      <c r="H147">
        <v>6.6970799999999997</v>
      </c>
      <c r="I147" s="1">
        <v>45877</v>
      </c>
      <c r="J147">
        <v>63.617251160000002</v>
      </c>
      <c r="K147">
        <v>5.31</v>
      </c>
      <c r="L147" t="s">
        <v>42</v>
      </c>
      <c r="M147">
        <v>7.0745100000000001</v>
      </c>
      <c r="N147" t="e">
        <f>L147*F147</f>
        <v>#VALUE!</v>
      </c>
      <c r="O147" t="e">
        <f>L147*J147</f>
        <v>#VALUE!</v>
      </c>
      <c r="P147" t="e">
        <f>M147-N147-H147</f>
        <v>#VALUE!</v>
      </c>
      <c r="Q147" t="e">
        <f>P147/O147</f>
        <v>#VALUE!</v>
      </c>
      <c r="R147">
        <f>I147-G147</f>
        <v>28</v>
      </c>
      <c r="S147" t="e">
        <f>Q147/R147</f>
        <v>#VALUE!</v>
      </c>
      <c r="T147" t="e">
        <f>S147*10000</f>
        <v>#VALUE!</v>
      </c>
    </row>
    <row r="148" spans="1:20" x14ac:dyDescent="0.3">
      <c r="A148" t="s">
        <v>35</v>
      </c>
      <c r="B148" t="s">
        <v>40</v>
      </c>
      <c r="C148">
        <v>2</v>
      </c>
      <c r="D148">
        <v>6</v>
      </c>
      <c r="E148" t="s">
        <v>24</v>
      </c>
      <c r="F148">
        <v>0.43257000000000001</v>
      </c>
      <c r="G148" s="1">
        <v>45849</v>
      </c>
      <c r="H148">
        <v>6.7501300000000004</v>
      </c>
      <c r="I148" s="1">
        <v>45877</v>
      </c>
      <c r="J148">
        <v>63.617251160000002</v>
      </c>
      <c r="K148">
        <v>5.31</v>
      </c>
      <c r="L148">
        <v>0.25</v>
      </c>
      <c r="M148">
        <v>7.1292900000000001</v>
      </c>
      <c r="N148">
        <f>L148*F148</f>
        <v>0.1081425</v>
      </c>
      <c r="O148">
        <f>L148*J148</f>
        <v>15.904312790000001</v>
      </c>
      <c r="P148">
        <f>M148-N148-H148</f>
        <v>0.27101750000000013</v>
      </c>
      <c r="Q148">
        <f>P148/O148</f>
        <v>1.7040503640648037E-2</v>
      </c>
      <c r="R148">
        <f>I148-G148</f>
        <v>28</v>
      </c>
      <c r="S148">
        <f>Q148/R148</f>
        <v>6.0858941573742993E-4</v>
      </c>
      <c r="T148">
        <f>S148*10000</f>
        <v>6.0858941573742991</v>
      </c>
    </row>
    <row r="149" spans="1:20" x14ac:dyDescent="0.3">
      <c r="A149" t="s">
        <v>35</v>
      </c>
      <c r="B149" t="s">
        <v>40</v>
      </c>
      <c r="C149">
        <v>2</v>
      </c>
      <c r="D149">
        <v>12</v>
      </c>
      <c r="E149" t="s">
        <v>22</v>
      </c>
      <c r="F149">
        <v>0.43089</v>
      </c>
      <c r="G149" s="1">
        <v>45849</v>
      </c>
      <c r="H149">
        <v>6.6400100000000002</v>
      </c>
      <c r="I149" s="1">
        <v>45877</v>
      </c>
      <c r="J149">
        <v>63.617251160000002</v>
      </c>
      <c r="K149">
        <v>5.31</v>
      </c>
      <c r="L149">
        <v>1</v>
      </c>
      <c r="M149">
        <v>8.5682600000000004</v>
      </c>
      <c r="N149">
        <f>L149*F149</f>
        <v>0.43089</v>
      </c>
      <c r="O149">
        <f>L149*J149</f>
        <v>63.617251160000002</v>
      </c>
      <c r="P149">
        <f>M149-N149-H149</f>
        <v>1.4973600000000005</v>
      </c>
      <c r="Q149">
        <f>P149/O149</f>
        <v>2.3537011937753777E-2</v>
      </c>
      <c r="R149">
        <f>I149-G149</f>
        <v>28</v>
      </c>
      <c r="S149">
        <f>Q149/R149</f>
        <v>8.4060756920549204E-4</v>
      </c>
      <c r="T149">
        <f>S149*10000</f>
        <v>8.4060756920549196</v>
      </c>
    </row>
    <row r="150" spans="1:20" x14ac:dyDescent="0.3">
      <c r="A150" t="s">
        <v>35</v>
      </c>
      <c r="B150" t="s">
        <v>40</v>
      </c>
      <c r="C150">
        <v>2</v>
      </c>
      <c r="D150">
        <v>12</v>
      </c>
      <c r="E150" t="s">
        <v>23</v>
      </c>
      <c r="F150">
        <v>0.42502000000000001</v>
      </c>
      <c r="G150" s="1">
        <v>45849</v>
      </c>
      <c r="H150">
        <v>6.7019700000000002</v>
      </c>
      <c r="I150" s="1">
        <v>45877</v>
      </c>
      <c r="J150">
        <v>63.617251160000002</v>
      </c>
      <c r="K150">
        <v>5.31</v>
      </c>
      <c r="L150">
        <v>1</v>
      </c>
      <c r="M150">
        <v>8.7257499999999997</v>
      </c>
      <c r="N150">
        <f>L150*F150</f>
        <v>0.42502000000000001</v>
      </c>
      <c r="O150">
        <f>L150*J150</f>
        <v>63.617251160000002</v>
      </c>
      <c r="P150">
        <f>M150-N150-H150</f>
        <v>1.5987599999999995</v>
      </c>
      <c r="Q150">
        <f>P150/O150</f>
        <v>2.5130919221565427E-2</v>
      </c>
      <c r="R150">
        <f>I150-G150</f>
        <v>28</v>
      </c>
      <c r="S150">
        <f>Q150/R150</f>
        <v>8.9753282934162243E-4</v>
      </c>
      <c r="T150">
        <f>S150*10000</f>
        <v>8.975328293416224</v>
      </c>
    </row>
    <row r="151" spans="1:20" x14ac:dyDescent="0.3">
      <c r="A151" t="s">
        <v>35</v>
      </c>
      <c r="B151" t="s">
        <v>40</v>
      </c>
      <c r="C151">
        <v>2</v>
      </c>
      <c r="D151">
        <v>12</v>
      </c>
      <c r="E151" t="s">
        <v>24</v>
      </c>
      <c r="F151">
        <v>0.43062</v>
      </c>
      <c r="G151" s="1">
        <v>45849</v>
      </c>
      <c r="H151">
        <v>6.6822600000000003</v>
      </c>
      <c r="I151" s="1">
        <v>45877</v>
      </c>
      <c r="J151">
        <v>63.617251160000002</v>
      </c>
      <c r="K151">
        <v>5.31</v>
      </c>
      <c r="L151">
        <v>1</v>
      </c>
      <c r="M151">
        <v>8.4215199999999992</v>
      </c>
      <c r="N151">
        <f>L151*F151</f>
        <v>0.43062</v>
      </c>
      <c r="O151">
        <f>L151*J151</f>
        <v>63.617251160000002</v>
      </c>
      <c r="P151">
        <f>M151-N151-H151</f>
        <v>1.3086399999999987</v>
      </c>
      <c r="Q151">
        <f>P151/O151</f>
        <v>2.0570520985081785E-2</v>
      </c>
      <c r="R151">
        <f>I151-G151</f>
        <v>28</v>
      </c>
      <c r="S151">
        <f>Q151/R151</f>
        <v>7.3466146375292089E-4</v>
      </c>
      <c r="T151">
        <f>S151*10000</f>
        <v>7.3466146375292087</v>
      </c>
    </row>
    <row r="152" spans="1:20" x14ac:dyDescent="0.3">
      <c r="A152" t="s">
        <v>35</v>
      </c>
      <c r="B152" t="s">
        <v>40</v>
      </c>
      <c r="C152">
        <v>2</v>
      </c>
      <c r="D152">
        <v>24</v>
      </c>
      <c r="E152" t="s">
        <v>22</v>
      </c>
      <c r="F152">
        <v>0.42514999999999997</v>
      </c>
      <c r="G152" s="1">
        <v>45849</v>
      </c>
      <c r="H152">
        <v>6.6784800000000004</v>
      </c>
      <c r="I152" s="1">
        <v>45877</v>
      </c>
      <c r="J152">
        <v>63.617251160000002</v>
      </c>
      <c r="K152">
        <v>5.31</v>
      </c>
      <c r="L152">
        <v>1</v>
      </c>
      <c r="M152">
        <v>7.7333299999999996</v>
      </c>
      <c r="N152">
        <f>L152*F152</f>
        <v>0.42514999999999997</v>
      </c>
      <c r="O152">
        <f>L152*J152</f>
        <v>63.617251160000002</v>
      </c>
      <c r="P152">
        <f>M152-N152-H152</f>
        <v>0.62969999999999882</v>
      </c>
      <c r="Q152">
        <f>P152/O152</f>
        <v>9.8982585465108731E-3</v>
      </c>
      <c r="R152">
        <f>I152-G152</f>
        <v>28</v>
      </c>
      <c r="S152">
        <f>Q152/R152</f>
        <v>3.5350923380395976E-4</v>
      </c>
      <c r="T152">
        <f>S152*10000</f>
        <v>3.5350923380395978</v>
      </c>
    </row>
    <row r="153" spans="1:20" x14ac:dyDescent="0.3">
      <c r="A153" t="s">
        <v>35</v>
      </c>
      <c r="B153" t="s">
        <v>40</v>
      </c>
      <c r="C153">
        <v>2</v>
      </c>
      <c r="D153">
        <v>24</v>
      </c>
      <c r="E153" t="s">
        <v>23</v>
      </c>
      <c r="F153">
        <v>0.42997000000000002</v>
      </c>
      <c r="G153" s="1">
        <v>45849</v>
      </c>
      <c r="H153">
        <v>6.66073</v>
      </c>
      <c r="I153" s="1">
        <v>45877</v>
      </c>
      <c r="J153">
        <v>63.617251160000002</v>
      </c>
      <c r="K153">
        <v>5.31</v>
      </c>
      <c r="L153">
        <v>1</v>
      </c>
      <c r="M153">
        <v>7.5960799999999997</v>
      </c>
      <c r="N153">
        <f>L153*F153</f>
        <v>0.42997000000000002</v>
      </c>
      <c r="O153">
        <f>L153*J153</f>
        <v>63.617251160000002</v>
      </c>
      <c r="P153">
        <f>M153-N153-H153</f>
        <v>0.50537999999999972</v>
      </c>
      <c r="Q153">
        <f>P153/O153</f>
        <v>7.9440716281335109E-3</v>
      </c>
      <c r="R153">
        <f>I153-G153</f>
        <v>28</v>
      </c>
      <c r="S153">
        <f>Q153/R153</f>
        <v>2.8371684386191111E-4</v>
      </c>
      <c r="T153">
        <f>S153*10000</f>
        <v>2.8371684386191109</v>
      </c>
    </row>
    <row r="154" spans="1:20" x14ac:dyDescent="0.3">
      <c r="A154" t="s">
        <v>35</v>
      </c>
      <c r="B154" t="s">
        <v>40</v>
      </c>
      <c r="C154">
        <v>2</v>
      </c>
      <c r="D154">
        <v>24</v>
      </c>
      <c r="E154" t="s">
        <v>24</v>
      </c>
      <c r="F154">
        <v>0.42394999999999999</v>
      </c>
      <c r="G154" s="1">
        <v>45849</v>
      </c>
      <c r="H154">
        <v>6.69679</v>
      </c>
      <c r="I154" s="1">
        <v>45877</v>
      </c>
      <c r="J154">
        <v>63.617251160000002</v>
      </c>
      <c r="K154">
        <v>5.31</v>
      </c>
      <c r="L154">
        <v>1</v>
      </c>
      <c r="M154">
        <v>7.49465</v>
      </c>
      <c r="N154">
        <f>L154*F154</f>
        <v>0.42394999999999999</v>
      </c>
      <c r="O154">
        <f>L154*J154</f>
        <v>63.617251160000002</v>
      </c>
      <c r="P154">
        <f>M154-N154-H154</f>
        <v>0.37391000000000041</v>
      </c>
      <c r="Q154">
        <f>P154/O154</f>
        <v>5.8774938115386558E-3</v>
      </c>
      <c r="R154">
        <f>I154-G154</f>
        <v>28</v>
      </c>
      <c r="S154">
        <f>Q154/R154</f>
        <v>2.0991049326923771E-4</v>
      </c>
      <c r="T154">
        <f>S154*10000</f>
        <v>2.0991049326923772</v>
      </c>
    </row>
    <row r="155" spans="1:20" x14ac:dyDescent="0.3">
      <c r="A155" t="s">
        <v>35</v>
      </c>
      <c r="B155" t="s">
        <v>40</v>
      </c>
      <c r="C155">
        <v>2</v>
      </c>
      <c r="D155">
        <v>48</v>
      </c>
      <c r="E155" t="s">
        <v>22</v>
      </c>
      <c r="F155">
        <v>0.43220999999999998</v>
      </c>
      <c r="G155" s="1">
        <v>45849</v>
      </c>
      <c r="H155">
        <v>6.65768</v>
      </c>
      <c r="I155" s="1">
        <v>45877</v>
      </c>
      <c r="J155">
        <v>63.617251160000002</v>
      </c>
      <c r="K155">
        <v>5.31</v>
      </c>
      <c r="L155">
        <v>1</v>
      </c>
      <c r="M155">
        <v>7.6511800000000001</v>
      </c>
      <c r="N155">
        <f>L155*F155</f>
        <v>0.43220999999999998</v>
      </c>
      <c r="O155">
        <f>L155*J155</f>
        <v>63.617251160000002</v>
      </c>
      <c r="P155">
        <f>M155-N155-H155</f>
        <v>0.56129000000000051</v>
      </c>
      <c r="Q155">
        <f>P155/O155</f>
        <v>8.822921295174058E-3</v>
      </c>
      <c r="R155">
        <f>I155-G155</f>
        <v>28</v>
      </c>
      <c r="S155">
        <f>Q155/R155</f>
        <v>3.1510433197050206E-4</v>
      </c>
      <c r="T155">
        <f>S155*10000</f>
        <v>3.1510433197050207</v>
      </c>
    </row>
    <row r="156" spans="1:20" x14ac:dyDescent="0.3">
      <c r="A156" t="s">
        <v>35</v>
      </c>
      <c r="B156" t="s">
        <v>40</v>
      </c>
      <c r="C156">
        <v>2</v>
      </c>
      <c r="D156">
        <v>48</v>
      </c>
      <c r="E156" t="s">
        <v>23</v>
      </c>
      <c r="F156">
        <v>0.42981000000000003</v>
      </c>
      <c r="G156" s="1">
        <v>45849</v>
      </c>
      <c r="H156">
        <v>6.6981999999999999</v>
      </c>
      <c r="I156" s="1">
        <v>45877</v>
      </c>
      <c r="J156">
        <v>63.617251160000002</v>
      </c>
      <c r="K156">
        <v>5.31</v>
      </c>
      <c r="L156">
        <v>1</v>
      </c>
      <c r="M156">
        <v>7.7051699999999999</v>
      </c>
      <c r="N156">
        <f>L156*F156</f>
        <v>0.42981000000000003</v>
      </c>
      <c r="O156">
        <f>L156*J156</f>
        <v>63.617251160000002</v>
      </c>
      <c r="P156">
        <f>M156-N156-H156</f>
        <v>0.57716000000000012</v>
      </c>
      <c r="Q156">
        <f>P156/O156</f>
        <v>9.0723819321966454E-3</v>
      </c>
      <c r="R156">
        <f>I156-G156</f>
        <v>28</v>
      </c>
      <c r="S156">
        <f>Q156/R156</f>
        <v>3.2401364043559448E-4</v>
      </c>
      <c r="T156">
        <f>S156*10000</f>
        <v>3.2401364043559449</v>
      </c>
    </row>
    <row r="157" spans="1:20" x14ac:dyDescent="0.3">
      <c r="A157" t="s">
        <v>35</v>
      </c>
      <c r="B157" t="s">
        <v>40</v>
      </c>
      <c r="C157">
        <v>2</v>
      </c>
      <c r="D157">
        <v>48</v>
      </c>
      <c r="E157" t="s">
        <v>24</v>
      </c>
      <c r="F157">
        <v>0.43240000000000001</v>
      </c>
      <c r="G157" s="1">
        <v>45849</v>
      </c>
      <c r="H157">
        <v>6.6392100000000003</v>
      </c>
      <c r="I157" s="1">
        <v>45877</v>
      </c>
      <c r="J157">
        <v>63.617251160000002</v>
      </c>
      <c r="K157">
        <v>5.31</v>
      </c>
      <c r="L157">
        <v>1</v>
      </c>
      <c r="M157">
        <v>7.5706800000000003</v>
      </c>
      <c r="N157">
        <f>L157*F157</f>
        <v>0.43240000000000001</v>
      </c>
      <c r="O157">
        <f>L157*J157</f>
        <v>63.617251160000002</v>
      </c>
      <c r="P157">
        <f>M157-N157-H157</f>
        <v>0.49906999999999968</v>
      </c>
      <c r="Q157">
        <f>P157/O157</f>
        <v>7.8448846955807335E-3</v>
      </c>
      <c r="R157">
        <f>I157-G157</f>
        <v>28</v>
      </c>
      <c r="S157">
        <f>Q157/R157</f>
        <v>2.8017445341359763E-4</v>
      </c>
      <c r="T157">
        <f>S157*10000</f>
        <v>2.8017445341359761</v>
      </c>
    </row>
    <row r="158" spans="1:20" x14ac:dyDescent="0.3">
      <c r="A158" t="s">
        <v>35</v>
      </c>
      <c r="B158" t="s">
        <v>40</v>
      </c>
      <c r="C158">
        <v>2</v>
      </c>
      <c r="E158" t="s">
        <v>29</v>
      </c>
      <c r="F158">
        <v>0.43064000000000002</v>
      </c>
      <c r="G158" t="s">
        <v>27</v>
      </c>
      <c r="H158">
        <v>6.6016599999999999</v>
      </c>
      <c r="I158" t="s">
        <v>27</v>
      </c>
      <c r="J158">
        <v>63.617251160000002</v>
      </c>
      <c r="K158">
        <v>5.31</v>
      </c>
      <c r="L158" t="s">
        <v>27</v>
      </c>
      <c r="M158" t="s">
        <v>27</v>
      </c>
      <c r="N158" t="e">
        <f>L158*F158</f>
        <v>#VALUE!</v>
      </c>
      <c r="O158" t="e">
        <f>L158*J158</f>
        <v>#VALUE!</v>
      </c>
      <c r="P158" t="e">
        <f>M158-N158-H158</f>
        <v>#VALUE!</v>
      </c>
      <c r="Q158" t="e">
        <f>P158/O158</f>
        <v>#VALUE!</v>
      </c>
      <c r="R158" t="e">
        <f>I158-G158</f>
        <v>#VALUE!</v>
      </c>
      <c r="S158" t="e">
        <f>Q158/R158</f>
        <v>#VALUE!</v>
      </c>
      <c r="T158" t="e">
        <f>S158*10000</f>
        <v>#VALUE!</v>
      </c>
    </row>
    <row r="159" spans="1:20" x14ac:dyDescent="0.3">
      <c r="A159" t="s">
        <v>35</v>
      </c>
      <c r="B159" t="s">
        <v>40</v>
      </c>
      <c r="C159">
        <v>2</v>
      </c>
      <c r="E159" t="s">
        <v>31</v>
      </c>
      <c r="F159">
        <v>0.43110999999999999</v>
      </c>
      <c r="G159" t="s">
        <v>27</v>
      </c>
      <c r="H159">
        <v>6.7079199999999997</v>
      </c>
      <c r="I159" t="s">
        <v>27</v>
      </c>
      <c r="J159">
        <v>63.617251160000002</v>
      </c>
      <c r="K159">
        <v>5.31</v>
      </c>
      <c r="L159" t="s">
        <v>27</v>
      </c>
      <c r="M159" t="s">
        <v>27</v>
      </c>
      <c r="N159" t="e">
        <f>L159*F159</f>
        <v>#VALUE!</v>
      </c>
      <c r="O159" t="e">
        <f>L159*J159</f>
        <v>#VALUE!</v>
      </c>
      <c r="P159" t="e">
        <f>M159-N159-H159</f>
        <v>#VALUE!</v>
      </c>
      <c r="Q159" t="e">
        <f>P159/O159</f>
        <v>#VALUE!</v>
      </c>
      <c r="R159" t="e">
        <f>I159-G159</f>
        <v>#VALUE!</v>
      </c>
      <c r="S159" t="e">
        <f>Q159/R159</f>
        <v>#VALUE!</v>
      </c>
      <c r="T159" t="e">
        <f>S159*10000</f>
        <v>#VALUE!</v>
      </c>
    </row>
    <row r="160" spans="1:20" x14ac:dyDescent="0.3">
      <c r="A160" t="s">
        <v>35</v>
      </c>
      <c r="B160" t="s">
        <v>40</v>
      </c>
      <c r="C160">
        <v>2</v>
      </c>
      <c r="E160" t="s">
        <v>33</v>
      </c>
      <c r="F160">
        <v>0.42959999999999998</v>
      </c>
      <c r="G160" t="s">
        <v>27</v>
      </c>
      <c r="H160">
        <v>6.6136799999999996</v>
      </c>
      <c r="I160" t="s">
        <v>27</v>
      </c>
      <c r="J160">
        <v>63.617251160000002</v>
      </c>
      <c r="K160">
        <v>5.31</v>
      </c>
      <c r="L160" t="s">
        <v>27</v>
      </c>
      <c r="M160" t="s">
        <v>27</v>
      </c>
      <c r="N160" t="e">
        <f>L160*F160</f>
        <v>#VALUE!</v>
      </c>
      <c r="O160" t="e">
        <f>L160*J160</f>
        <v>#VALUE!</v>
      </c>
      <c r="P160" t="e">
        <f>M160-N160-H160</f>
        <v>#VALUE!</v>
      </c>
      <c r="Q160" t="e">
        <f>P160/O160</f>
        <v>#VALUE!</v>
      </c>
      <c r="R160" t="e">
        <f>I160-G160</f>
        <v>#VALUE!</v>
      </c>
      <c r="S160" t="e">
        <f>Q160/R160</f>
        <v>#VALUE!</v>
      </c>
      <c r="T160" t="e">
        <f>S160*10000</f>
        <v>#VALUE!</v>
      </c>
    </row>
    <row r="161" spans="1:20" x14ac:dyDescent="0.3">
      <c r="A161" t="s">
        <v>35</v>
      </c>
      <c r="B161" t="s">
        <v>40</v>
      </c>
      <c r="C161">
        <v>2</v>
      </c>
      <c r="E161" t="s">
        <v>34</v>
      </c>
      <c r="F161">
        <v>0.43260999999999999</v>
      </c>
      <c r="G161" t="s">
        <v>27</v>
      </c>
      <c r="H161">
        <v>6.6252800000000001</v>
      </c>
      <c r="I161" t="s">
        <v>27</v>
      </c>
      <c r="J161">
        <v>63.617251160000002</v>
      </c>
      <c r="K161">
        <v>5.31</v>
      </c>
      <c r="L161">
        <v>1</v>
      </c>
      <c r="M161">
        <v>8.5910899999999994</v>
      </c>
      <c r="N161">
        <f>L161*F161</f>
        <v>0.43260999999999999</v>
      </c>
      <c r="O161">
        <f>L161*J161</f>
        <v>63.617251160000002</v>
      </c>
      <c r="P161">
        <f>M161-N161-H161</f>
        <v>1.533199999999999</v>
      </c>
      <c r="Q161">
        <f>P161/O161</f>
        <v>2.4100381139448134E-2</v>
      </c>
      <c r="R161" t="e">
        <f>I161-G161</f>
        <v>#VALUE!</v>
      </c>
      <c r="S161" t="e">
        <f>Q161/R161</f>
        <v>#VALUE!</v>
      </c>
      <c r="T161" t="e">
        <f>S161*10000</f>
        <v>#VALUE!</v>
      </c>
    </row>
    <row r="162" spans="1:20" x14ac:dyDescent="0.3">
      <c r="A162" t="s">
        <v>43</v>
      </c>
      <c r="B162" t="s">
        <v>44</v>
      </c>
      <c r="C162">
        <v>1</v>
      </c>
      <c r="D162">
        <v>0.5</v>
      </c>
      <c r="E162" t="s">
        <v>22</v>
      </c>
      <c r="F162">
        <v>0.4486</v>
      </c>
      <c r="G162" s="1">
        <v>45874</v>
      </c>
      <c r="H162">
        <v>2.6823800000000002</v>
      </c>
      <c r="I162" s="1">
        <v>45903</v>
      </c>
      <c r="J162">
        <v>63.617251160000002</v>
      </c>
      <c r="K162">
        <v>5.31</v>
      </c>
      <c r="L162">
        <v>1</v>
      </c>
      <c r="M162">
        <v>3.89629</v>
      </c>
      <c r="N162">
        <f>L162*F162</f>
        <v>0.4486</v>
      </c>
      <c r="O162">
        <f>L162*J162</f>
        <v>63.617251160000002</v>
      </c>
      <c r="P162">
        <f>M162-N162-H162</f>
        <v>0.76530999999999993</v>
      </c>
      <c r="Q162">
        <f>P162/O162</f>
        <v>1.2029913051024695E-2</v>
      </c>
      <c r="R162">
        <f>I162-G162</f>
        <v>29</v>
      </c>
      <c r="S162">
        <f>Q162/R162</f>
        <v>4.1482458796636879E-4</v>
      </c>
      <c r="T162">
        <f>S162*10000</f>
        <v>4.1482458796636879</v>
      </c>
    </row>
    <row r="163" spans="1:20" x14ac:dyDescent="0.3">
      <c r="A163" t="s">
        <v>43</v>
      </c>
      <c r="B163" t="s">
        <v>44</v>
      </c>
      <c r="C163">
        <v>1</v>
      </c>
      <c r="D163">
        <v>0.5</v>
      </c>
      <c r="E163" t="s">
        <v>23</v>
      </c>
      <c r="F163">
        <v>0.45499000000000001</v>
      </c>
      <c r="G163" s="1">
        <v>45874</v>
      </c>
      <c r="H163">
        <v>2.7143999999999999</v>
      </c>
      <c r="I163" s="1">
        <v>45903</v>
      </c>
      <c r="J163">
        <v>63.617251160000002</v>
      </c>
      <c r="K163">
        <v>5.31</v>
      </c>
      <c r="L163">
        <v>1</v>
      </c>
      <c r="M163">
        <v>3.58162</v>
      </c>
      <c r="N163">
        <f>L163*F163</f>
        <v>0.45499000000000001</v>
      </c>
      <c r="O163">
        <f>L163*J163</f>
        <v>63.617251160000002</v>
      </c>
      <c r="P163">
        <f>M163-N163-H163</f>
        <v>0.4122300000000001</v>
      </c>
      <c r="Q163">
        <f>P163/O163</f>
        <v>6.4798461499574181E-3</v>
      </c>
      <c r="R163">
        <f>I163-G163</f>
        <v>29</v>
      </c>
      <c r="S163">
        <f>Q163/R163</f>
        <v>2.2344297068818683E-4</v>
      </c>
      <c r="T163">
        <f>S163*10000</f>
        <v>2.2344297068818681</v>
      </c>
    </row>
    <row r="164" spans="1:20" x14ac:dyDescent="0.3">
      <c r="A164" t="s">
        <v>43</v>
      </c>
      <c r="B164" t="s">
        <v>44</v>
      </c>
      <c r="C164">
        <v>1</v>
      </c>
      <c r="D164">
        <v>0.5</v>
      </c>
      <c r="E164" t="s">
        <v>24</v>
      </c>
      <c r="F164">
        <v>0.44789000000000001</v>
      </c>
      <c r="G164" s="1">
        <v>45874</v>
      </c>
      <c r="H164">
        <v>2.6908099999999999</v>
      </c>
      <c r="I164" s="1">
        <v>45903</v>
      </c>
      <c r="J164">
        <v>63.617251160000002</v>
      </c>
      <c r="K164">
        <v>5.31</v>
      </c>
      <c r="L164">
        <v>1</v>
      </c>
      <c r="M164">
        <v>3.6065999999999998</v>
      </c>
      <c r="N164">
        <f>L164*F164</f>
        <v>0.44789000000000001</v>
      </c>
      <c r="O164">
        <f>L164*J164</f>
        <v>63.617251160000002</v>
      </c>
      <c r="P164">
        <f>M164-N164-H164</f>
        <v>0.46789999999999976</v>
      </c>
      <c r="Q164">
        <f>P164/O164</f>
        <v>7.3549232553794574E-3</v>
      </c>
      <c r="R164">
        <f>I164-G164</f>
        <v>29</v>
      </c>
      <c r="S164">
        <f>Q164/R164</f>
        <v>2.5361804328894681E-4</v>
      </c>
      <c r="T164">
        <f>S164*10000</f>
        <v>2.5361804328894682</v>
      </c>
    </row>
    <row r="165" spans="1:20" x14ac:dyDescent="0.3">
      <c r="A165" t="s">
        <v>43</v>
      </c>
      <c r="B165" t="s">
        <v>44</v>
      </c>
      <c r="C165">
        <v>1</v>
      </c>
      <c r="D165">
        <v>2</v>
      </c>
      <c r="E165" t="s">
        <v>22</v>
      </c>
      <c r="F165">
        <v>0.45427000000000001</v>
      </c>
      <c r="G165" s="1">
        <v>45874</v>
      </c>
      <c r="H165">
        <v>2.70777</v>
      </c>
      <c r="I165" s="1">
        <v>45903</v>
      </c>
      <c r="J165">
        <v>63.617251160000002</v>
      </c>
      <c r="K165">
        <v>5.31</v>
      </c>
      <c r="L165">
        <v>1</v>
      </c>
      <c r="M165">
        <v>3.4164099999999999</v>
      </c>
      <c r="N165">
        <f>L165*F165</f>
        <v>0.45427000000000001</v>
      </c>
      <c r="O165">
        <f>L165*J165</f>
        <v>63.617251160000002</v>
      </c>
      <c r="P165">
        <f>M165-N165-H165</f>
        <v>0.25436999999999976</v>
      </c>
      <c r="Q165">
        <f>P165/O165</f>
        <v>3.9984437453961779E-3</v>
      </c>
      <c r="R165">
        <f>I165-G165</f>
        <v>29</v>
      </c>
      <c r="S165">
        <f>Q165/R165</f>
        <v>1.3787737053090268E-4</v>
      </c>
      <c r="T165">
        <f>S165*10000</f>
        <v>1.3787737053090268</v>
      </c>
    </row>
    <row r="166" spans="1:20" x14ac:dyDescent="0.3">
      <c r="A166" t="s">
        <v>43</v>
      </c>
      <c r="B166" t="s">
        <v>44</v>
      </c>
      <c r="C166">
        <v>1</v>
      </c>
      <c r="D166">
        <v>2</v>
      </c>
      <c r="E166" t="s">
        <v>23</v>
      </c>
      <c r="F166">
        <v>0.44719999999999999</v>
      </c>
      <c r="G166" s="1">
        <v>45874</v>
      </c>
      <c r="H166">
        <v>2.7405400000000002</v>
      </c>
      <c r="I166" s="1">
        <v>45903</v>
      </c>
      <c r="J166">
        <v>63.617251160000002</v>
      </c>
      <c r="K166">
        <v>5.31</v>
      </c>
      <c r="L166">
        <v>1</v>
      </c>
      <c r="M166">
        <v>3.4088500000000002</v>
      </c>
      <c r="N166">
        <f>L166*F166</f>
        <v>0.44719999999999999</v>
      </c>
      <c r="O166">
        <f>L166*J166</f>
        <v>63.617251160000002</v>
      </c>
      <c r="P166">
        <f>M166-N166-H166</f>
        <v>0.22110999999999992</v>
      </c>
      <c r="Q166">
        <f>P166/O166</f>
        <v>3.4756295811005601E-3</v>
      </c>
      <c r="R166">
        <f>I166-G166</f>
        <v>29</v>
      </c>
      <c r="S166">
        <f>Q166/R166</f>
        <v>1.1984929590001931E-4</v>
      </c>
      <c r="T166">
        <f>S166*10000</f>
        <v>1.1984929590001931</v>
      </c>
    </row>
    <row r="167" spans="1:20" x14ac:dyDescent="0.3">
      <c r="A167" t="s">
        <v>43</v>
      </c>
      <c r="B167" t="s">
        <v>44</v>
      </c>
      <c r="C167">
        <v>1</v>
      </c>
      <c r="D167">
        <v>2</v>
      </c>
      <c r="E167" t="s">
        <v>24</v>
      </c>
      <c r="F167">
        <v>0.45451000000000003</v>
      </c>
      <c r="G167" s="1">
        <v>45874</v>
      </c>
      <c r="H167">
        <v>2.7073700000000001</v>
      </c>
      <c r="I167" s="1">
        <v>45903</v>
      </c>
      <c r="J167">
        <v>63.617251160000002</v>
      </c>
      <c r="K167">
        <v>5.31</v>
      </c>
      <c r="L167">
        <v>1</v>
      </c>
      <c r="M167">
        <v>3.3524799999999999</v>
      </c>
      <c r="N167">
        <f>L167*F167</f>
        <v>0.45451000000000003</v>
      </c>
      <c r="O167">
        <f>L167*J167</f>
        <v>63.617251160000002</v>
      </c>
      <c r="P167">
        <f>M167-N167-H167</f>
        <v>0.19059999999999988</v>
      </c>
      <c r="Q167">
        <f>P167/O167</f>
        <v>2.9960426853501269E-3</v>
      </c>
      <c r="R167">
        <f>I167-G167</f>
        <v>29</v>
      </c>
      <c r="S167">
        <f>Q167/R167</f>
        <v>1.0331181673621127E-4</v>
      </c>
      <c r="T167">
        <f>S167*10000</f>
        <v>1.0331181673621126</v>
      </c>
    </row>
    <row r="168" spans="1:20" x14ac:dyDescent="0.3">
      <c r="A168" t="s">
        <v>43</v>
      </c>
      <c r="B168" t="s">
        <v>44</v>
      </c>
      <c r="C168">
        <v>1</v>
      </c>
      <c r="D168">
        <v>6</v>
      </c>
      <c r="E168" t="s">
        <v>22</v>
      </c>
      <c r="F168">
        <v>0.45052999999999999</v>
      </c>
      <c r="G168" s="1">
        <v>45874</v>
      </c>
      <c r="H168">
        <v>2.6910699999999999</v>
      </c>
      <c r="I168" s="1">
        <v>45903</v>
      </c>
      <c r="J168">
        <v>63.617251160000002</v>
      </c>
      <c r="K168">
        <v>5.31</v>
      </c>
      <c r="L168">
        <v>1</v>
      </c>
      <c r="M168">
        <v>4.0259999999999998</v>
      </c>
      <c r="N168">
        <f>L168*F168</f>
        <v>0.45052999999999999</v>
      </c>
      <c r="O168">
        <f>L168*J168</f>
        <v>63.617251160000002</v>
      </c>
      <c r="P168">
        <f>M168-N168-H168</f>
        <v>0.88439999999999985</v>
      </c>
      <c r="Q168">
        <f>P168/O168</f>
        <v>1.3901889564132495E-2</v>
      </c>
      <c r="R168">
        <f>I168-G168</f>
        <v>29</v>
      </c>
      <c r="S168">
        <f>Q168/R168</f>
        <v>4.7937550221146532E-4</v>
      </c>
      <c r="T168">
        <f>S168*10000</f>
        <v>4.7937550221146532</v>
      </c>
    </row>
    <row r="169" spans="1:20" x14ac:dyDescent="0.3">
      <c r="A169" t="s">
        <v>43</v>
      </c>
      <c r="B169" t="s">
        <v>44</v>
      </c>
      <c r="C169">
        <v>1</v>
      </c>
      <c r="D169">
        <v>6</v>
      </c>
      <c r="E169" t="s">
        <v>23</v>
      </c>
      <c r="F169">
        <v>0.44414999999999999</v>
      </c>
      <c r="G169" s="1">
        <v>45874</v>
      </c>
      <c r="H169">
        <v>2.6737899999999999</v>
      </c>
      <c r="I169" s="1">
        <v>45903</v>
      </c>
      <c r="J169">
        <v>63.617251160000002</v>
      </c>
      <c r="K169">
        <v>5.31</v>
      </c>
      <c r="L169">
        <v>1</v>
      </c>
      <c r="M169">
        <v>3.86639</v>
      </c>
      <c r="N169">
        <f>L169*F169</f>
        <v>0.44414999999999999</v>
      </c>
      <c r="O169">
        <f>L169*J169</f>
        <v>63.617251160000002</v>
      </c>
      <c r="P169">
        <f>M169-N169-H169</f>
        <v>0.74845000000000006</v>
      </c>
      <c r="Q169">
        <f>P169/O169</f>
        <v>1.1764890597325835E-2</v>
      </c>
      <c r="R169">
        <f>I169-G169</f>
        <v>29</v>
      </c>
      <c r="S169">
        <f>Q169/R169</f>
        <v>4.0568588266640809E-4</v>
      </c>
      <c r="T169">
        <f>S169*10000</f>
        <v>4.0568588266640813</v>
      </c>
    </row>
    <row r="170" spans="1:20" x14ac:dyDescent="0.3">
      <c r="A170" t="s">
        <v>43</v>
      </c>
      <c r="B170" t="s">
        <v>44</v>
      </c>
      <c r="C170">
        <v>1</v>
      </c>
      <c r="D170">
        <v>6</v>
      </c>
      <c r="E170" t="s">
        <v>24</v>
      </c>
      <c r="F170">
        <v>0.44994000000000001</v>
      </c>
      <c r="G170" s="1">
        <v>45874</v>
      </c>
      <c r="H170">
        <v>2.7009699999999999</v>
      </c>
      <c r="I170" s="1">
        <v>45903</v>
      </c>
      <c r="J170">
        <v>63.617251160000002</v>
      </c>
      <c r="K170">
        <v>5.31</v>
      </c>
      <c r="L170">
        <v>1</v>
      </c>
      <c r="M170">
        <v>3.92245</v>
      </c>
      <c r="N170">
        <f>L170*F170</f>
        <v>0.44994000000000001</v>
      </c>
      <c r="O170">
        <f>L170*J170</f>
        <v>63.617251160000002</v>
      </c>
      <c r="P170">
        <f>M170-N170-H170</f>
        <v>0.77153999999999989</v>
      </c>
      <c r="Q170">
        <f>P170/O170</f>
        <v>1.2127842463037974E-2</v>
      </c>
      <c r="R170">
        <f>I170-G170</f>
        <v>29</v>
      </c>
      <c r="S170">
        <f>Q170/R170</f>
        <v>4.1820146424268877E-4</v>
      </c>
      <c r="T170">
        <f>S170*10000</f>
        <v>4.1820146424268874</v>
      </c>
    </row>
    <row r="171" spans="1:20" x14ac:dyDescent="0.3">
      <c r="A171" t="s">
        <v>43</v>
      </c>
      <c r="B171" t="s">
        <v>44</v>
      </c>
      <c r="C171">
        <v>1</v>
      </c>
      <c r="D171">
        <v>12</v>
      </c>
      <c r="E171" t="s">
        <v>22</v>
      </c>
      <c r="F171">
        <v>0.44519999999999998</v>
      </c>
      <c r="G171" s="1">
        <v>45874</v>
      </c>
      <c r="H171">
        <v>2.6773500000000001</v>
      </c>
      <c r="I171" s="1">
        <v>45903</v>
      </c>
      <c r="J171">
        <v>63.617251160000002</v>
      </c>
      <c r="K171">
        <v>5.31</v>
      </c>
      <c r="L171">
        <v>1</v>
      </c>
      <c r="M171">
        <v>3.32483</v>
      </c>
      <c r="N171">
        <f>L171*F171</f>
        <v>0.44519999999999998</v>
      </c>
      <c r="O171">
        <f>L171*J171</f>
        <v>63.617251160000002</v>
      </c>
      <c r="P171">
        <f>M171-N171-H171</f>
        <v>0.20228000000000002</v>
      </c>
      <c r="Q171">
        <f>P171/O171</f>
        <v>3.1796406841166007E-3</v>
      </c>
      <c r="R171">
        <f>I171-G171</f>
        <v>29</v>
      </c>
      <c r="S171">
        <f>Q171/R171</f>
        <v>1.0964278221091726E-4</v>
      </c>
      <c r="T171">
        <f>S171*10000</f>
        <v>1.0964278221091726</v>
      </c>
    </row>
    <row r="172" spans="1:20" x14ac:dyDescent="0.3">
      <c r="A172" t="s">
        <v>43</v>
      </c>
      <c r="B172" t="s">
        <v>44</v>
      </c>
      <c r="C172">
        <v>1</v>
      </c>
      <c r="D172">
        <v>12</v>
      </c>
      <c r="E172" t="s">
        <v>23</v>
      </c>
      <c r="F172">
        <v>0.45279000000000003</v>
      </c>
      <c r="G172" s="1">
        <v>45874</v>
      </c>
      <c r="H172">
        <v>2.7392799999999999</v>
      </c>
      <c r="I172" s="1">
        <v>45903</v>
      </c>
      <c r="J172">
        <v>63.617251160000002</v>
      </c>
      <c r="K172">
        <v>5.31</v>
      </c>
      <c r="L172">
        <v>1</v>
      </c>
      <c r="M172">
        <v>3.4426000000000001</v>
      </c>
      <c r="N172">
        <f>L172*F172</f>
        <v>0.45279000000000003</v>
      </c>
      <c r="O172">
        <f>L172*J172</f>
        <v>63.617251160000002</v>
      </c>
      <c r="P172">
        <f>M172-N172-H172</f>
        <v>0.25053000000000036</v>
      </c>
      <c r="Q172">
        <f>P172/O172</f>
        <v>3.9380827595003609E-3</v>
      </c>
      <c r="R172">
        <f>I172-G172</f>
        <v>29</v>
      </c>
      <c r="S172">
        <f>Q172/R172</f>
        <v>1.3579595722415036E-4</v>
      </c>
      <c r="T172">
        <f>S172*10000</f>
        <v>1.3579595722415037</v>
      </c>
    </row>
    <row r="173" spans="1:20" x14ac:dyDescent="0.3">
      <c r="A173" t="s">
        <v>43</v>
      </c>
      <c r="B173" t="s">
        <v>44</v>
      </c>
      <c r="C173">
        <v>1</v>
      </c>
      <c r="D173">
        <v>12</v>
      </c>
      <c r="E173" t="s">
        <v>24</v>
      </c>
      <c r="F173">
        <v>0.44457000000000002</v>
      </c>
      <c r="G173" s="1">
        <v>45874</v>
      </c>
      <c r="H173">
        <v>2.6848700000000001</v>
      </c>
      <c r="I173" s="1">
        <v>45903</v>
      </c>
      <c r="J173">
        <v>63.617251160000002</v>
      </c>
      <c r="K173">
        <v>5.31</v>
      </c>
      <c r="L173">
        <v>1</v>
      </c>
      <c r="M173">
        <v>3.4614500000000001</v>
      </c>
      <c r="N173">
        <f>L173*F173</f>
        <v>0.44457000000000002</v>
      </c>
      <c r="O173">
        <f>L173*J173</f>
        <v>63.617251160000002</v>
      </c>
      <c r="P173">
        <f>M173-N173-H173</f>
        <v>0.33200999999999992</v>
      </c>
      <c r="Q173">
        <f>P173/O173</f>
        <v>5.218867428977419E-3</v>
      </c>
      <c r="R173">
        <f>I173-G173</f>
        <v>29</v>
      </c>
      <c r="S173">
        <f>Q173/R173</f>
        <v>1.7996094582680756E-4</v>
      </c>
      <c r="T173">
        <f>S173*10000</f>
        <v>1.7996094582680755</v>
      </c>
    </row>
    <row r="174" spans="1:20" x14ac:dyDescent="0.3">
      <c r="A174" t="s">
        <v>43</v>
      </c>
      <c r="B174" t="s">
        <v>44</v>
      </c>
      <c r="C174">
        <v>1</v>
      </c>
      <c r="D174">
        <v>18</v>
      </c>
      <c r="E174" t="s">
        <v>22</v>
      </c>
      <c r="F174">
        <v>0.45062999999999998</v>
      </c>
      <c r="G174" s="1">
        <v>45874</v>
      </c>
      <c r="H174">
        <v>2.66039</v>
      </c>
      <c r="I174" s="1">
        <v>45903</v>
      </c>
      <c r="J174">
        <v>63.617251160000002</v>
      </c>
      <c r="K174">
        <v>5.31</v>
      </c>
      <c r="L174">
        <v>1</v>
      </c>
      <c r="M174">
        <v>3.6688000000000001</v>
      </c>
      <c r="N174">
        <f>L174*F174</f>
        <v>0.45062999999999998</v>
      </c>
      <c r="O174">
        <f>L174*J174</f>
        <v>63.617251160000002</v>
      </c>
      <c r="P174">
        <f>M174-N174-H174</f>
        <v>0.55778000000000016</v>
      </c>
      <c r="Q174">
        <f>P174/O174</f>
        <v>8.7677475815036484E-3</v>
      </c>
      <c r="R174">
        <f>I174-G174</f>
        <v>29</v>
      </c>
      <c r="S174">
        <f>Q174/R174</f>
        <v>3.0233612350012582E-4</v>
      </c>
      <c r="T174">
        <f>S174*10000</f>
        <v>3.023361235001258</v>
      </c>
    </row>
    <row r="175" spans="1:20" x14ac:dyDescent="0.3">
      <c r="A175" t="s">
        <v>43</v>
      </c>
      <c r="B175" t="s">
        <v>44</v>
      </c>
      <c r="C175">
        <v>1</v>
      </c>
      <c r="D175">
        <v>18</v>
      </c>
      <c r="E175" t="s">
        <v>23</v>
      </c>
      <c r="F175">
        <v>0.45602999999999999</v>
      </c>
      <c r="G175" s="1">
        <v>45874</v>
      </c>
      <c r="H175">
        <v>2.6917900000000001</v>
      </c>
      <c r="I175" s="1">
        <v>45903</v>
      </c>
      <c r="J175">
        <v>63.617251160000002</v>
      </c>
      <c r="K175">
        <v>5.31</v>
      </c>
      <c r="L175">
        <v>1</v>
      </c>
      <c r="M175">
        <v>3.6207099999999999</v>
      </c>
      <c r="N175">
        <f>L175*F175</f>
        <v>0.45602999999999999</v>
      </c>
      <c r="O175">
        <f>L175*J175</f>
        <v>63.617251160000002</v>
      </c>
      <c r="P175">
        <f>M175-N175-H175</f>
        <v>0.47288999999999959</v>
      </c>
      <c r="Q175">
        <f>P175/O175</f>
        <v>7.433361099030541E-3</v>
      </c>
      <c r="R175">
        <f>I175-G175</f>
        <v>29</v>
      </c>
      <c r="S175">
        <f>Q175/R175</f>
        <v>2.5632279651829453E-4</v>
      </c>
      <c r="T175">
        <f>S175*10000</f>
        <v>2.5632279651829455</v>
      </c>
    </row>
    <row r="176" spans="1:20" x14ac:dyDescent="0.3">
      <c r="A176" t="s">
        <v>43</v>
      </c>
      <c r="B176" t="s">
        <v>44</v>
      </c>
      <c r="C176">
        <v>1</v>
      </c>
      <c r="D176">
        <v>18</v>
      </c>
      <c r="E176" t="s">
        <v>45</v>
      </c>
      <c r="F176">
        <v>0.44945000000000002</v>
      </c>
      <c r="G176" s="1">
        <v>45874</v>
      </c>
      <c r="H176">
        <v>2.6847400000000001</v>
      </c>
      <c r="I176" s="1">
        <v>45903</v>
      </c>
      <c r="J176">
        <v>63.617251160000002</v>
      </c>
      <c r="K176">
        <v>5.31</v>
      </c>
      <c r="L176">
        <v>1</v>
      </c>
      <c r="M176">
        <v>3.5695800000000002</v>
      </c>
      <c r="N176">
        <f>L176*F176</f>
        <v>0.44945000000000002</v>
      </c>
      <c r="O176">
        <f>L176*J176</f>
        <v>63.617251160000002</v>
      </c>
      <c r="P176">
        <f>M176-N176-H176</f>
        <v>0.43538999999999994</v>
      </c>
      <c r="Q176">
        <f>P176/O176</f>
        <v>6.8438983461416181E-3</v>
      </c>
      <c r="R176">
        <f>I176-G176</f>
        <v>29</v>
      </c>
      <c r="S176">
        <f>Q176/R176</f>
        <v>2.3599649469453857E-4</v>
      </c>
      <c r="T176">
        <f>S176*10000</f>
        <v>2.3599649469453858</v>
      </c>
    </row>
    <row r="177" spans="1:20" x14ac:dyDescent="0.3">
      <c r="A177" t="s">
        <v>43</v>
      </c>
      <c r="B177" t="s">
        <v>44</v>
      </c>
      <c r="C177">
        <v>1</v>
      </c>
      <c r="D177">
        <v>24</v>
      </c>
      <c r="E177" t="s">
        <v>22</v>
      </c>
      <c r="F177">
        <v>0.45729999999999998</v>
      </c>
      <c r="G177" s="1">
        <v>45874</v>
      </c>
      <c r="H177">
        <v>2.6919599999999999</v>
      </c>
      <c r="I177" s="1">
        <v>45903</v>
      </c>
      <c r="J177">
        <v>63.617251160000002</v>
      </c>
      <c r="K177">
        <v>5.31</v>
      </c>
      <c r="L177">
        <v>1</v>
      </c>
      <c r="M177">
        <v>3.4238599999999999</v>
      </c>
      <c r="N177">
        <f>L177*F177</f>
        <v>0.45729999999999998</v>
      </c>
      <c r="O177">
        <f>L177*J177</f>
        <v>63.617251160000002</v>
      </c>
      <c r="P177">
        <f>M177-N177-H177</f>
        <v>0.27459999999999996</v>
      </c>
      <c r="Q177">
        <f>P177/O177</f>
        <v>4.3164392518213286E-3</v>
      </c>
      <c r="R177">
        <f>I177-G177</f>
        <v>29</v>
      </c>
      <c r="S177">
        <f>Q177/R177</f>
        <v>1.4884273282142512E-4</v>
      </c>
      <c r="T177">
        <f>S177*10000</f>
        <v>1.4884273282142513</v>
      </c>
    </row>
    <row r="178" spans="1:20" x14ac:dyDescent="0.3">
      <c r="A178" t="s">
        <v>43</v>
      </c>
      <c r="B178" t="s">
        <v>44</v>
      </c>
      <c r="C178">
        <v>1</v>
      </c>
      <c r="D178">
        <v>24</v>
      </c>
      <c r="E178" t="s">
        <v>23</v>
      </c>
      <c r="F178">
        <v>0.45029000000000002</v>
      </c>
      <c r="G178" s="1">
        <v>45874</v>
      </c>
      <c r="H178">
        <v>2.6926700000000001</v>
      </c>
      <c r="I178" s="1">
        <v>45903</v>
      </c>
      <c r="J178">
        <v>63.617251160000002</v>
      </c>
      <c r="K178">
        <v>5.31</v>
      </c>
      <c r="L178">
        <v>1</v>
      </c>
      <c r="M178">
        <v>3.4952899999999998</v>
      </c>
      <c r="N178">
        <f>L178*F178</f>
        <v>0.45029000000000002</v>
      </c>
      <c r="O178">
        <f>L178*J178</f>
        <v>63.617251160000002</v>
      </c>
      <c r="P178">
        <f>M178-N178-H178</f>
        <v>0.35232999999999981</v>
      </c>
      <c r="Q178">
        <f>P178/O178</f>
        <v>5.5382776460094979E-3</v>
      </c>
      <c r="R178">
        <f>I178-G178</f>
        <v>29</v>
      </c>
      <c r="S178">
        <f>Q178/R178</f>
        <v>1.9097509124170684E-4</v>
      </c>
      <c r="T178">
        <f>S178*10000</f>
        <v>1.9097509124170684</v>
      </c>
    </row>
    <row r="179" spans="1:20" x14ac:dyDescent="0.3">
      <c r="A179" t="s">
        <v>43</v>
      </c>
      <c r="B179" t="s">
        <v>44</v>
      </c>
      <c r="C179">
        <v>1</v>
      </c>
      <c r="D179">
        <v>24</v>
      </c>
      <c r="E179" t="s">
        <v>24</v>
      </c>
      <c r="F179">
        <v>0.45488000000000001</v>
      </c>
      <c r="G179" s="1">
        <v>45874</v>
      </c>
      <c r="H179">
        <v>2.6697299999999999</v>
      </c>
      <c r="I179" s="1">
        <v>45903</v>
      </c>
      <c r="J179">
        <v>63.617251160000002</v>
      </c>
      <c r="K179">
        <v>5.31</v>
      </c>
      <c r="L179">
        <v>1</v>
      </c>
      <c r="M179">
        <v>3.4499900000000001</v>
      </c>
      <c r="N179">
        <f>L179*F179</f>
        <v>0.45488000000000001</v>
      </c>
      <c r="O179">
        <f>L179*J179</f>
        <v>63.617251160000002</v>
      </c>
      <c r="P179">
        <f>M179-N179-H179</f>
        <v>0.32538</v>
      </c>
      <c r="Q179">
        <f>P179/O179</f>
        <v>5.1146504142666575E-3</v>
      </c>
      <c r="R179">
        <f>I179-G179</f>
        <v>29</v>
      </c>
      <c r="S179">
        <f>Q179/R179</f>
        <v>1.763672556643675E-4</v>
      </c>
      <c r="T179">
        <f>S179*10000</f>
        <v>1.7636725566436751</v>
      </c>
    </row>
    <row r="180" spans="1:20" x14ac:dyDescent="0.3">
      <c r="A180" t="s">
        <v>43</v>
      </c>
      <c r="B180" t="s">
        <v>44</v>
      </c>
      <c r="C180">
        <v>1</v>
      </c>
      <c r="D180">
        <v>48</v>
      </c>
      <c r="E180" t="s">
        <v>22</v>
      </c>
      <c r="F180">
        <v>0.44746000000000002</v>
      </c>
      <c r="G180" s="1">
        <v>45874</v>
      </c>
      <c r="H180">
        <v>2.69685</v>
      </c>
      <c r="I180" s="1">
        <v>45903</v>
      </c>
      <c r="J180">
        <v>63.617251160000002</v>
      </c>
      <c r="K180">
        <v>5.31</v>
      </c>
      <c r="L180">
        <v>1</v>
      </c>
      <c r="M180">
        <v>3.51152</v>
      </c>
      <c r="N180">
        <f>L180*F180</f>
        <v>0.44746000000000002</v>
      </c>
      <c r="O180">
        <f>L180*J180</f>
        <v>63.617251160000002</v>
      </c>
      <c r="P180">
        <f>M180-N180-H180</f>
        <v>0.36721000000000004</v>
      </c>
      <c r="Q180">
        <f>P180/O180</f>
        <v>5.7721764663558285E-3</v>
      </c>
      <c r="R180">
        <f>I180-G180</f>
        <v>29</v>
      </c>
      <c r="S180">
        <f>Q180/R180</f>
        <v>1.990405678053734E-4</v>
      </c>
      <c r="T180">
        <f>S180*10000</f>
        <v>1.990405678053734</v>
      </c>
    </row>
    <row r="181" spans="1:20" x14ac:dyDescent="0.3">
      <c r="A181" t="s">
        <v>43</v>
      </c>
      <c r="B181" t="s">
        <v>44</v>
      </c>
      <c r="C181">
        <v>1</v>
      </c>
      <c r="D181">
        <v>48</v>
      </c>
      <c r="E181" t="s">
        <v>23</v>
      </c>
      <c r="F181">
        <v>0.45734000000000002</v>
      </c>
      <c r="G181" s="1">
        <v>45874</v>
      </c>
      <c r="H181">
        <v>2.6816399999999998</v>
      </c>
      <c r="I181" s="1">
        <v>45903</v>
      </c>
      <c r="J181">
        <v>63.617251160000002</v>
      </c>
      <c r="K181">
        <v>5.31</v>
      </c>
      <c r="L181">
        <v>1</v>
      </c>
      <c r="M181">
        <v>3.5020500000000001</v>
      </c>
      <c r="N181">
        <f>L181*F181</f>
        <v>0.45734000000000002</v>
      </c>
      <c r="O181">
        <f>L181*J181</f>
        <v>63.617251160000002</v>
      </c>
      <c r="P181">
        <f>M181-N181-H181</f>
        <v>0.36307000000000045</v>
      </c>
      <c r="Q181">
        <f>P181/O181</f>
        <v>5.7070997784368967E-3</v>
      </c>
      <c r="R181">
        <f>I181-G181</f>
        <v>29</v>
      </c>
      <c r="S181">
        <f>Q181/R181</f>
        <v>1.9679654408403093E-4</v>
      </c>
      <c r="T181">
        <f>S181*10000</f>
        <v>1.9679654408403093</v>
      </c>
    </row>
    <row r="182" spans="1:20" x14ac:dyDescent="0.3">
      <c r="A182" t="s">
        <v>43</v>
      </c>
      <c r="B182" t="s">
        <v>44</v>
      </c>
      <c r="C182">
        <v>1</v>
      </c>
      <c r="D182">
        <v>48</v>
      </c>
      <c r="E182" t="s">
        <v>24</v>
      </c>
      <c r="F182">
        <v>0.45250000000000001</v>
      </c>
      <c r="G182" s="1">
        <v>45874</v>
      </c>
      <c r="H182">
        <v>2.6949000000000001</v>
      </c>
      <c r="I182" s="1">
        <v>45903</v>
      </c>
      <c r="J182">
        <v>63.617251160000002</v>
      </c>
      <c r="K182">
        <v>5.31</v>
      </c>
      <c r="L182">
        <v>1</v>
      </c>
      <c r="M182">
        <v>3.63741</v>
      </c>
      <c r="N182">
        <f>L182*F182</f>
        <v>0.45250000000000001</v>
      </c>
      <c r="O182">
        <f>L182*J182</f>
        <v>63.617251160000002</v>
      </c>
      <c r="P182">
        <f>M182-N182-H182</f>
        <v>0.49000999999999983</v>
      </c>
      <c r="Q182">
        <f>P182/O182</f>
        <v>7.702470494482771E-3</v>
      </c>
      <c r="R182">
        <f>I182-G182</f>
        <v>29</v>
      </c>
      <c r="S182">
        <f>Q182/R182</f>
        <v>2.6560243084423348E-4</v>
      </c>
      <c r="T182">
        <f>S182*10000</f>
        <v>2.6560243084423347</v>
      </c>
    </row>
    <row r="183" spans="1:20" x14ac:dyDescent="0.3">
      <c r="A183" t="s">
        <v>43</v>
      </c>
      <c r="B183" t="s">
        <v>44</v>
      </c>
      <c r="C183">
        <v>2</v>
      </c>
      <c r="D183">
        <v>0.5</v>
      </c>
      <c r="E183" t="s">
        <v>22</v>
      </c>
      <c r="F183">
        <v>0.44256000000000001</v>
      </c>
      <c r="G183" s="1">
        <v>45874</v>
      </c>
      <c r="H183">
        <v>2.6998899999999999</v>
      </c>
      <c r="I183" s="1">
        <v>45903</v>
      </c>
      <c r="J183">
        <v>63.617251160000002</v>
      </c>
      <c r="K183">
        <v>5.31</v>
      </c>
      <c r="L183">
        <v>0.5</v>
      </c>
      <c r="M183">
        <v>3.4925000000000002</v>
      </c>
      <c r="N183">
        <f>L183*F183</f>
        <v>0.22128</v>
      </c>
      <c r="O183">
        <f>L183*J183</f>
        <v>31.808625580000001</v>
      </c>
      <c r="P183">
        <f>M183-N183-H183</f>
        <v>0.57133000000000012</v>
      </c>
      <c r="Q183">
        <f>P183/O183</f>
        <v>1.7961480245761694E-2</v>
      </c>
      <c r="R183">
        <f>I183-G183</f>
        <v>29</v>
      </c>
      <c r="S183">
        <f>Q183/R183</f>
        <v>6.1936138778488604E-4</v>
      </c>
      <c r="T183">
        <f>S183*10000</f>
        <v>6.1936138778488603</v>
      </c>
    </row>
    <row r="184" spans="1:20" x14ac:dyDescent="0.3">
      <c r="A184" t="s">
        <v>43</v>
      </c>
      <c r="B184" t="s">
        <v>44</v>
      </c>
      <c r="C184">
        <v>2</v>
      </c>
      <c r="D184">
        <v>0.5</v>
      </c>
      <c r="E184" t="s">
        <v>23</v>
      </c>
      <c r="F184">
        <v>0.45140999999999998</v>
      </c>
      <c r="G184" s="1">
        <v>45874</v>
      </c>
      <c r="H184">
        <v>2.7327699999999999</v>
      </c>
      <c r="I184" s="1">
        <v>45903</v>
      </c>
      <c r="J184">
        <v>63.617251160000002</v>
      </c>
      <c r="K184">
        <v>5.31</v>
      </c>
      <c r="L184">
        <v>1</v>
      </c>
      <c r="M184">
        <v>3.5267499999999998</v>
      </c>
      <c r="N184">
        <f>L184*F184</f>
        <v>0.45140999999999998</v>
      </c>
      <c r="O184">
        <f>L184*J184</f>
        <v>63.617251160000002</v>
      </c>
      <c r="P184">
        <f>M184-N184-H184</f>
        <v>0.34256999999999982</v>
      </c>
      <c r="Q184">
        <f>P184/O184</f>
        <v>5.3848601401909396E-3</v>
      </c>
      <c r="R184">
        <f>I184-G184</f>
        <v>29</v>
      </c>
      <c r="S184">
        <f>Q184/R184</f>
        <v>1.8568483242037724E-4</v>
      </c>
      <c r="T184">
        <f>S184*10000</f>
        <v>1.8568483242037723</v>
      </c>
    </row>
    <row r="185" spans="1:20" x14ac:dyDescent="0.3">
      <c r="A185" t="s">
        <v>43</v>
      </c>
      <c r="B185" t="s">
        <v>44</v>
      </c>
      <c r="C185">
        <v>2</v>
      </c>
      <c r="D185">
        <v>0.5</v>
      </c>
      <c r="E185" t="s">
        <v>24</v>
      </c>
      <c r="F185">
        <v>0.44349</v>
      </c>
      <c r="G185" s="1">
        <v>45874</v>
      </c>
      <c r="H185">
        <v>2.7291400000000001</v>
      </c>
      <c r="I185" s="1">
        <v>45903</v>
      </c>
      <c r="J185">
        <v>63.617251160000002</v>
      </c>
      <c r="K185">
        <v>5.31</v>
      </c>
      <c r="L185">
        <v>0.25</v>
      </c>
      <c r="M185">
        <v>3.20485</v>
      </c>
      <c r="N185">
        <f>L185*F185</f>
        <v>0.1108725</v>
      </c>
      <c r="O185">
        <f>L185*J185</f>
        <v>15.904312790000001</v>
      </c>
      <c r="P185">
        <f>M185-N185-H185</f>
        <v>0.3648374999999997</v>
      </c>
      <c r="Q185">
        <f>P185/O185</f>
        <v>2.2939532491425534E-2</v>
      </c>
      <c r="R185">
        <f>I185-G185</f>
        <v>29</v>
      </c>
      <c r="S185">
        <f>Q185/R185</f>
        <v>7.9101836177329426E-4</v>
      </c>
      <c r="T185">
        <f>S185*10000</f>
        <v>7.910183617732943</v>
      </c>
    </row>
    <row r="186" spans="1:20" x14ac:dyDescent="0.3">
      <c r="A186" t="s">
        <v>43</v>
      </c>
      <c r="B186" t="s">
        <v>44</v>
      </c>
      <c r="C186">
        <v>2</v>
      </c>
      <c r="D186">
        <v>2</v>
      </c>
      <c r="E186" t="s">
        <v>22</v>
      </c>
      <c r="F186">
        <v>0.45018000000000002</v>
      </c>
      <c r="G186" s="1">
        <v>45874</v>
      </c>
      <c r="H186">
        <v>2.7159300000000002</v>
      </c>
      <c r="I186" s="1">
        <v>45903</v>
      </c>
      <c r="J186">
        <v>63.617251160000002</v>
      </c>
      <c r="K186">
        <v>5.31</v>
      </c>
      <c r="L186">
        <v>1</v>
      </c>
      <c r="M186">
        <v>3.56365</v>
      </c>
      <c r="N186">
        <f>L186*F186</f>
        <v>0.45018000000000002</v>
      </c>
      <c r="O186">
        <f>L186*J186</f>
        <v>63.617251160000002</v>
      </c>
      <c r="P186">
        <f>M186-N186-H186</f>
        <v>0.39753999999999978</v>
      </c>
      <c r="Q186">
        <f>P186/O186</f>
        <v>6.24893394089239E-3</v>
      </c>
      <c r="R186">
        <f>I186-G186</f>
        <v>29</v>
      </c>
      <c r="S186">
        <f>Q186/R186</f>
        <v>2.1548048072042724E-4</v>
      </c>
      <c r="T186">
        <f>S186*10000</f>
        <v>2.1548048072042723</v>
      </c>
    </row>
    <row r="187" spans="1:20" x14ac:dyDescent="0.3">
      <c r="A187" t="s">
        <v>43</v>
      </c>
      <c r="B187" t="s">
        <v>44</v>
      </c>
      <c r="C187">
        <v>2</v>
      </c>
      <c r="D187">
        <v>2</v>
      </c>
      <c r="E187" t="s">
        <v>23</v>
      </c>
      <c r="F187">
        <v>0.44436999999999999</v>
      </c>
      <c r="G187" s="1">
        <v>45874</v>
      </c>
      <c r="H187">
        <v>2.7076500000000001</v>
      </c>
      <c r="I187" s="1">
        <v>45903</v>
      </c>
      <c r="J187">
        <v>63.617251160000002</v>
      </c>
      <c r="K187">
        <v>5.31</v>
      </c>
      <c r="L187">
        <v>1</v>
      </c>
      <c r="M187">
        <v>3.43526</v>
      </c>
      <c r="N187">
        <f>L187*F187</f>
        <v>0.44436999999999999</v>
      </c>
      <c r="O187">
        <f>L187*J187</f>
        <v>63.617251160000002</v>
      </c>
      <c r="P187">
        <f>M187-N187-H187</f>
        <v>0.28323999999999971</v>
      </c>
      <c r="Q187">
        <f>P187/O187</f>
        <v>4.4522514700869337E-3</v>
      </c>
      <c r="R187">
        <f>I187-G187</f>
        <v>29</v>
      </c>
      <c r="S187">
        <f>Q187/R187</f>
        <v>1.5352591276161841E-4</v>
      </c>
      <c r="T187">
        <f>S187*10000</f>
        <v>1.535259127616184</v>
      </c>
    </row>
    <row r="188" spans="1:20" x14ac:dyDescent="0.3">
      <c r="A188" t="s">
        <v>43</v>
      </c>
      <c r="B188" t="s">
        <v>44</v>
      </c>
      <c r="C188">
        <v>2</v>
      </c>
      <c r="D188">
        <v>2</v>
      </c>
      <c r="E188" t="s">
        <v>24</v>
      </c>
      <c r="F188">
        <v>0.45129000000000002</v>
      </c>
      <c r="G188" s="1">
        <v>45874</v>
      </c>
      <c r="H188">
        <v>2.6950599999999998</v>
      </c>
      <c r="I188" s="1">
        <v>45903</v>
      </c>
      <c r="J188">
        <v>63.617251160000002</v>
      </c>
      <c r="K188">
        <v>5.31</v>
      </c>
      <c r="L188">
        <v>1</v>
      </c>
      <c r="M188">
        <v>3.3283900000000002</v>
      </c>
      <c r="N188">
        <f>L188*F188</f>
        <v>0.45129000000000002</v>
      </c>
      <c r="O188">
        <f>L188*J188</f>
        <v>63.617251160000002</v>
      </c>
      <c r="P188">
        <f>M188-N188-H188</f>
        <v>0.1820400000000002</v>
      </c>
      <c r="Q188">
        <f>P188/O188</f>
        <v>2.8614879876240193E-3</v>
      </c>
      <c r="R188">
        <f>I188-G188</f>
        <v>29</v>
      </c>
      <c r="S188">
        <f>Q188/R188</f>
        <v>9.867199957324204E-5</v>
      </c>
      <c r="T188">
        <f>S188*10000</f>
        <v>0.98671999573242042</v>
      </c>
    </row>
    <row r="189" spans="1:20" x14ac:dyDescent="0.3">
      <c r="A189" t="s">
        <v>43</v>
      </c>
      <c r="B189" t="s">
        <v>44</v>
      </c>
      <c r="C189">
        <v>2</v>
      </c>
      <c r="D189">
        <v>6</v>
      </c>
      <c r="E189" t="s">
        <v>22</v>
      </c>
      <c r="F189">
        <v>0.45617999999999997</v>
      </c>
      <c r="G189" s="1">
        <v>45874</v>
      </c>
      <c r="H189">
        <v>2.6855199999999999</v>
      </c>
      <c r="I189" s="1">
        <v>45903</v>
      </c>
      <c r="J189">
        <v>63.617251160000002</v>
      </c>
      <c r="K189">
        <v>5.31</v>
      </c>
      <c r="L189">
        <v>1</v>
      </c>
      <c r="M189">
        <v>4.2180499999999999</v>
      </c>
      <c r="N189">
        <f>L189*F189</f>
        <v>0.45617999999999997</v>
      </c>
      <c r="O189">
        <f>L189*J189</f>
        <v>63.617251160000002</v>
      </c>
      <c r="P189">
        <f>M189-N189-H189</f>
        <v>1.0763500000000001</v>
      </c>
      <c r="Q189">
        <f>P189/O189</f>
        <v>1.6919152908586629E-2</v>
      </c>
      <c r="R189">
        <f>I189-G189</f>
        <v>29</v>
      </c>
      <c r="S189">
        <f>Q189/R189</f>
        <v>5.8341906581333206E-4</v>
      </c>
      <c r="T189">
        <f>S189*10000</f>
        <v>5.8341906581333207</v>
      </c>
    </row>
    <row r="190" spans="1:20" x14ac:dyDescent="0.3">
      <c r="A190" t="s">
        <v>43</v>
      </c>
      <c r="B190" t="s">
        <v>44</v>
      </c>
      <c r="C190">
        <v>2</v>
      </c>
      <c r="D190">
        <v>6</v>
      </c>
      <c r="E190" t="s">
        <v>23</v>
      </c>
      <c r="F190">
        <v>0.44967000000000001</v>
      </c>
      <c r="G190" s="1">
        <v>45874</v>
      </c>
      <c r="H190">
        <v>2.6957499999999999</v>
      </c>
      <c r="I190" s="1">
        <v>45903</v>
      </c>
      <c r="J190">
        <v>63.617251160000002</v>
      </c>
      <c r="K190">
        <v>5.31</v>
      </c>
      <c r="L190">
        <v>1</v>
      </c>
      <c r="M190">
        <v>3.96469</v>
      </c>
      <c r="N190">
        <f>L190*F190</f>
        <v>0.44967000000000001</v>
      </c>
      <c r="O190">
        <f>L190*J190</f>
        <v>63.617251160000002</v>
      </c>
      <c r="P190">
        <f>M190-N190-H190</f>
        <v>0.81926999999999994</v>
      </c>
      <c r="Q190">
        <f>P190/O190</f>
        <v>1.2878110654915004E-2</v>
      </c>
      <c r="R190">
        <f>I190-G190</f>
        <v>29</v>
      </c>
      <c r="S190">
        <f>Q190/R190</f>
        <v>4.4407278120396567E-4</v>
      </c>
      <c r="T190">
        <f>S190*10000</f>
        <v>4.4407278120396567</v>
      </c>
    </row>
    <row r="191" spans="1:20" x14ac:dyDescent="0.3">
      <c r="A191" t="s">
        <v>43</v>
      </c>
      <c r="B191" t="s">
        <v>44</v>
      </c>
      <c r="C191">
        <v>2</v>
      </c>
      <c r="D191">
        <v>6</v>
      </c>
      <c r="E191" t="s">
        <v>24</v>
      </c>
      <c r="F191">
        <v>0.45630999999999999</v>
      </c>
      <c r="G191" s="1">
        <v>45874</v>
      </c>
      <c r="H191">
        <v>2.7236400000000001</v>
      </c>
      <c r="I191" s="1">
        <v>45903</v>
      </c>
      <c r="J191">
        <v>63.617251160000002</v>
      </c>
      <c r="K191">
        <v>5.31</v>
      </c>
      <c r="L191">
        <v>1</v>
      </c>
      <c r="M191">
        <v>4.0694900000000001</v>
      </c>
      <c r="N191">
        <f>L191*F191</f>
        <v>0.45630999999999999</v>
      </c>
      <c r="O191">
        <f>L191*J191</f>
        <v>63.617251160000002</v>
      </c>
      <c r="P191">
        <f>M191-N191-H191</f>
        <v>0.88953999999999978</v>
      </c>
      <c r="Q191">
        <f>P191/O191</f>
        <v>1.3982685258795136E-2</v>
      </c>
      <c r="R191">
        <f>I191-G191</f>
        <v>29</v>
      </c>
      <c r="S191">
        <f>Q191/R191</f>
        <v>4.8216156064810817E-4</v>
      </c>
      <c r="T191">
        <f>S191*10000</f>
        <v>4.8216156064810818</v>
      </c>
    </row>
    <row r="192" spans="1:20" x14ac:dyDescent="0.3">
      <c r="A192" t="s">
        <v>43</v>
      </c>
      <c r="B192" t="s">
        <v>44</v>
      </c>
      <c r="C192">
        <v>2</v>
      </c>
      <c r="D192">
        <v>12</v>
      </c>
      <c r="E192" t="s">
        <v>22</v>
      </c>
      <c r="F192">
        <v>0.44982</v>
      </c>
      <c r="G192" s="1">
        <v>45874</v>
      </c>
      <c r="H192">
        <v>2.68045</v>
      </c>
      <c r="I192" s="1">
        <v>45903</v>
      </c>
      <c r="J192">
        <v>63.617251160000002</v>
      </c>
      <c r="K192">
        <v>5.31</v>
      </c>
      <c r="L192">
        <v>1</v>
      </c>
      <c r="M192">
        <v>3.5427599999999999</v>
      </c>
      <c r="N192">
        <f>L192*F192</f>
        <v>0.44982</v>
      </c>
      <c r="O192">
        <f>L192*J192</f>
        <v>63.617251160000002</v>
      </c>
      <c r="P192">
        <f>M192-N192-H192</f>
        <v>0.41249000000000002</v>
      </c>
      <c r="Q192">
        <f>P192/O192</f>
        <v>6.4839330917107803E-3</v>
      </c>
      <c r="R192">
        <f>I192-G192</f>
        <v>29</v>
      </c>
      <c r="S192">
        <f>Q192/R192</f>
        <v>2.2358389971416484E-4</v>
      </c>
      <c r="T192">
        <f>S192*10000</f>
        <v>2.2358389971416486</v>
      </c>
    </row>
    <row r="193" spans="1:20" x14ac:dyDescent="0.3">
      <c r="A193" t="s">
        <v>43</v>
      </c>
      <c r="B193" t="s">
        <v>44</v>
      </c>
      <c r="C193">
        <v>2</v>
      </c>
      <c r="D193">
        <v>12</v>
      </c>
      <c r="E193" t="s">
        <v>23</v>
      </c>
      <c r="F193">
        <v>0.45346999999999998</v>
      </c>
      <c r="G193" s="1">
        <v>45874</v>
      </c>
      <c r="H193">
        <v>2.67075</v>
      </c>
      <c r="I193" s="1">
        <v>45903</v>
      </c>
      <c r="J193">
        <v>63.617251160000002</v>
      </c>
      <c r="K193">
        <v>5.31</v>
      </c>
      <c r="L193">
        <v>1</v>
      </c>
      <c r="M193">
        <v>3.8111100000000002</v>
      </c>
      <c r="N193">
        <f>L193*F193</f>
        <v>0.45346999999999998</v>
      </c>
      <c r="O193">
        <f>L193*J193</f>
        <v>63.617251160000002</v>
      </c>
      <c r="P193">
        <f>M193-N193-H193</f>
        <v>0.68689000000000044</v>
      </c>
      <c r="Q193">
        <f>P193/O193</f>
        <v>1.0797228542183375E-2</v>
      </c>
      <c r="R193">
        <f>I193-G193</f>
        <v>29</v>
      </c>
      <c r="S193">
        <f>Q193/R193</f>
        <v>3.7231822559253018E-4</v>
      </c>
      <c r="T193">
        <f>S193*10000</f>
        <v>3.7231822559253018</v>
      </c>
    </row>
    <row r="194" spans="1:20" x14ac:dyDescent="0.3">
      <c r="A194" t="s">
        <v>43</v>
      </c>
      <c r="B194" t="s">
        <v>44</v>
      </c>
      <c r="C194">
        <v>2</v>
      </c>
      <c r="D194">
        <v>12</v>
      </c>
      <c r="E194" t="s">
        <v>24</v>
      </c>
      <c r="F194">
        <v>0.45002999999999999</v>
      </c>
      <c r="G194" s="1">
        <v>45874</v>
      </c>
      <c r="H194">
        <v>2.6938300000000002</v>
      </c>
      <c r="I194" s="1">
        <v>45903</v>
      </c>
      <c r="J194">
        <v>63.617251160000002</v>
      </c>
      <c r="K194">
        <v>5.31</v>
      </c>
      <c r="L194">
        <v>1</v>
      </c>
      <c r="M194">
        <v>3.7355499999999999</v>
      </c>
      <c r="N194">
        <f>L194*F194</f>
        <v>0.45002999999999999</v>
      </c>
      <c r="O194">
        <f>L194*J194</f>
        <v>63.617251160000002</v>
      </c>
      <c r="P194">
        <f>M194-N194-H194</f>
        <v>0.59168999999999983</v>
      </c>
      <c r="Q194">
        <f>P194/O194</f>
        <v>9.3007791001826715E-3</v>
      </c>
      <c r="R194">
        <f>I194-G194</f>
        <v>29</v>
      </c>
      <c r="S194">
        <f>Q194/R194</f>
        <v>3.2071652069595421E-4</v>
      </c>
      <c r="T194">
        <f>S194*10000</f>
        <v>3.2071652069595422</v>
      </c>
    </row>
    <row r="195" spans="1:20" x14ac:dyDescent="0.3">
      <c r="A195" t="s">
        <v>43</v>
      </c>
      <c r="B195" t="s">
        <v>44</v>
      </c>
      <c r="C195">
        <v>2</v>
      </c>
      <c r="D195">
        <v>24</v>
      </c>
      <c r="E195" t="s">
        <v>22</v>
      </c>
      <c r="F195">
        <v>0.45665</v>
      </c>
      <c r="G195" s="1">
        <v>45874</v>
      </c>
      <c r="H195">
        <v>2.6866099999999999</v>
      </c>
      <c r="I195" s="1">
        <v>45903</v>
      </c>
      <c r="J195">
        <v>63.617251160000002</v>
      </c>
      <c r="K195">
        <v>5.31</v>
      </c>
      <c r="L195">
        <v>1</v>
      </c>
      <c r="M195">
        <v>3.52346</v>
      </c>
      <c r="N195">
        <f>L195*F195</f>
        <v>0.45665</v>
      </c>
      <c r="O195">
        <f>L195*J195</f>
        <v>63.617251160000002</v>
      </c>
      <c r="P195">
        <f>M195-N195-H195</f>
        <v>0.38020000000000032</v>
      </c>
      <c r="Q195">
        <f>P195/O195</f>
        <v>5.9763663639565579E-3</v>
      </c>
      <c r="R195">
        <f>I195-G195</f>
        <v>29</v>
      </c>
      <c r="S195">
        <f>Q195/R195</f>
        <v>2.0608159875712268E-4</v>
      </c>
      <c r="T195">
        <f>S195*10000</f>
        <v>2.0608159875712269</v>
      </c>
    </row>
    <row r="196" spans="1:20" x14ac:dyDescent="0.3">
      <c r="A196" t="s">
        <v>43</v>
      </c>
      <c r="B196" t="s">
        <v>44</v>
      </c>
      <c r="C196">
        <v>2</v>
      </c>
      <c r="D196">
        <v>24</v>
      </c>
      <c r="E196" t="s">
        <v>23</v>
      </c>
      <c r="F196">
        <v>0.45194000000000001</v>
      </c>
      <c r="G196" s="1">
        <v>45874</v>
      </c>
      <c r="H196">
        <v>2.6964999999999999</v>
      </c>
      <c r="I196" s="1">
        <v>45903</v>
      </c>
      <c r="J196">
        <v>63.617251160000002</v>
      </c>
      <c r="K196">
        <v>5.31</v>
      </c>
      <c r="L196">
        <v>1</v>
      </c>
      <c r="M196">
        <v>3.5850499999999998</v>
      </c>
      <c r="N196">
        <f>L196*F196</f>
        <v>0.45194000000000001</v>
      </c>
      <c r="O196">
        <f>L196*J196</f>
        <v>63.617251160000002</v>
      </c>
      <c r="P196">
        <f>M196-N196-H196</f>
        <v>0.43660999999999994</v>
      </c>
      <c r="Q196">
        <f>P196/O196</f>
        <v>6.8630755343689377E-3</v>
      </c>
      <c r="R196">
        <f>I196-G196</f>
        <v>29</v>
      </c>
      <c r="S196">
        <f>Q196/R196</f>
        <v>2.3665777704720475E-4</v>
      </c>
      <c r="T196">
        <f>S196*10000</f>
        <v>2.3665777704720474</v>
      </c>
    </row>
    <row r="197" spans="1:20" x14ac:dyDescent="0.3">
      <c r="A197" t="s">
        <v>43</v>
      </c>
      <c r="B197" t="s">
        <v>44</v>
      </c>
      <c r="C197">
        <v>2</v>
      </c>
      <c r="D197">
        <v>24</v>
      </c>
      <c r="E197" t="s">
        <v>24</v>
      </c>
      <c r="F197">
        <v>0.4456</v>
      </c>
      <c r="G197" s="1">
        <v>45874</v>
      </c>
      <c r="H197">
        <v>2.66716</v>
      </c>
      <c r="I197" s="1">
        <v>45903</v>
      </c>
      <c r="J197">
        <v>63.617251160000002</v>
      </c>
      <c r="K197">
        <v>5.31</v>
      </c>
      <c r="L197">
        <v>1</v>
      </c>
      <c r="M197">
        <v>3.5127600000000001</v>
      </c>
      <c r="N197">
        <f>L197*F197</f>
        <v>0.4456</v>
      </c>
      <c r="O197">
        <f>L197*J197</f>
        <v>63.617251160000002</v>
      </c>
      <c r="P197">
        <f>M197-N197-H197</f>
        <v>0.40000000000000036</v>
      </c>
      <c r="Q197">
        <f>P197/O197</f>
        <v>6.2876026974819131E-3</v>
      </c>
      <c r="R197">
        <f>I197-G197</f>
        <v>29</v>
      </c>
      <c r="S197">
        <f>Q197/R197</f>
        <v>2.1681388612006597E-4</v>
      </c>
      <c r="T197">
        <f>S197*10000</f>
        <v>2.1681388612006596</v>
      </c>
    </row>
    <row r="198" spans="1:20" x14ac:dyDescent="0.3">
      <c r="A198" t="s">
        <v>43</v>
      </c>
      <c r="B198" t="s">
        <v>44</v>
      </c>
      <c r="C198">
        <v>2</v>
      </c>
      <c r="D198">
        <v>48</v>
      </c>
      <c r="E198" t="s">
        <v>22</v>
      </c>
      <c r="F198">
        <v>0.45315</v>
      </c>
      <c r="G198" s="1">
        <v>45874</v>
      </c>
      <c r="H198">
        <v>2.6614200000000001</v>
      </c>
      <c r="I198" s="1">
        <v>45903</v>
      </c>
      <c r="J198">
        <v>63.617251160000002</v>
      </c>
      <c r="K198">
        <v>5.31</v>
      </c>
      <c r="L198">
        <v>1</v>
      </c>
      <c r="M198">
        <v>3.7245900000000001</v>
      </c>
      <c r="N198">
        <f>L198*F198</f>
        <v>0.45315</v>
      </c>
      <c r="O198">
        <f>L198*J198</f>
        <v>63.617251160000002</v>
      </c>
      <c r="P198">
        <f>M198-N198-H198</f>
        <v>0.61002000000000001</v>
      </c>
      <c r="Q198">
        <f>P198/O198</f>
        <v>9.588908493794783E-3</v>
      </c>
      <c r="R198">
        <f>I198-G198</f>
        <v>29</v>
      </c>
      <c r="S198">
        <f>Q198/R198</f>
        <v>3.306520170274063E-4</v>
      </c>
      <c r="T198">
        <f>S198*10000</f>
        <v>3.3065201702740632</v>
      </c>
    </row>
    <row r="199" spans="1:20" x14ac:dyDescent="0.3">
      <c r="A199" t="s">
        <v>43</v>
      </c>
      <c r="B199" t="s">
        <v>44</v>
      </c>
      <c r="C199">
        <v>2</v>
      </c>
      <c r="D199">
        <v>48</v>
      </c>
      <c r="E199" t="s">
        <v>23</v>
      </c>
      <c r="F199">
        <v>0.44183</v>
      </c>
      <c r="G199" s="1">
        <v>45874</v>
      </c>
      <c r="H199">
        <v>2.6650399999999999</v>
      </c>
      <c r="I199" s="1">
        <v>45903</v>
      </c>
      <c r="J199">
        <v>63.617251160000002</v>
      </c>
      <c r="K199">
        <v>5.31</v>
      </c>
      <c r="L199">
        <v>1</v>
      </c>
      <c r="M199">
        <v>3.52271</v>
      </c>
      <c r="N199">
        <f>L199*F199</f>
        <v>0.44183</v>
      </c>
      <c r="O199">
        <f>L199*J199</f>
        <v>63.617251160000002</v>
      </c>
      <c r="P199">
        <f>M199-N199-H199</f>
        <v>0.41584000000000021</v>
      </c>
      <c r="Q199">
        <f>P199/O199</f>
        <v>6.536591764302194E-3</v>
      </c>
      <c r="R199">
        <f>I199-G199</f>
        <v>29</v>
      </c>
      <c r="S199">
        <f>Q199/R199</f>
        <v>2.2539971601042048E-4</v>
      </c>
      <c r="T199">
        <f>S199*10000</f>
        <v>2.253997160104205</v>
      </c>
    </row>
    <row r="200" spans="1:20" x14ac:dyDescent="0.3">
      <c r="A200" t="s">
        <v>43</v>
      </c>
      <c r="B200" t="s">
        <v>44</v>
      </c>
      <c r="C200">
        <v>2</v>
      </c>
      <c r="D200">
        <v>48</v>
      </c>
      <c r="E200" t="s">
        <v>24</v>
      </c>
      <c r="F200">
        <v>0.45193</v>
      </c>
      <c r="G200" s="1">
        <v>45874</v>
      </c>
      <c r="H200">
        <v>2.6718500000000001</v>
      </c>
      <c r="I200" s="1">
        <v>45903</v>
      </c>
      <c r="J200">
        <v>63.617251160000002</v>
      </c>
      <c r="K200">
        <v>5.31</v>
      </c>
      <c r="L200">
        <v>1</v>
      </c>
      <c r="M200">
        <v>3.6805400000000001</v>
      </c>
      <c r="N200">
        <f>L200*F200</f>
        <v>0.45193</v>
      </c>
      <c r="O200">
        <f>L200*J200</f>
        <v>63.617251160000002</v>
      </c>
      <c r="P200">
        <f>M200-N200-H200</f>
        <v>0.55676000000000014</v>
      </c>
      <c r="Q200">
        <f>P200/O200</f>
        <v>8.7517141946250685E-3</v>
      </c>
      <c r="R200">
        <f>I200-G200</f>
        <v>29</v>
      </c>
      <c r="S200">
        <f>Q200/R200</f>
        <v>3.0178324809051961E-4</v>
      </c>
      <c r="T200">
        <f>S200*10000</f>
        <v>3.017832480905196</v>
      </c>
    </row>
    <row r="201" spans="1:20" x14ac:dyDescent="0.3">
      <c r="A201" t="s">
        <v>43</v>
      </c>
      <c r="B201" t="s">
        <v>44</v>
      </c>
      <c r="E201" t="s">
        <v>29</v>
      </c>
      <c r="F201">
        <v>0.42215000000000003</v>
      </c>
      <c r="G201" t="s">
        <v>27</v>
      </c>
      <c r="H201">
        <v>2.74485</v>
      </c>
      <c r="I201" t="s">
        <v>27</v>
      </c>
      <c r="J201">
        <v>63.617251160000002</v>
      </c>
      <c r="K201">
        <v>5.31</v>
      </c>
      <c r="L201" t="s">
        <v>27</v>
      </c>
      <c r="M201" t="s">
        <v>27</v>
      </c>
      <c r="N201" t="e">
        <f>L201*F201</f>
        <v>#VALUE!</v>
      </c>
      <c r="O201" t="e">
        <f>L201*J201</f>
        <v>#VALUE!</v>
      </c>
      <c r="P201" t="e">
        <f>M201-N201-H201</f>
        <v>#VALUE!</v>
      </c>
      <c r="Q201" t="e">
        <f>P201/O201</f>
        <v>#VALUE!</v>
      </c>
      <c r="R201" t="e">
        <f>I201-G201</f>
        <v>#VALUE!</v>
      </c>
      <c r="S201" t="e">
        <f>Q201/R201</f>
        <v>#VALUE!</v>
      </c>
      <c r="T201" t="e">
        <f>S201*10000</f>
        <v>#VALUE!</v>
      </c>
    </row>
    <row r="202" spans="1:20" x14ac:dyDescent="0.3">
      <c r="A202" t="s">
        <v>43</v>
      </c>
      <c r="B202" t="s">
        <v>44</v>
      </c>
      <c r="E202" t="s">
        <v>31</v>
      </c>
      <c r="F202">
        <v>0.45383000000000001</v>
      </c>
      <c r="G202" t="s">
        <v>27</v>
      </c>
      <c r="H202">
        <v>2.7336900000000002</v>
      </c>
      <c r="I202" t="s">
        <v>27</v>
      </c>
      <c r="J202">
        <v>63.617251160000002</v>
      </c>
      <c r="K202">
        <v>5.31</v>
      </c>
      <c r="L202" t="s">
        <v>27</v>
      </c>
      <c r="M202" t="s">
        <v>27</v>
      </c>
      <c r="N202" t="e">
        <f>L202*F202</f>
        <v>#VALUE!</v>
      </c>
      <c r="O202" t="e">
        <f>L202*J202</f>
        <v>#VALUE!</v>
      </c>
      <c r="P202" t="e">
        <f>M202-N202-H202</f>
        <v>#VALUE!</v>
      </c>
      <c r="Q202" t="e">
        <f>P202/O202</f>
        <v>#VALUE!</v>
      </c>
      <c r="R202" t="e">
        <f>I202-G202</f>
        <v>#VALUE!</v>
      </c>
      <c r="S202" t="e">
        <f>Q202/R202</f>
        <v>#VALUE!</v>
      </c>
      <c r="T202" t="e">
        <f>S202*10000</f>
        <v>#VALUE!</v>
      </c>
    </row>
    <row r="203" spans="1:20" x14ac:dyDescent="0.3">
      <c r="A203" t="s">
        <v>43</v>
      </c>
      <c r="B203" t="s">
        <v>44</v>
      </c>
      <c r="E203" t="s">
        <v>33</v>
      </c>
      <c r="F203">
        <v>0.45371</v>
      </c>
      <c r="G203" t="s">
        <v>27</v>
      </c>
      <c r="H203">
        <v>2.7561</v>
      </c>
      <c r="I203" t="s">
        <v>27</v>
      </c>
      <c r="J203">
        <v>63.617251160000002</v>
      </c>
      <c r="K203">
        <v>5.31</v>
      </c>
      <c r="L203" t="s">
        <v>27</v>
      </c>
      <c r="M203" t="s">
        <v>27</v>
      </c>
      <c r="N203" t="e">
        <f>L203*F203</f>
        <v>#VALUE!</v>
      </c>
      <c r="O203" t="e">
        <f>L203*J203</f>
        <v>#VALUE!</v>
      </c>
      <c r="P203" t="e">
        <f>M203-N203-H203</f>
        <v>#VALUE!</v>
      </c>
      <c r="Q203" t="e">
        <f>P203/O203</f>
        <v>#VALUE!</v>
      </c>
      <c r="R203" t="e">
        <f>I203-G203</f>
        <v>#VALUE!</v>
      </c>
      <c r="S203" t="e">
        <f>Q203/R203</f>
        <v>#VALUE!</v>
      </c>
      <c r="T203" t="e">
        <f>S203*10000</f>
        <v>#VALUE!</v>
      </c>
    </row>
    <row r="204" spans="1:20" x14ac:dyDescent="0.3">
      <c r="A204" t="s">
        <v>43</v>
      </c>
      <c r="B204" t="s">
        <v>44</v>
      </c>
      <c r="E204" t="s">
        <v>34</v>
      </c>
      <c r="F204">
        <v>0.44984000000000002</v>
      </c>
      <c r="G204" t="s">
        <v>27</v>
      </c>
      <c r="H204">
        <v>2.7199399999999998</v>
      </c>
      <c r="I204" t="s">
        <v>27</v>
      </c>
      <c r="J204">
        <v>63.617251160000002</v>
      </c>
      <c r="K204">
        <v>5.31</v>
      </c>
      <c r="L204" t="s">
        <v>27</v>
      </c>
      <c r="M204" t="s">
        <v>27</v>
      </c>
      <c r="N204" t="e">
        <f>L204*F204</f>
        <v>#VALUE!</v>
      </c>
      <c r="O204" t="e">
        <f>L204*J204</f>
        <v>#VALUE!</v>
      </c>
      <c r="P204" t="e">
        <f>M204-N204-H204</f>
        <v>#VALUE!</v>
      </c>
      <c r="Q204" t="e">
        <f>P204/O204</f>
        <v>#VALUE!</v>
      </c>
      <c r="R204" t="e">
        <f>I204-G204</f>
        <v>#VALUE!</v>
      </c>
      <c r="S204" t="e">
        <f>Q204/R204</f>
        <v>#VALUE!</v>
      </c>
      <c r="T204" t="e">
        <f>S204*10000</f>
        <v>#VALUE!</v>
      </c>
    </row>
    <row r="205" spans="1:20" x14ac:dyDescent="0.3">
      <c r="A205" t="s">
        <v>46</v>
      </c>
      <c r="B205" t="s">
        <v>37</v>
      </c>
      <c r="C205">
        <v>1</v>
      </c>
      <c r="D205">
        <v>0.5</v>
      </c>
      <c r="E205" t="s">
        <v>47</v>
      </c>
      <c r="F205">
        <v>0.45387</v>
      </c>
      <c r="G205" s="1">
        <v>45876</v>
      </c>
      <c r="H205">
        <v>2.71427</v>
      </c>
      <c r="I205" s="1">
        <v>45905</v>
      </c>
      <c r="J205">
        <v>63.617251160000002</v>
      </c>
      <c r="K205">
        <v>5.31</v>
      </c>
      <c r="L205">
        <v>0</v>
      </c>
      <c r="M205">
        <v>2.7135600000000002</v>
      </c>
      <c r="N205">
        <f>L205*F205</f>
        <v>0</v>
      </c>
      <c r="O205">
        <f>L205*J205</f>
        <v>0</v>
      </c>
      <c r="P205">
        <f>M205-N205-H205</f>
        <v>-7.0999999999976637E-4</v>
      </c>
      <c r="Q205" t="e">
        <f>P205/O205</f>
        <v>#DIV/0!</v>
      </c>
      <c r="R205">
        <f>I205-G205</f>
        <v>29</v>
      </c>
      <c r="S205" t="e">
        <f>Q205/R205</f>
        <v>#DIV/0!</v>
      </c>
      <c r="T205" t="e">
        <f>S205*10000</f>
        <v>#DIV/0!</v>
      </c>
    </row>
    <row r="206" spans="1:20" x14ac:dyDescent="0.3">
      <c r="A206" t="s">
        <v>46</v>
      </c>
      <c r="B206" t="s">
        <v>37</v>
      </c>
      <c r="C206">
        <v>1</v>
      </c>
      <c r="D206">
        <v>0.5</v>
      </c>
      <c r="E206" t="s">
        <v>23</v>
      </c>
      <c r="F206">
        <v>0.44625999999999999</v>
      </c>
      <c r="G206" s="1">
        <v>45876</v>
      </c>
      <c r="H206">
        <v>2.7445300000000001</v>
      </c>
      <c r="I206" s="1">
        <v>45905</v>
      </c>
      <c r="J206">
        <v>63.617251160000002</v>
      </c>
      <c r="K206">
        <v>5.31</v>
      </c>
      <c r="L206">
        <v>0</v>
      </c>
      <c r="M206">
        <v>2.9370799999999999</v>
      </c>
      <c r="N206">
        <f>L206*F206</f>
        <v>0</v>
      </c>
      <c r="O206">
        <f>L206*J206</f>
        <v>0</v>
      </c>
      <c r="P206">
        <f>M206-N206-H206</f>
        <v>0.19254999999999978</v>
      </c>
      <c r="Q206" t="e">
        <f>P206/O206</f>
        <v>#DIV/0!</v>
      </c>
      <c r="R206">
        <f>I206-G206</f>
        <v>29</v>
      </c>
      <c r="S206" t="e">
        <f>Q206/R206</f>
        <v>#DIV/0!</v>
      </c>
      <c r="T206" t="e">
        <f>S206*10000</f>
        <v>#DIV/0!</v>
      </c>
    </row>
    <row r="207" spans="1:20" x14ac:dyDescent="0.3">
      <c r="A207" t="s">
        <v>46</v>
      </c>
      <c r="B207" t="s">
        <v>37</v>
      </c>
      <c r="C207">
        <v>1</v>
      </c>
      <c r="D207">
        <v>0.5</v>
      </c>
      <c r="E207" t="s">
        <v>24</v>
      </c>
      <c r="F207">
        <v>0.45174999999999998</v>
      </c>
      <c r="G207" s="1">
        <v>45876</v>
      </c>
      <c r="H207">
        <v>2.7254700000000001</v>
      </c>
      <c r="I207" s="1">
        <v>45905</v>
      </c>
      <c r="J207">
        <v>63.617251160000002</v>
      </c>
      <c r="K207">
        <v>5.31</v>
      </c>
      <c r="L207">
        <v>0.75</v>
      </c>
      <c r="M207">
        <v>3.1825399999999999</v>
      </c>
      <c r="N207">
        <f>L207*F207</f>
        <v>0.33881249999999996</v>
      </c>
      <c r="O207">
        <f>L207*J207</f>
        <v>47.712938370000003</v>
      </c>
      <c r="P207">
        <f>M207-N207-H207</f>
        <v>0.1182574999999999</v>
      </c>
      <c r="Q207">
        <f>P207/O207</f>
        <v>2.4785205866582199E-3</v>
      </c>
      <c r="R207">
        <f>I207-G207</f>
        <v>29</v>
      </c>
      <c r="S207">
        <f>Q207/R207</f>
        <v>8.5466227126145512E-5</v>
      </c>
      <c r="T207">
        <f>S207*10000</f>
        <v>0.85466227126145511</v>
      </c>
    </row>
    <row r="208" spans="1:20" x14ac:dyDescent="0.3">
      <c r="A208" t="s">
        <v>46</v>
      </c>
      <c r="B208" t="s">
        <v>37</v>
      </c>
      <c r="C208">
        <v>1</v>
      </c>
      <c r="D208">
        <v>2</v>
      </c>
      <c r="E208" t="s">
        <v>47</v>
      </c>
      <c r="F208">
        <v>0.44774000000000003</v>
      </c>
      <c r="G208" s="1">
        <v>45876</v>
      </c>
      <c r="H208">
        <v>2.7183099999999998</v>
      </c>
      <c r="I208" s="1">
        <v>45905</v>
      </c>
      <c r="J208">
        <v>63.617251160000002</v>
      </c>
      <c r="K208">
        <v>5.31</v>
      </c>
      <c r="L208">
        <v>0.25</v>
      </c>
      <c r="M208">
        <v>3.0776699999999999</v>
      </c>
      <c r="N208">
        <f>L208*F208</f>
        <v>0.11193500000000001</v>
      </c>
      <c r="O208">
        <f>L208*J208</f>
        <v>15.904312790000001</v>
      </c>
      <c r="P208">
        <f>M208-N208-H208</f>
        <v>0.24742500000000023</v>
      </c>
      <c r="Q208">
        <f>P208/O208</f>
        <v>1.5557100974244623E-2</v>
      </c>
      <c r="R208">
        <f>I208-G208</f>
        <v>29</v>
      </c>
      <c r="S208">
        <f>Q208/R208</f>
        <v>5.3645175773257326E-4</v>
      </c>
      <c r="T208">
        <f>S208*10000</f>
        <v>5.3645175773257323</v>
      </c>
    </row>
    <row r="209" spans="1:20" x14ac:dyDescent="0.3">
      <c r="A209" t="s">
        <v>46</v>
      </c>
      <c r="B209" t="s">
        <v>37</v>
      </c>
      <c r="C209">
        <v>1</v>
      </c>
      <c r="D209">
        <v>2</v>
      </c>
      <c r="E209" t="s">
        <v>23</v>
      </c>
      <c r="F209">
        <v>0.45093</v>
      </c>
      <c r="G209" s="1">
        <v>45876</v>
      </c>
      <c r="H209">
        <v>2.74593</v>
      </c>
      <c r="I209" s="1">
        <v>45905</v>
      </c>
      <c r="J209">
        <v>63.617251160000002</v>
      </c>
      <c r="K209">
        <v>5.31</v>
      </c>
      <c r="L209">
        <v>1</v>
      </c>
      <c r="M209">
        <v>3.44034</v>
      </c>
      <c r="N209">
        <f>L209*F209</f>
        <v>0.45093</v>
      </c>
      <c r="O209">
        <f>L209*J209</f>
        <v>63.617251160000002</v>
      </c>
      <c r="P209">
        <f>M209-N209-H209</f>
        <v>0.24347999999999992</v>
      </c>
      <c r="Q209">
        <f>P209/O209</f>
        <v>3.8272637619572356E-3</v>
      </c>
      <c r="R209">
        <f>I209-G209</f>
        <v>29</v>
      </c>
      <c r="S209">
        <f>Q209/R209</f>
        <v>1.3197461248128399E-4</v>
      </c>
      <c r="T209">
        <f>S209*10000</f>
        <v>1.3197461248128399</v>
      </c>
    </row>
    <row r="210" spans="1:20" x14ac:dyDescent="0.3">
      <c r="A210" t="s">
        <v>46</v>
      </c>
      <c r="B210" t="s">
        <v>37</v>
      </c>
      <c r="C210">
        <v>1</v>
      </c>
      <c r="D210">
        <v>2</v>
      </c>
      <c r="E210" t="s">
        <v>24</v>
      </c>
      <c r="F210">
        <v>0.44579999999999997</v>
      </c>
      <c r="G210" s="1">
        <v>45876</v>
      </c>
      <c r="H210">
        <v>2.7389199999999998</v>
      </c>
      <c r="I210" s="1">
        <v>45905</v>
      </c>
      <c r="J210">
        <v>63.617251160000002</v>
      </c>
      <c r="K210">
        <v>5.31</v>
      </c>
      <c r="L210">
        <v>0.25</v>
      </c>
      <c r="M210">
        <v>3.38361</v>
      </c>
      <c r="N210">
        <f>L210*F210</f>
        <v>0.11144999999999999</v>
      </c>
      <c r="O210">
        <f>L210*J210</f>
        <v>15.904312790000001</v>
      </c>
      <c r="P210">
        <f>M210-N210-H210</f>
        <v>0.53324000000000016</v>
      </c>
      <c r="Q210">
        <f>P210/O210</f>
        <v>3.3528012624052535E-2</v>
      </c>
      <c r="R210">
        <f>I210-G210</f>
        <v>29</v>
      </c>
      <c r="S210">
        <f>Q210/R210</f>
        <v>1.1561383663466391E-3</v>
      </c>
      <c r="T210">
        <f>S210*10000</f>
        <v>11.561383663466392</v>
      </c>
    </row>
    <row r="211" spans="1:20" x14ac:dyDescent="0.3">
      <c r="A211" t="s">
        <v>46</v>
      </c>
      <c r="B211" t="s">
        <v>37</v>
      </c>
      <c r="C211">
        <v>1</v>
      </c>
      <c r="D211">
        <v>6</v>
      </c>
      <c r="E211" t="s">
        <v>47</v>
      </c>
      <c r="F211">
        <v>0.45145000000000002</v>
      </c>
      <c r="G211" s="1">
        <v>45876</v>
      </c>
      <c r="H211">
        <v>2.7328800000000002</v>
      </c>
      <c r="I211" s="1">
        <v>45905</v>
      </c>
      <c r="J211">
        <v>63.617251160000002</v>
      </c>
      <c r="K211">
        <v>5.31</v>
      </c>
      <c r="L211">
        <v>1</v>
      </c>
      <c r="M211">
        <v>3.51484</v>
      </c>
      <c r="N211">
        <f>L211*F211</f>
        <v>0.45145000000000002</v>
      </c>
      <c r="O211">
        <f>L211*J211</f>
        <v>63.617251160000002</v>
      </c>
      <c r="P211">
        <f>M211-N211-H211</f>
        <v>0.33050999999999986</v>
      </c>
      <c r="Q211">
        <f>P211/O211</f>
        <v>5.1952889188618609E-3</v>
      </c>
      <c r="R211">
        <f>I211-G211</f>
        <v>29</v>
      </c>
      <c r="S211">
        <f>Q211/R211</f>
        <v>1.7914789375385727E-4</v>
      </c>
      <c r="T211">
        <f>S211*10000</f>
        <v>1.7914789375385727</v>
      </c>
    </row>
    <row r="212" spans="1:20" x14ac:dyDescent="0.3">
      <c r="A212" t="s">
        <v>46</v>
      </c>
      <c r="B212" t="s">
        <v>37</v>
      </c>
      <c r="C212">
        <v>1</v>
      </c>
      <c r="D212">
        <v>6</v>
      </c>
      <c r="E212" t="s">
        <v>23</v>
      </c>
      <c r="F212">
        <v>0.44721</v>
      </c>
      <c r="G212" s="1">
        <v>45876</v>
      </c>
      <c r="H212">
        <v>2.6835599999999999</v>
      </c>
      <c r="I212" s="1">
        <v>45905</v>
      </c>
      <c r="J212">
        <v>63.617251160000002</v>
      </c>
      <c r="K212">
        <v>5.31</v>
      </c>
      <c r="L212">
        <v>0.5</v>
      </c>
      <c r="M212">
        <v>3.0265599999999999</v>
      </c>
      <c r="N212">
        <f>L212*F212</f>
        <v>0.223605</v>
      </c>
      <c r="O212">
        <f>L212*J212</f>
        <v>31.808625580000001</v>
      </c>
      <c r="P212">
        <f>M212-N212-H212</f>
        <v>0.11939499999999992</v>
      </c>
      <c r="Q212">
        <f>P212/O212</f>
        <v>3.7535416203292589E-3</v>
      </c>
      <c r="R212">
        <f>I212-G212</f>
        <v>29</v>
      </c>
      <c r="S212">
        <f>Q212/R212</f>
        <v>1.2943246966652617E-4</v>
      </c>
      <c r="T212">
        <f>S212*10000</f>
        <v>1.2943246966652617</v>
      </c>
    </row>
    <row r="213" spans="1:20" x14ac:dyDescent="0.3">
      <c r="A213" t="s">
        <v>46</v>
      </c>
      <c r="B213" t="s">
        <v>37</v>
      </c>
      <c r="C213">
        <v>1</v>
      </c>
      <c r="D213">
        <v>6</v>
      </c>
      <c r="E213" t="s">
        <v>24</v>
      </c>
      <c r="F213">
        <v>0.44801999999999997</v>
      </c>
      <c r="G213" s="1">
        <v>45876</v>
      </c>
      <c r="H213">
        <v>2.6886199999999998</v>
      </c>
      <c r="I213" s="1">
        <v>45905</v>
      </c>
      <c r="J213">
        <v>63.617251160000002</v>
      </c>
      <c r="K213">
        <v>5.31</v>
      </c>
      <c r="L213">
        <v>0.5</v>
      </c>
      <c r="M213">
        <v>3.1379600000000001</v>
      </c>
      <c r="N213">
        <f>L213*F213</f>
        <v>0.22400999999999999</v>
      </c>
      <c r="O213">
        <f>L213*J213</f>
        <v>31.808625580000001</v>
      </c>
      <c r="P213">
        <f>M213-N213-H213</f>
        <v>0.22533000000000047</v>
      </c>
      <c r="Q213">
        <f>P213/O213</f>
        <v>7.0839275791180056E-3</v>
      </c>
      <c r="R213">
        <f>I213-G213</f>
        <v>29</v>
      </c>
      <c r="S213">
        <f>Q213/R213</f>
        <v>2.442733647971726E-4</v>
      </c>
      <c r="T213">
        <f>S213*10000</f>
        <v>2.4427336479717261</v>
      </c>
    </row>
    <row r="214" spans="1:20" x14ac:dyDescent="0.3">
      <c r="A214" t="s">
        <v>46</v>
      </c>
      <c r="B214" t="s">
        <v>37</v>
      </c>
      <c r="C214">
        <v>1</v>
      </c>
      <c r="D214">
        <v>12</v>
      </c>
      <c r="E214" t="s">
        <v>47</v>
      </c>
      <c r="F214">
        <v>0.45202999999999999</v>
      </c>
      <c r="G214" s="1">
        <v>45876</v>
      </c>
      <c r="H214">
        <v>2.6959499999999998</v>
      </c>
      <c r="I214" s="1">
        <v>45905</v>
      </c>
      <c r="J214">
        <v>63.617251160000002</v>
      </c>
      <c r="K214">
        <v>5.31</v>
      </c>
      <c r="L214">
        <v>1</v>
      </c>
      <c r="M214">
        <v>4.2626900000000001</v>
      </c>
      <c r="N214">
        <f>L214*F214</f>
        <v>0.45202999999999999</v>
      </c>
      <c r="O214">
        <f>L214*J214</f>
        <v>63.617251160000002</v>
      </c>
      <c r="P214">
        <f>M214-N214-H214</f>
        <v>1.1147100000000001</v>
      </c>
      <c r="Q214">
        <f>P214/O214</f>
        <v>1.7522134007275144E-2</v>
      </c>
      <c r="R214">
        <f>I214-G214</f>
        <v>29</v>
      </c>
      <c r="S214">
        <f>Q214/R214</f>
        <v>6.0421151749224633E-4</v>
      </c>
      <c r="T214">
        <f>S214*10000</f>
        <v>6.0421151749224631</v>
      </c>
    </row>
    <row r="215" spans="1:20" x14ac:dyDescent="0.3">
      <c r="A215" t="s">
        <v>46</v>
      </c>
      <c r="B215" t="s">
        <v>37</v>
      </c>
      <c r="C215">
        <v>1</v>
      </c>
      <c r="D215">
        <v>12</v>
      </c>
      <c r="E215" t="s">
        <v>23</v>
      </c>
      <c r="F215">
        <v>0.44824000000000003</v>
      </c>
      <c r="G215" s="1">
        <v>45876</v>
      </c>
      <c r="H215">
        <v>2.6996699999999998</v>
      </c>
      <c r="I215" s="1">
        <v>45905</v>
      </c>
      <c r="J215">
        <v>63.617251160000002</v>
      </c>
      <c r="K215">
        <v>5.31</v>
      </c>
      <c r="L215">
        <v>0.75</v>
      </c>
      <c r="M215">
        <v>3.3406600000000002</v>
      </c>
      <c r="N215">
        <f>L215*F215</f>
        <v>0.33618000000000003</v>
      </c>
      <c r="O215">
        <f>L215*J215</f>
        <v>47.712938370000003</v>
      </c>
      <c r="P215">
        <f>M215-N215-H215</f>
        <v>0.30481000000000025</v>
      </c>
      <c r="Q215">
        <f>P215/O215</f>
        <v>6.388413927398205E-3</v>
      </c>
      <c r="R215">
        <f>I215-G215</f>
        <v>29</v>
      </c>
      <c r="S215">
        <f>Q215/R215</f>
        <v>2.202901354275243E-4</v>
      </c>
      <c r="T215">
        <f>S215*10000</f>
        <v>2.2029013542752431</v>
      </c>
    </row>
    <row r="216" spans="1:20" x14ac:dyDescent="0.3">
      <c r="A216" t="s">
        <v>46</v>
      </c>
      <c r="B216" t="s">
        <v>37</v>
      </c>
      <c r="C216">
        <v>1</v>
      </c>
      <c r="D216">
        <v>12</v>
      </c>
      <c r="E216" t="s">
        <v>24</v>
      </c>
      <c r="F216">
        <v>0.45023000000000002</v>
      </c>
      <c r="G216" s="1">
        <v>45876</v>
      </c>
      <c r="H216">
        <v>2.7046399999999999</v>
      </c>
      <c r="I216" s="1">
        <v>45905</v>
      </c>
      <c r="J216">
        <v>63.617251160000002</v>
      </c>
      <c r="K216">
        <v>5.31</v>
      </c>
      <c r="L216">
        <v>0.75</v>
      </c>
      <c r="M216">
        <v>3.6779600000000001</v>
      </c>
      <c r="N216">
        <f>L216*F216</f>
        <v>0.33767250000000004</v>
      </c>
      <c r="O216">
        <f>L216*J216</f>
        <v>47.712938370000003</v>
      </c>
      <c r="P216">
        <f>M216-N216-H216</f>
        <v>0.63564750000000014</v>
      </c>
      <c r="Q216">
        <f>P216/O216</f>
        <v>1.3322329785492104E-2</v>
      </c>
      <c r="R216">
        <f>I216-G216</f>
        <v>29</v>
      </c>
      <c r="S216">
        <f>Q216/R216</f>
        <v>4.5939068225834845E-4</v>
      </c>
      <c r="T216">
        <f>S216*10000</f>
        <v>4.5939068225834845</v>
      </c>
    </row>
    <row r="217" spans="1:20" x14ac:dyDescent="0.3">
      <c r="A217" t="s">
        <v>46</v>
      </c>
      <c r="B217" t="s">
        <v>37</v>
      </c>
      <c r="C217">
        <v>1</v>
      </c>
      <c r="D217">
        <v>24</v>
      </c>
      <c r="E217" t="s">
        <v>22</v>
      </c>
      <c r="F217">
        <v>0.44745000000000001</v>
      </c>
      <c r="G217" s="1">
        <v>45876</v>
      </c>
      <c r="H217">
        <v>2.7056300000000002</v>
      </c>
      <c r="I217" s="1">
        <v>45905</v>
      </c>
      <c r="J217">
        <v>63.617251160000002</v>
      </c>
      <c r="K217">
        <v>5.31</v>
      </c>
      <c r="L217">
        <v>1</v>
      </c>
      <c r="M217">
        <v>3.71726</v>
      </c>
      <c r="N217">
        <f>L217*F217</f>
        <v>0.44745000000000001</v>
      </c>
      <c r="O217">
        <f>L217*J217</f>
        <v>63.617251160000002</v>
      </c>
      <c r="P217">
        <f>M217-N217-H217</f>
        <v>0.5641799999999999</v>
      </c>
      <c r="Q217">
        <f>P217/O217</f>
        <v>8.868349224663355E-3</v>
      </c>
      <c r="R217">
        <f>I217-G217</f>
        <v>29</v>
      </c>
      <c r="S217">
        <f>Q217/R217</f>
        <v>3.058051456780467E-4</v>
      </c>
      <c r="T217">
        <f>S217*10000</f>
        <v>3.0580514567804671</v>
      </c>
    </row>
    <row r="218" spans="1:20" x14ac:dyDescent="0.3">
      <c r="A218" t="s">
        <v>46</v>
      </c>
      <c r="B218" t="s">
        <v>37</v>
      </c>
      <c r="C218">
        <v>1</v>
      </c>
      <c r="D218">
        <v>24</v>
      </c>
      <c r="E218" t="s">
        <v>23</v>
      </c>
      <c r="F218">
        <v>0.44858999999999999</v>
      </c>
      <c r="G218" s="1">
        <v>45876</v>
      </c>
      <c r="H218">
        <v>2.68669</v>
      </c>
      <c r="I218" s="1">
        <v>45905</v>
      </c>
      <c r="J218">
        <v>63.617251160000002</v>
      </c>
      <c r="K218">
        <v>5.31</v>
      </c>
      <c r="L218">
        <v>0.75</v>
      </c>
      <c r="M218">
        <v>3.7914099999999999</v>
      </c>
      <c r="N218">
        <f>L218*F218</f>
        <v>0.33644249999999998</v>
      </c>
      <c r="O218">
        <f>L218*J218</f>
        <v>47.712938370000003</v>
      </c>
      <c r="P218">
        <f>M218-N218-H218</f>
        <v>0.76827749999999995</v>
      </c>
      <c r="Q218">
        <f>P218/O218</f>
        <v>1.6102078938048853E-2</v>
      </c>
      <c r="R218">
        <f>I218-G218</f>
        <v>29</v>
      </c>
      <c r="S218">
        <f>Q218/R218</f>
        <v>5.5524410131202939E-4</v>
      </c>
      <c r="T218">
        <f>S218*10000</f>
        <v>5.5524410131202941</v>
      </c>
    </row>
    <row r="219" spans="1:20" x14ac:dyDescent="0.3">
      <c r="A219" t="s">
        <v>46</v>
      </c>
      <c r="B219" t="s">
        <v>37</v>
      </c>
      <c r="C219">
        <v>1</v>
      </c>
      <c r="D219">
        <v>24</v>
      </c>
      <c r="E219" t="s">
        <v>24</v>
      </c>
      <c r="F219">
        <v>0.45339000000000002</v>
      </c>
      <c r="G219" s="1">
        <v>45876</v>
      </c>
      <c r="H219">
        <v>2.6914500000000001</v>
      </c>
      <c r="I219" s="1">
        <v>45905</v>
      </c>
      <c r="J219">
        <v>63.617251160000002</v>
      </c>
      <c r="K219">
        <v>5.31</v>
      </c>
      <c r="L219">
        <v>1</v>
      </c>
      <c r="M219">
        <v>3.7765200000000001</v>
      </c>
      <c r="N219">
        <f>L219*F219</f>
        <v>0.45339000000000002</v>
      </c>
      <c r="O219">
        <f>L219*J219</f>
        <v>63.617251160000002</v>
      </c>
      <c r="P219">
        <f>M219-N219-H219</f>
        <v>0.6316799999999998</v>
      </c>
      <c r="Q219">
        <f>P219/O219</f>
        <v>9.929382179863425E-3</v>
      </c>
      <c r="R219">
        <f>I219-G219</f>
        <v>29</v>
      </c>
      <c r="S219">
        <f>Q219/R219</f>
        <v>3.4239248896080778E-4</v>
      </c>
      <c r="T219">
        <f>S219*10000</f>
        <v>3.4239248896080778</v>
      </c>
    </row>
    <row r="220" spans="1:20" x14ac:dyDescent="0.3">
      <c r="A220" t="s">
        <v>46</v>
      </c>
      <c r="B220" t="s">
        <v>37</v>
      </c>
      <c r="C220">
        <v>1</v>
      </c>
      <c r="D220">
        <v>48</v>
      </c>
      <c r="E220" t="s">
        <v>47</v>
      </c>
      <c r="F220">
        <v>0.44924999999999998</v>
      </c>
      <c r="G220" s="1">
        <v>45876</v>
      </c>
      <c r="H220">
        <v>2.7003499999999998</v>
      </c>
      <c r="I220" s="1">
        <v>45905</v>
      </c>
      <c r="J220">
        <v>63.617251160000002</v>
      </c>
      <c r="K220">
        <v>5.31</v>
      </c>
      <c r="L220">
        <v>1</v>
      </c>
      <c r="M220">
        <v>3.3981699999999999</v>
      </c>
      <c r="N220">
        <f>L220*F220</f>
        <v>0.44924999999999998</v>
      </c>
      <c r="O220">
        <f>L220*J220</f>
        <v>63.617251160000002</v>
      </c>
      <c r="P220">
        <f>M220-N220-H220</f>
        <v>0.24856999999999996</v>
      </c>
      <c r="Q220">
        <f>P220/O220</f>
        <v>3.9072735062826939E-3</v>
      </c>
      <c r="R220">
        <f>I220-G220</f>
        <v>29</v>
      </c>
      <c r="S220">
        <f>Q220/R220</f>
        <v>1.3473356918216185E-4</v>
      </c>
      <c r="T220">
        <f>S220*10000</f>
        <v>1.3473356918216186</v>
      </c>
    </row>
    <row r="221" spans="1:20" x14ac:dyDescent="0.3">
      <c r="A221" t="s">
        <v>46</v>
      </c>
      <c r="B221" t="s">
        <v>37</v>
      </c>
      <c r="C221">
        <v>1</v>
      </c>
      <c r="D221">
        <v>48</v>
      </c>
      <c r="E221" t="s">
        <v>23</v>
      </c>
      <c r="F221">
        <v>0.4541</v>
      </c>
      <c r="G221" s="1">
        <v>45876</v>
      </c>
      <c r="H221">
        <v>2.6855500000000001</v>
      </c>
      <c r="I221" s="1">
        <v>45905</v>
      </c>
      <c r="J221">
        <v>63.617251160000002</v>
      </c>
      <c r="K221">
        <v>5.31</v>
      </c>
      <c r="L221">
        <v>1</v>
      </c>
      <c r="M221">
        <v>3.73082</v>
      </c>
      <c r="N221">
        <f>L221*F221</f>
        <v>0.4541</v>
      </c>
      <c r="O221">
        <f>L221*J221</f>
        <v>63.617251160000002</v>
      </c>
      <c r="P221">
        <f>M221-N221-H221</f>
        <v>0.59116999999999997</v>
      </c>
      <c r="Q221">
        <f>P221/O221</f>
        <v>9.2926052166759469E-3</v>
      </c>
      <c r="R221">
        <f>I221-G221</f>
        <v>29</v>
      </c>
      <c r="S221">
        <f>Q221/R221</f>
        <v>3.2043466264399819E-4</v>
      </c>
      <c r="T221">
        <f>S221*10000</f>
        <v>3.2043466264399818</v>
      </c>
    </row>
    <row r="222" spans="1:20" x14ac:dyDescent="0.3">
      <c r="A222" t="s">
        <v>46</v>
      </c>
      <c r="B222" t="s">
        <v>37</v>
      </c>
      <c r="C222">
        <v>1</v>
      </c>
      <c r="D222">
        <v>48</v>
      </c>
      <c r="E222" t="s">
        <v>24</v>
      </c>
      <c r="F222">
        <v>0.45011000000000001</v>
      </c>
      <c r="G222" s="1">
        <v>45876</v>
      </c>
      <c r="H222">
        <v>2.71584</v>
      </c>
      <c r="I222" s="1">
        <v>45905</v>
      </c>
      <c r="J222">
        <v>63.617251160000002</v>
      </c>
      <c r="K222">
        <v>5.31</v>
      </c>
      <c r="L222">
        <v>1</v>
      </c>
      <c r="M222">
        <v>3.39777</v>
      </c>
      <c r="N222">
        <f>L222*F222</f>
        <v>0.45011000000000001</v>
      </c>
      <c r="O222">
        <f>L222*J222</f>
        <v>63.617251160000002</v>
      </c>
      <c r="P222">
        <f>M222-N222-H222</f>
        <v>0.23181999999999992</v>
      </c>
      <c r="Q222">
        <f>P222/O222</f>
        <v>3.643980143325638E-3</v>
      </c>
      <c r="R222">
        <f>I222-G222</f>
        <v>29</v>
      </c>
      <c r="S222">
        <f>Q222/R222</f>
        <v>1.2565448770088407E-4</v>
      </c>
      <c r="T222">
        <f>S222*10000</f>
        <v>1.2565448770088408</v>
      </c>
    </row>
    <row r="223" spans="1:20" x14ac:dyDescent="0.3">
      <c r="A223" t="s">
        <v>46</v>
      </c>
      <c r="B223" t="s">
        <v>37</v>
      </c>
      <c r="C223">
        <v>2</v>
      </c>
      <c r="D223">
        <v>0.5</v>
      </c>
      <c r="E223" t="s">
        <v>47</v>
      </c>
      <c r="F223">
        <v>0.45308999999999999</v>
      </c>
      <c r="G223" s="1">
        <v>45876</v>
      </c>
      <c r="H223">
        <v>2.7454100000000001</v>
      </c>
      <c r="I223" s="1">
        <v>45905</v>
      </c>
      <c r="J223">
        <v>63.617251160000002</v>
      </c>
      <c r="K223">
        <v>5.31</v>
      </c>
      <c r="L223">
        <v>1</v>
      </c>
      <c r="M223">
        <v>3.6289799999999999</v>
      </c>
      <c r="N223">
        <f>L223*F223</f>
        <v>0.45308999999999999</v>
      </c>
      <c r="O223">
        <f>L223*J223</f>
        <v>63.617251160000002</v>
      </c>
      <c r="P223">
        <f>M223-N223-H223</f>
        <v>0.43047999999999975</v>
      </c>
      <c r="Q223">
        <f>P223/O223</f>
        <v>6.7667180230300246E-3</v>
      </c>
      <c r="R223">
        <f>I223-G223</f>
        <v>29</v>
      </c>
      <c r="S223">
        <f>Q223/R223</f>
        <v>2.3333510424241466E-4</v>
      </c>
      <c r="T223">
        <f>S223*10000</f>
        <v>2.3333510424241464</v>
      </c>
    </row>
    <row r="224" spans="1:20" x14ac:dyDescent="0.3">
      <c r="A224" t="s">
        <v>46</v>
      </c>
      <c r="B224" t="s">
        <v>37</v>
      </c>
      <c r="C224">
        <v>2</v>
      </c>
      <c r="D224">
        <v>0.5</v>
      </c>
      <c r="E224" t="s">
        <v>23</v>
      </c>
      <c r="F224">
        <v>0.44692999999999999</v>
      </c>
      <c r="G224" s="1">
        <v>45876</v>
      </c>
      <c r="H224">
        <v>2.7355999999999998</v>
      </c>
      <c r="I224" s="1">
        <v>45905</v>
      </c>
      <c r="J224">
        <v>63.617251160000002</v>
      </c>
      <c r="K224">
        <v>5.31</v>
      </c>
      <c r="L224">
        <v>1</v>
      </c>
      <c r="M224">
        <v>3.4033099999999998</v>
      </c>
      <c r="N224">
        <f>L224*F224</f>
        <v>0.44692999999999999</v>
      </c>
      <c r="O224">
        <f>L224*J224</f>
        <v>63.617251160000002</v>
      </c>
      <c r="P224">
        <f>M224-N224-H224</f>
        <v>0.22077999999999998</v>
      </c>
      <c r="Q224">
        <f>P224/O224</f>
        <v>3.4704423088751384E-3</v>
      </c>
      <c r="R224">
        <f>I224-G224</f>
        <v>29</v>
      </c>
      <c r="S224">
        <f>Q224/R224</f>
        <v>1.1967042444397028E-4</v>
      </c>
      <c r="T224">
        <f>S224*10000</f>
        <v>1.1967042444397029</v>
      </c>
    </row>
    <row r="225" spans="1:20" x14ac:dyDescent="0.3">
      <c r="A225" t="s">
        <v>46</v>
      </c>
      <c r="B225" t="s">
        <v>37</v>
      </c>
      <c r="C225">
        <v>2</v>
      </c>
      <c r="D225">
        <v>0.5</v>
      </c>
      <c r="E225" t="s">
        <v>24</v>
      </c>
      <c r="F225">
        <v>0.45362999999999998</v>
      </c>
      <c r="G225" s="1">
        <v>45876</v>
      </c>
      <c r="H225">
        <v>2.7290000000000001</v>
      </c>
      <c r="I225" s="1">
        <v>45905</v>
      </c>
      <c r="J225">
        <v>63.617251160000002</v>
      </c>
      <c r="K225">
        <v>5.31</v>
      </c>
      <c r="L225">
        <v>0.5</v>
      </c>
      <c r="M225">
        <v>3.1331199999999999</v>
      </c>
      <c r="N225">
        <f>L225*F225</f>
        <v>0.22681499999999999</v>
      </c>
      <c r="O225">
        <f>L225*J225</f>
        <v>31.808625580000001</v>
      </c>
      <c r="P225">
        <f>M225-N225-H225</f>
        <v>0.1773049999999996</v>
      </c>
      <c r="Q225">
        <f>P225/O225</f>
        <v>5.5741169813851351E-3</v>
      </c>
      <c r="R225">
        <f>I225-G225</f>
        <v>29</v>
      </c>
      <c r="S225">
        <f>Q225/R225</f>
        <v>1.9221093039259086E-4</v>
      </c>
      <c r="T225">
        <f>S225*10000</f>
        <v>1.9221093039259085</v>
      </c>
    </row>
    <row r="226" spans="1:20" x14ac:dyDescent="0.3">
      <c r="A226" t="s">
        <v>46</v>
      </c>
      <c r="B226" t="s">
        <v>37</v>
      </c>
      <c r="C226">
        <v>2</v>
      </c>
      <c r="D226">
        <v>2</v>
      </c>
      <c r="E226" t="s">
        <v>47</v>
      </c>
      <c r="F226">
        <v>0.44627</v>
      </c>
      <c r="G226" s="1">
        <v>45876</v>
      </c>
      <c r="H226">
        <v>2.7301700000000002</v>
      </c>
      <c r="I226" s="1">
        <v>45905</v>
      </c>
      <c r="J226">
        <v>63.617251160000002</v>
      </c>
      <c r="K226">
        <v>5.31</v>
      </c>
      <c r="L226">
        <v>1</v>
      </c>
      <c r="M226">
        <v>3.3258000000000001</v>
      </c>
      <c r="N226">
        <f>L226*F226</f>
        <v>0.44627</v>
      </c>
      <c r="O226">
        <f>L226*J226</f>
        <v>63.617251160000002</v>
      </c>
      <c r="P226">
        <f>M226-N226-H226</f>
        <v>0.14935999999999972</v>
      </c>
      <c r="Q226">
        <f>P226/O226</f>
        <v>2.3477908472397395E-3</v>
      </c>
      <c r="R226">
        <f>I226-G226</f>
        <v>29</v>
      </c>
      <c r="S226">
        <f>Q226/R226</f>
        <v>8.095830507723239E-5</v>
      </c>
      <c r="T226">
        <f>S226*10000</f>
        <v>0.80958305077232395</v>
      </c>
    </row>
    <row r="227" spans="1:20" x14ac:dyDescent="0.3">
      <c r="A227" t="s">
        <v>46</v>
      </c>
      <c r="B227" t="s">
        <v>37</v>
      </c>
      <c r="C227">
        <v>2</v>
      </c>
      <c r="D227">
        <v>2</v>
      </c>
      <c r="E227" t="s">
        <v>23</v>
      </c>
      <c r="F227">
        <v>0.42764000000000002</v>
      </c>
      <c r="G227" s="1">
        <v>45876</v>
      </c>
      <c r="H227">
        <v>2.75752</v>
      </c>
      <c r="I227" s="1">
        <v>45905</v>
      </c>
      <c r="J227">
        <v>63.617251160000002</v>
      </c>
      <c r="K227">
        <v>5.31</v>
      </c>
      <c r="L227">
        <v>0.5</v>
      </c>
      <c r="M227">
        <v>3.2896999999999998</v>
      </c>
      <c r="N227">
        <f>L227*F227</f>
        <v>0.21382000000000001</v>
      </c>
      <c r="O227">
        <f>L227*J227</f>
        <v>31.808625580000001</v>
      </c>
      <c r="P227">
        <f>M227-N227-H227</f>
        <v>0.31835999999999975</v>
      </c>
      <c r="Q227">
        <f>P227/O227</f>
        <v>1.0008605973851692E-2</v>
      </c>
      <c r="R227">
        <f>I227-G227</f>
        <v>29</v>
      </c>
      <c r="S227">
        <f>Q227/R227</f>
        <v>3.4512434392592044E-4</v>
      </c>
      <c r="T227">
        <f>S227*10000</f>
        <v>3.4512434392592044</v>
      </c>
    </row>
    <row r="228" spans="1:20" x14ac:dyDescent="0.3">
      <c r="A228" t="s">
        <v>46</v>
      </c>
      <c r="B228" t="s">
        <v>37</v>
      </c>
      <c r="C228">
        <v>2</v>
      </c>
      <c r="D228">
        <v>2</v>
      </c>
      <c r="E228" t="s">
        <v>24</v>
      </c>
      <c r="F228">
        <v>0.43385000000000001</v>
      </c>
      <c r="G228" s="1">
        <v>45876</v>
      </c>
      <c r="H228">
        <v>2.74254</v>
      </c>
      <c r="I228" s="1">
        <v>45905</v>
      </c>
      <c r="J228">
        <v>63.617251160000002</v>
      </c>
      <c r="K228">
        <v>5.31</v>
      </c>
      <c r="L228">
        <v>1</v>
      </c>
      <c r="M228">
        <v>3.41045</v>
      </c>
      <c r="N228">
        <f>L228*F228</f>
        <v>0.43385000000000001</v>
      </c>
      <c r="O228">
        <f>L228*J228</f>
        <v>63.617251160000002</v>
      </c>
      <c r="P228">
        <f>M228-N228-H228</f>
        <v>0.23405999999999993</v>
      </c>
      <c r="Q228">
        <f>P228/O228</f>
        <v>3.6791907184315371E-3</v>
      </c>
      <c r="R228">
        <f>I228-G228</f>
        <v>29</v>
      </c>
      <c r="S228">
        <f>Q228/R228</f>
        <v>1.2686864546315645E-4</v>
      </c>
      <c r="T228">
        <f>S228*10000</f>
        <v>1.2686864546315646</v>
      </c>
    </row>
    <row r="229" spans="1:20" x14ac:dyDescent="0.3">
      <c r="A229" t="s">
        <v>46</v>
      </c>
      <c r="B229" t="s">
        <v>37</v>
      </c>
      <c r="C229">
        <v>2</v>
      </c>
      <c r="D229">
        <v>6</v>
      </c>
      <c r="E229" t="s">
        <v>47</v>
      </c>
      <c r="F229">
        <v>0.43415999999999999</v>
      </c>
      <c r="G229" s="1">
        <v>45876</v>
      </c>
      <c r="H229">
        <v>2.7252100000000001</v>
      </c>
      <c r="I229" s="1">
        <v>45905</v>
      </c>
      <c r="J229">
        <v>63.617251160000002</v>
      </c>
      <c r="K229">
        <v>5.31</v>
      </c>
      <c r="L229">
        <v>1</v>
      </c>
      <c r="M229">
        <v>3.4297300000000002</v>
      </c>
      <c r="N229">
        <f>L229*F229</f>
        <v>0.43415999999999999</v>
      </c>
      <c r="O229">
        <f>L229*J229</f>
        <v>63.617251160000002</v>
      </c>
      <c r="P229">
        <f>M229-N229-H229</f>
        <v>0.27036000000000016</v>
      </c>
      <c r="Q229">
        <f>P229/O229</f>
        <v>4.2497906632280235E-3</v>
      </c>
      <c r="R229">
        <f>I229-G229</f>
        <v>29</v>
      </c>
      <c r="S229">
        <f>Q229/R229</f>
        <v>1.4654450562855253E-4</v>
      </c>
      <c r="T229">
        <f>S229*10000</f>
        <v>1.4654450562855252</v>
      </c>
    </row>
    <row r="230" spans="1:20" x14ac:dyDescent="0.3">
      <c r="A230" t="s">
        <v>46</v>
      </c>
      <c r="B230" t="s">
        <v>37</v>
      </c>
      <c r="C230">
        <v>2</v>
      </c>
      <c r="D230">
        <v>6</v>
      </c>
      <c r="E230" t="s">
        <v>23</v>
      </c>
      <c r="F230">
        <v>0.43099999999999999</v>
      </c>
      <c r="G230" s="1">
        <v>45876</v>
      </c>
      <c r="H230">
        <v>2.7136300000000002</v>
      </c>
      <c r="I230" s="1">
        <v>45905</v>
      </c>
      <c r="J230">
        <v>63.617251160000002</v>
      </c>
      <c r="K230">
        <v>5.31</v>
      </c>
      <c r="L230">
        <v>1</v>
      </c>
      <c r="M230">
        <v>3.3440799999999999</v>
      </c>
      <c r="N230">
        <f>L230*F230</f>
        <v>0.43099999999999999</v>
      </c>
      <c r="O230">
        <f>L230*J230</f>
        <v>63.617251160000002</v>
      </c>
      <c r="P230">
        <f>M230-N230-H230</f>
        <v>0.19944999999999968</v>
      </c>
      <c r="Q230">
        <f>P230/O230</f>
        <v>3.1351558950319111E-3</v>
      </c>
      <c r="R230">
        <f>I230-G230</f>
        <v>29</v>
      </c>
      <c r="S230">
        <f>Q230/R230</f>
        <v>1.0810882396661762E-4</v>
      </c>
      <c r="T230">
        <f>S230*10000</f>
        <v>1.0810882396661763</v>
      </c>
    </row>
    <row r="231" spans="1:20" x14ac:dyDescent="0.3">
      <c r="A231" t="s">
        <v>46</v>
      </c>
      <c r="B231" t="s">
        <v>37</v>
      </c>
      <c r="C231">
        <v>2</v>
      </c>
      <c r="D231">
        <v>6</v>
      </c>
      <c r="E231" t="s">
        <v>24</v>
      </c>
      <c r="F231">
        <v>0.42952000000000001</v>
      </c>
      <c r="G231" s="1">
        <v>45876</v>
      </c>
      <c r="H231">
        <v>2.7467199999999998</v>
      </c>
      <c r="I231" s="1">
        <v>45905</v>
      </c>
      <c r="J231">
        <v>63.617251160000002</v>
      </c>
      <c r="K231">
        <v>5.31</v>
      </c>
      <c r="L231">
        <v>1</v>
      </c>
      <c r="M231">
        <v>3.4477199999999999</v>
      </c>
      <c r="N231">
        <f>L231*F231</f>
        <v>0.42952000000000001</v>
      </c>
      <c r="O231">
        <f>L231*J231</f>
        <v>63.617251160000002</v>
      </c>
      <c r="P231">
        <f>M231-N231-H231</f>
        <v>0.27147999999999994</v>
      </c>
      <c r="Q231">
        <f>P231/O231</f>
        <v>4.2673959507809698E-3</v>
      </c>
      <c r="R231">
        <f>I231-G231</f>
        <v>29</v>
      </c>
      <c r="S231">
        <f>Q231/R231</f>
        <v>1.471515845096886E-4</v>
      </c>
      <c r="T231">
        <f>S231*10000</f>
        <v>1.4715158450968859</v>
      </c>
    </row>
    <row r="232" spans="1:20" x14ac:dyDescent="0.3">
      <c r="A232" t="s">
        <v>46</v>
      </c>
      <c r="B232" t="s">
        <v>37</v>
      </c>
      <c r="C232">
        <v>2</v>
      </c>
      <c r="D232">
        <v>12</v>
      </c>
      <c r="E232" t="s">
        <v>47</v>
      </c>
      <c r="F232">
        <v>0.43353000000000003</v>
      </c>
      <c r="G232" s="1">
        <v>45876</v>
      </c>
      <c r="H232">
        <v>2.7444700000000002</v>
      </c>
      <c r="I232" s="1">
        <v>45905</v>
      </c>
      <c r="J232">
        <v>63.617251160000002</v>
      </c>
      <c r="K232">
        <v>5.31</v>
      </c>
      <c r="L232">
        <v>1</v>
      </c>
      <c r="M232">
        <v>3.4278200000000001</v>
      </c>
      <c r="N232">
        <f>L232*F232</f>
        <v>0.43353000000000003</v>
      </c>
      <c r="O232">
        <f>L232*J232</f>
        <v>63.617251160000002</v>
      </c>
      <c r="P232">
        <f>M232-N232-H232</f>
        <v>0.24981999999999971</v>
      </c>
      <c r="Q232">
        <f>P232/O232</f>
        <v>3.9269222647123209E-3</v>
      </c>
      <c r="R232">
        <f>I232-G232</f>
        <v>29</v>
      </c>
      <c r="S232">
        <f>Q232/R232</f>
        <v>1.3541111257628694E-4</v>
      </c>
      <c r="T232">
        <f>S232*10000</f>
        <v>1.3541111257628693</v>
      </c>
    </row>
    <row r="233" spans="1:20" x14ac:dyDescent="0.3">
      <c r="A233" t="s">
        <v>46</v>
      </c>
      <c r="B233" t="s">
        <v>37</v>
      </c>
      <c r="C233">
        <v>2</v>
      </c>
      <c r="D233">
        <v>12</v>
      </c>
      <c r="E233" t="s">
        <v>23</v>
      </c>
      <c r="F233">
        <v>0.43386999999999998</v>
      </c>
      <c r="G233" s="1">
        <v>45876</v>
      </c>
      <c r="H233">
        <v>2.7488199999999998</v>
      </c>
      <c r="I233" s="1">
        <v>45905</v>
      </c>
      <c r="J233">
        <v>63.617251160000002</v>
      </c>
      <c r="K233">
        <v>5.31</v>
      </c>
      <c r="L233">
        <v>0.75</v>
      </c>
      <c r="M233">
        <v>3.4350000000000001</v>
      </c>
      <c r="N233">
        <f>L233*F233</f>
        <v>0.32540249999999998</v>
      </c>
      <c r="O233">
        <f>L233*J233</f>
        <v>47.712938370000003</v>
      </c>
      <c r="P233">
        <f>M233-N233-H233</f>
        <v>0.3607775000000002</v>
      </c>
      <c r="Q233">
        <f>P233/O233</f>
        <v>7.5614186073026E-3</v>
      </c>
      <c r="R233">
        <f>I233-G233</f>
        <v>29</v>
      </c>
      <c r="S233">
        <f>Q233/R233</f>
        <v>2.6073857266560688E-4</v>
      </c>
      <c r="T233">
        <f>S233*10000</f>
        <v>2.6073857266560689</v>
      </c>
    </row>
    <row r="234" spans="1:20" x14ac:dyDescent="0.3">
      <c r="A234" t="s">
        <v>46</v>
      </c>
      <c r="B234" t="s">
        <v>37</v>
      </c>
      <c r="C234">
        <v>2</v>
      </c>
      <c r="D234">
        <v>12</v>
      </c>
      <c r="E234" t="s">
        <v>24</v>
      </c>
      <c r="F234">
        <v>0.43481999999999998</v>
      </c>
      <c r="G234" s="1">
        <v>45876</v>
      </c>
      <c r="H234">
        <v>2.7416399999999999</v>
      </c>
      <c r="I234" s="1">
        <v>45905</v>
      </c>
      <c r="J234">
        <v>63.617251160000002</v>
      </c>
      <c r="K234">
        <v>5.31</v>
      </c>
      <c r="L234">
        <v>1</v>
      </c>
      <c r="M234">
        <v>3.43797</v>
      </c>
      <c r="N234">
        <f>L234*F234</f>
        <v>0.43481999999999998</v>
      </c>
      <c r="O234">
        <f>L234*J234</f>
        <v>63.617251160000002</v>
      </c>
      <c r="P234">
        <f>M234-N234-H234</f>
        <v>0.26150999999999991</v>
      </c>
      <c r="Q234">
        <f>P234/O234</f>
        <v>4.1106774535462328E-3</v>
      </c>
      <c r="R234">
        <f>I234-G234</f>
        <v>29</v>
      </c>
      <c r="S234">
        <f>Q234/R234</f>
        <v>1.4174749839814595E-4</v>
      </c>
      <c r="T234">
        <f>S234*10000</f>
        <v>1.4174749839814595</v>
      </c>
    </row>
    <row r="235" spans="1:20" x14ac:dyDescent="0.3">
      <c r="A235" t="s">
        <v>46</v>
      </c>
      <c r="B235" t="s">
        <v>37</v>
      </c>
      <c r="C235">
        <v>2</v>
      </c>
      <c r="D235">
        <v>24</v>
      </c>
      <c r="E235" t="s">
        <v>22</v>
      </c>
      <c r="F235">
        <v>0.43547999999999998</v>
      </c>
      <c r="G235" s="1">
        <v>45876</v>
      </c>
      <c r="H235">
        <v>2.74715</v>
      </c>
      <c r="I235" s="1">
        <v>45905</v>
      </c>
      <c r="J235">
        <v>63.617251160000002</v>
      </c>
      <c r="K235">
        <v>5.31</v>
      </c>
      <c r="L235">
        <v>1</v>
      </c>
      <c r="M235">
        <v>4.0581500000000004</v>
      </c>
      <c r="N235">
        <f>L235*F235</f>
        <v>0.43547999999999998</v>
      </c>
      <c r="O235">
        <f>L235*J235</f>
        <v>63.617251160000002</v>
      </c>
      <c r="P235">
        <f>M235-N235-H235</f>
        <v>0.8755200000000003</v>
      </c>
      <c r="Q235">
        <f>P235/O235</f>
        <v>1.3762304784248404E-2</v>
      </c>
      <c r="R235">
        <f>I235-G235</f>
        <v>29</v>
      </c>
      <c r="S235">
        <f>Q235/R235</f>
        <v>4.745622339396001E-4</v>
      </c>
      <c r="T235">
        <f>S235*10000</f>
        <v>4.7456223393960011</v>
      </c>
    </row>
    <row r="236" spans="1:20" x14ac:dyDescent="0.3">
      <c r="A236" t="s">
        <v>46</v>
      </c>
      <c r="B236" t="s">
        <v>37</v>
      </c>
      <c r="C236">
        <v>2</v>
      </c>
      <c r="D236">
        <v>24</v>
      </c>
      <c r="E236" t="s">
        <v>23</v>
      </c>
      <c r="F236">
        <v>0.45790999999999998</v>
      </c>
      <c r="G236" s="1">
        <v>45876</v>
      </c>
      <c r="H236">
        <v>2.7107600000000001</v>
      </c>
      <c r="I236" s="1">
        <v>45905</v>
      </c>
      <c r="J236">
        <v>63.617251160000002</v>
      </c>
      <c r="K236">
        <v>5.31</v>
      </c>
      <c r="L236">
        <v>1</v>
      </c>
      <c r="M236">
        <v>4.2028299999999996</v>
      </c>
      <c r="N236">
        <f>L236*F236</f>
        <v>0.45790999999999998</v>
      </c>
      <c r="O236">
        <f>L236*J236</f>
        <v>63.617251160000002</v>
      </c>
      <c r="P236">
        <f>M236-N236-H236</f>
        <v>1.0341599999999995</v>
      </c>
      <c r="Q236">
        <f>P236/O236</f>
        <v>1.6255968014069717E-2</v>
      </c>
      <c r="R236">
        <f>I236-G236</f>
        <v>29</v>
      </c>
      <c r="S236">
        <f>Q236/R236</f>
        <v>5.6055062117481779E-4</v>
      </c>
      <c r="T236">
        <f>S236*10000</f>
        <v>5.6055062117481782</v>
      </c>
    </row>
    <row r="237" spans="1:20" x14ac:dyDescent="0.3">
      <c r="A237" t="s">
        <v>46</v>
      </c>
      <c r="B237" t="s">
        <v>37</v>
      </c>
      <c r="C237">
        <v>2</v>
      </c>
      <c r="D237">
        <v>24</v>
      </c>
      <c r="E237" t="s">
        <v>24</v>
      </c>
      <c r="F237">
        <v>0.43440000000000001</v>
      </c>
      <c r="G237" s="1">
        <v>45876</v>
      </c>
      <c r="H237">
        <v>2.72438</v>
      </c>
      <c r="I237" s="1">
        <v>45905</v>
      </c>
      <c r="J237">
        <v>63.617251160000002</v>
      </c>
      <c r="K237">
        <v>5.31</v>
      </c>
      <c r="L237" t="s">
        <v>52</v>
      </c>
      <c r="M237">
        <v>4.0413899999999998</v>
      </c>
      <c r="N237" t="e">
        <f>L237*F237</f>
        <v>#VALUE!</v>
      </c>
      <c r="O237" t="e">
        <f>L237*J237</f>
        <v>#VALUE!</v>
      </c>
      <c r="P237" t="e">
        <f>M237-N237-H237</f>
        <v>#VALUE!</v>
      </c>
      <c r="Q237" t="e">
        <f>P237/O237</f>
        <v>#VALUE!</v>
      </c>
      <c r="R237">
        <f>I237-G237</f>
        <v>29</v>
      </c>
      <c r="S237" t="e">
        <f>Q237/R237</f>
        <v>#VALUE!</v>
      </c>
      <c r="T237" t="e">
        <f>S237*10000</f>
        <v>#VALUE!</v>
      </c>
    </row>
    <row r="238" spans="1:20" x14ac:dyDescent="0.3">
      <c r="A238" t="s">
        <v>46</v>
      </c>
      <c r="B238" t="s">
        <v>37</v>
      </c>
      <c r="C238">
        <v>2</v>
      </c>
      <c r="D238">
        <v>48</v>
      </c>
      <c r="E238" t="s">
        <v>47</v>
      </c>
      <c r="F238">
        <v>0.45832000000000001</v>
      </c>
      <c r="G238" s="1">
        <v>45876</v>
      </c>
      <c r="H238">
        <v>2.7260900000000001</v>
      </c>
      <c r="I238" s="1">
        <v>45905</v>
      </c>
      <c r="J238">
        <v>63.617251160000002</v>
      </c>
      <c r="K238">
        <v>5.31</v>
      </c>
      <c r="L238">
        <v>1</v>
      </c>
      <c r="M238">
        <v>3.6712699999999998</v>
      </c>
      <c r="N238">
        <f>L238*F238</f>
        <v>0.45832000000000001</v>
      </c>
      <c r="O238">
        <f>L238*J238</f>
        <v>63.617251160000002</v>
      </c>
      <c r="P238">
        <f>M238-N238-H238</f>
        <v>0.48685999999999963</v>
      </c>
      <c r="Q238">
        <f>P238/O238</f>
        <v>7.652955623240097E-3</v>
      </c>
      <c r="R238">
        <f>I238-G238</f>
        <v>29</v>
      </c>
      <c r="S238">
        <f>Q238/R238</f>
        <v>2.6389502149103784E-4</v>
      </c>
      <c r="T238">
        <f>S238*10000</f>
        <v>2.6389502149103783</v>
      </c>
    </row>
    <row r="239" spans="1:20" x14ac:dyDescent="0.3">
      <c r="A239" t="s">
        <v>46</v>
      </c>
      <c r="B239" t="s">
        <v>37</v>
      </c>
      <c r="C239">
        <v>2</v>
      </c>
      <c r="D239">
        <v>48</v>
      </c>
      <c r="E239" t="s">
        <v>23</v>
      </c>
      <c r="F239">
        <v>0.43765999999999999</v>
      </c>
      <c r="G239" s="1">
        <v>45876</v>
      </c>
      <c r="H239">
        <v>2.7351299999999998</v>
      </c>
      <c r="I239" s="1">
        <v>45905</v>
      </c>
      <c r="J239">
        <v>63.617251160000002</v>
      </c>
      <c r="K239">
        <v>5.31</v>
      </c>
      <c r="L239">
        <v>1</v>
      </c>
      <c r="M239">
        <v>4.4345800000000004</v>
      </c>
      <c r="N239">
        <f>L239*F239</f>
        <v>0.43765999999999999</v>
      </c>
      <c r="O239">
        <f>L239*J239</f>
        <v>63.617251160000002</v>
      </c>
      <c r="P239">
        <f>M239-N239-H239</f>
        <v>1.2617900000000004</v>
      </c>
      <c r="Q239">
        <f>P239/O239</f>
        <v>1.9834085519139247E-2</v>
      </c>
      <c r="R239">
        <f>I239-G239</f>
        <v>29</v>
      </c>
      <c r="S239">
        <f>Q239/R239</f>
        <v>6.8393398341859467E-4</v>
      </c>
      <c r="T239">
        <f>S239*10000</f>
        <v>6.8393398341859468</v>
      </c>
    </row>
    <row r="240" spans="1:20" x14ac:dyDescent="0.3">
      <c r="A240" t="s">
        <v>46</v>
      </c>
      <c r="B240" t="s">
        <v>37</v>
      </c>
      <c r="C240">
        <v>2</v>
      </c>
      <c r="D240">
        <v>48</v>
      </c>
      <c r="E240" t="s">
        <v>24</v>
      </c>
      <c r="F240">
        <v>0.43614999999999998</v>
      </c>
      <c r="G240" s="1">
        <v>45876</v>
      </c>
      <c r="H240">
        <v>2.6892499999999999</v>
      </c>
      <c r="I240" s="1">
        <v>45905</v>
      </c>
      <c r="J240">
        <v>63.617251160000002</v>
      </c>
      <c r="K240">
        <v>5.31</v>
      </c>
      <c r="L240">
        <v>1</v>
      </c>
      <c r="M240">
        <v>3.8301500000000002</v>
      </c>
      <c r="N240">
        <f>L240*F240</f>
        <v>0.43614999999999998</v>
      </c>
      <c r="O240">
        <f>L240*J240</f>
        <v>63.617251160000002</v>
      </c>
      <c r="P240">
        <f>M240-N240-H240</f>
        <v>0.70475000000000021</v>
      </c>
      <c r="Q240">
        <f>P240/O240</f>
        <v>1.1077970002625939E-2</v>
      </c>
      <c r="R240">
        <f>I240-G240</f>
        <v>29</v>
      </c>
      <c r="S240">
        <f>Q240/R240</f>
        <v>3.8199896560779098E-4</v>
      </c>
      <c r="T240">
        <f>S240*10000</f>
        <v>3.8199896560779099</v>
      </c>
    </row>
    <row r="241" spans="1:20" x14ac:dyDescent="0.3">
      <c r="A241" t="s">
        <v>46</v>
      </c>
      <c r="B241" t="s">
        <v>37</v>
      </c>
      <c r="E241" t="s">
        <v>48</v>
      </c>
      <c r="F241">
        <v>0.45841999999999999</v>
      </c>
      <c r="G241" t="s">
        <v>27</v>
      </c>
      <c r="H241">
        <v>2.71841</v>
      </c>
      <c r="I241" t="s">
        <v>27</v>
      </c>
      <c r="J241">
        <v>63.617251160000002</v>
      </c>
      <c r="K241">
        <v>5.31</v>
      </c>
      <c r="L241" t="s">
        <v>27</v>
      </c>
      <c r="M241" t="s">
        <v>27</v>
      </c>
      <c r="N241" t="e">
        <f>L241*F241</f>
        <v>#VALUE!</v>
      </c>
      <c r="O241" t="e">
        <f>L241*J241</f>
        <v>#VALUE!</v>
      </c>
      <c r="P241" t="e">
        <f>M241-N241-H241</f>
        <v>#VALUE!</v>
      </c>
      <c r="Q241" t="e">
        <f>P241/O241</f>
        <v>#VALUE!</v>
      </c>
      <c r="R241" t="e">
        <f>I241-G241</f>
        <v>#VALUE!</v>
      </c>
      <c r="S241" t="e">
        <f>Q241/R241</f>
        <v>#VALUE!</v>
      </c>
      <c r="T241" t="e">
        <f>S241*10000</f>
        <v>#VALUE!</v>
      </c>
    </row>
    <row r="242" spans="1:20" x14ac:dyDescent="0.3">
      <c r="A242" t="s">
        <v>46</v>
      </c>
      <c r="B242" t="s">
        <v>37</v>
      </c>
      <c r="E242" t="s">
        <v>49</v>
      </c>
      <c r="F242">
        <v>0.45824999999999999</v>
      </c>
      <c r="G242" t="s">
        <v>27</v>
      </c>
      <c r="H242">
        <v>2.6989899999999998</v>
      </c>
      <c r="I242" t="s">
        <v>27</v>
      </c>
      <c r="J242">
        <v>63.617251160000002</v>
      </c>
      <c r="K242">
        <v>5.31</v>
      </c>
      <c r="L242" t="s">
        <v>27</v>
      </c>
      <c r="M242" t="s">
        <v>27</v>
      </c>
      <c r="N242" t="e">
        <f>L242*F242</f>
        <v>#VALUE!</v>
      </c>
      <c r="O242" t="e">
        <f>L242*J242</f>
        <v>#VALUE!</v>
      </c>
      <c r="P242" t="e">
        <f>M242-N242-H242</f>
        <v>#VALUE!</v>
      </c>
      <c r="Q242" t="e">
        <f>P242/O242</f>
        <v>#VALUE!</v>
      </c>
      <c r="R242" t="e">
        <f>I242-G242</f>
        <v>#VALUE!</v>
      </c>
      <c r="S242" t="e">
        <f>Q242/R242</f>
        <v>#VALUE!</v>
      </c>
      <c r="T242" t="e">
        <f>S242*10000</f>
        <v>#VALUE!</v>
      </c>
    </row>
    <row r="243" spans="1:20" x14ac:dyDescent="0.3">
      <c r="A243" t="s">
        <v>46</v>
      </c>
      <c r="B243" t="s">
        <v>37</v>
      </c>
      <c r="E243" t="s">
        <v>50</v>
      </c>
      <c r="F243">
        <v>0.43564999999999998</v>
      </c>
      <c r="G243" t="s">
        <v>27</v>
      </c>
      <c r="H243">
        <v>2.7180599999999999</v>
      </c>
      <c r="I243" t="s">
        <v>27</v>
      </c>
      <c r="J243">
        <v>63.617251160000002</v>
      </c>
      <c r="K243">
        <v>5.31</v>
      </c>
      <c r="L243" t="s">
        <v>27</v>
      </c>
      <c r="M243" t="s">
        <v>27</v>
      </c>
      <c r="N243" t="e">
        <f>L243*F243</f>
        <v>#VALUE!</v>
      </c>
      <c r="O243" t="e">
        <f>L243*J243</f>
        <v>#VALUE!</v>
      </c>
      <c r="P243" t="e">
        <f>M243-N243-H243</f>
        <v>#VALUE!</v>
      </c>
      <c r="Q243" t="e">
        <f>P243/O243</f>
        <v>#VALUE!</v>
      </c>
      <c r="R243" t="e">
        <f>I243-G243</f>
        <v>#VALUE!</v>
      </c>
      <c r="S243" t="e">
        <f>Q243/R243</f>
        <v>#VALUE!</v>
      </c>
      <c r="T243" t="e">
        <f>S243*10000</f>
        <v>#VALUE!</v>
      </c>
    </row>
    <row r="244" spans="1:20" x14ac:dyDescent="0.3">
      <c r="A244" t="s">
        <v>46</v>
      </c>
      <c r="B244" t="s">
        <v>37</v>
      </c>
      <c r="E244" t="s">
        <v>51</v>
      </c>
      <c r="F244">
        <v>0.45684000000000002</v>
      </c>
      <c r="G244" s="1">
        <v>45877</v>
      </c>
      <c r="H244">
        <v>2.7189899999999998</v>
      </c>
      <c r="I244" s="1">
        <v>45908</v>
      </c>
      <c r="J244">
        <v>63.617251160000002</v>
      </c>
      <c r="K244">
        <v>5.31</v>
      </c>
      <c r="L244" t="s">
        <v>27</v>
      </c>
      <c r="M244" t="s">
        <v>27</v>
      </c>
      <c r="N244" t="e">
        <f>L244*F244</f>
        <v>#VALUE!</v>
      </c>
      <c r="O244" t="e">
        <f>L244*J244</f>
        <v>#VALUE!</v>
      </c>
      <c r="P244" t="e">
        <f>M244-N244-H244</f>
        <v>#VALUE!</v>
      </c>
      <c r="Q244" t="e">
        <f>P244/O244</f>
        <v>#VALUE!</v>
      </c>
      <c r="R244">
        <f>I244-G244</f>
        <v>31</v>
      </c>
      <c r="S244" t="e">
        <f>Q244/R244</f>
        <v>#VALUE!</v>
      </c>
      <c r="T244" t="e">
        <f>S244*10000</f>
        <v>#VALUE!</v>
      </c>
    </row>
    <row r="245" spans="1:20" x14ac:dyDescent="0.3">
      <c r="A245" t="s">
        <v>46</v>
      </c>
      <c r="B245" t="s">
        <v>36</v>
      </c>
      <c r="C245">
        <v>1</v>
      </c>
      <c r="D245">
        <v>0.5</v>
      </c>
      <c r="E245" t="s">
        <v>47</v>
      </c>
      <c r="F245">
        <v>0.44513999999999998</v>
      </c>
      <c r="G245" s="1">
        <v>45875</v>
      </c>
      <c r="H245">
        <v>2.6875100000000001</v>
      </c>
      <c r="I245" s="1">
        <v>45906</v>
      </c>
      <c r="J245">
        <v>63.617251160000002</v>
      </c>
      <c r="K245">
        <v>5.31</v>
      </c>
      <c r="L245">
        <v>0.5</v>
      </c>
      <c r="M245">
        <v>4.4427000000000003</v>
      </c>
      <c r="N245">
        <f>L245*F245</f>
        <v>0.22256999999999999</v>
      </c>
      <c r="O245">
        <f>L245*J245</f>
        <v>31.808625580000001</v>
      </c>
      <c r="P245">
        <f>M245-N245-H245</f>
        <v>1.5326200000000001</v>
      </c>
      <c r="Q245">
        <f>P245/O245</f>
        <v>4.8182528231073607E-2</v>
      </c>
      <c r="R245">
        <f>I245-G245</f>
        <v>31</v>
      </c>
      <c r="S245">
        <f>Q245/R245</f>
        <v>1.5542751042281809E-3</v>
      </c>
      <c r="T245">
        <f>S245*10000</f>
        <v>15.542751042281809</v>
      </c>
    </row>
    <row r="246" spans="1:20" x14ac:dyDescent="0.3">
      <c r="A246" t="s">
        <v>46</v>
      </c>
      <c r="B246" t="s">
        <v>36</v>
      </c>
      <c r="C246">
        <v>1</v>
      </c>
      <c r="D246">
        <v>0.5</v>
      </c>
      <c r="E246" t="s">
        <v>23</v>
      </c>
      <c r="F246">
        <v>0.45185999999999998</v>
      </c>
      <c r="G246" s="1">
        <v>45875</v>
      </c>
      <c r="H246">
        <v>2.6588099999999999</v>
      </c>
      <c r="I246" s="1">
        <v>45906</v>
      </c>
      <c r="J246">
        <v>63.617251160000002</v>
      </c>
      <c r="K246">
        <v>5.31</v>
      </c>
      <c r="L246">
        <v>1</v>
      </c>
      <c r="M246">
        <v>4.3596599999999999</v>
      </c>
      <c r="N246">
        <f>L246*F246</f>
        <v>0.45185999999999998</v>
      </c>
      <c r="O246">
        <f>L246*J246</f>
        <v>63.617251160000002</v>
      </c>
      <c r="P246">
        <f>M246-N246-H246</f>
        <v>1.24899</v>
      </c>
      <c r="Q246">
        <f>P246/O246</f>
        <v>1.963288223281982E-2</v>
      </c>
      <c r="R246">
        <f>I246-G246</f>
        <v>31</v>
      </c>
      <c r="S246">
        <f>Q246/R246</f>
        <v>6.3331878170386517E-4</v>
      </c>
      <c r="T246">
        <f>S246*10000</f>
        <v>6.3331878170386515</v>
      </c>
    </row>
    <row r="247" spans="1:20" x14ac:dyDescent="0.3">
      <c r="A247" t="s">
        <v>46</v>
      </c>
      <c r="B247" t="s">
        <v>36</v>
      </c>
      <c r="C247">
        <v>1</v>
      </c>
      <c r="D247">
        <v>0.5</v>
      </c>
      <c r="E247" t="s">
        <v>24</v>
      </c>
      <c r="F247">
        <v>0.45735999999999999</v>
      </c>
      <c r="G247" s="1">
        <v>45875</v>
      </c>
      <c r="H247">
        <v>2.6764000000000001</v>
      </c>
      <c r="I247" s="1">
        <v>45906</v>
      </c>
      <c r="J247">
        <v>63.617251160000002</v>
      </c>
      <c r="K247">
        <v>5.31</v>
      </c>
      <c r="L247">
        <v>1</v>
      </c>
      <c r="M247">
        <v>4.6318999999999999</v>
      </c>
      <c r="N247">
        <f>L247*F247</f>
        <v>0.45735999999999999</v>
      </c>
      <c r="O247">
        <f>L247*J247</f>
        <v>63.617251160000002</v>
      </c>
      <c r="P247">
        <f>M247-N247-H247</f>
        <v>1.4981400000000002</v>
      </c>
      <c r="Q247">
        <f>P247/O247</f>
        <v>2.3549272763013863E-2</v>
      </c>
      <c r="R247">
        <f>I247-G247</f>
        <v>31</v>
      </c>
      <c r="S247">
        <f>Q247/R247</f>
        <v>7.5965396009722145E-4</v>
      </c>
      <c r="T247">
        <f>S247*10000</f>
        <v>7.5965396009722141</v>
      </c>
    </row>
    <row r="248" spans="1:20" x14ac:dyDescent="0.3">
      <c r="A248" t="s">
        <v>46</v>
      </c>
      <c r="B248" t="s">
        <v>36</v>
      </c>
      <c r="C248">
        <v>1</v>
      </c>
      <c r="D248">
        <v>2</v>
      </c>
      <c r="E248" t="s">
        <v>47</v>
      </c>
      <c r="F248">
        <v>0.45318000000000003</v>
      </c>
      <c r="G248" s="1">
        <v>45875</v>
      </c>
      <c r="H248">
        <v>2.669</v>
      </c>
      <c r="I248" s="1">
        <v>45906</v>
      </c>
      <c r="J248">
        <v>63.617251160000002</v>
      </c>
      <c r="K248">
        <v>5.31</v>
      </c>
      <c r="L248">
        <v>1</v>
      </c>
      <c r="M248">
        <v>3.59707</v>
      </c>
      <c r="N248">
        <f>L248*F248</f>
        <v>0.45318000000000003</v>
      </c>
      <c r="O248">
        <f>L248*J248</f>
        <v>63.617251160000002</v>
      </c>
      <c r="P248">
        <f>M248-N248-H248</f>
        <v>0.47488999999999981</v>
      </c>
      <c r="Q248">
        <f>P248/O248</f>
        <v>7.4647991125179544E-3</v>
      </c>
      <c r="R248">
        <f>I248-G248</f>
        <v>31</v>
      </c>
      <c r="S248">
        <f>Q248/R248</f>
        <v>2.4079997137154693E-4</v>
      </c>
      <c r="T248">
        <f>S248*10000</f>
        <v>2.4079997137154692</v>
      </c>
    </row>
    <row r="249" spans="1:20" x14ac:dyDescent="0.3">
      <c r="A249" t="s">
        <v>46</v>
      </c>
      <c r="B249" t="s">
        <v>36</v>
      </c>
      <c r="C249">
        <v>1</v>
      </c>
      <c r="D249">
        <v>2</v>
      </c>
      <c r="E249" t="s">
        <v>23</v>
      </c>
      <c r="F249">
        <v>0.45638000000000001</v>
      </c>
      <c r="G249" s="1">
        <v>45875</v>
      </c>
      <c r="H249">
        <v>2.6771799999999999</v>
      </c>
      <c r="I249" s="1">
        <v>45906</v>
      </c>
      <c r="J249">
        <v>63.617251160000002</v>
      </c>
      <c r="K249">
        <v>5.31</v>
      </c>
      <c r="L249">
        <v>1</v>
      </c>
      <c r="M249">
        <v>7.9113499999999997</v>
      </c>
      <c r="N249">
        <f>L249*F249</f>
        <v>0.45638000000000001</v>
      </c>
      <c r="O249">
        <f>L249*J249</f>
        <v>63.617251160000002</v>
      </c>
      <c r="P249">
        <f>M249-N249-H249</f>
        <v>4.7777899999999995</v>
      </c>
      <c r="Q249">
        <f>P249/O249</f>
        <v>7.5102113230005194E-2</v>
      </c>
      <c r="R249">
        <f>I249-G249</f>
        <v>31</v>
      </c>
      <c r="S249">
        <f>Q249/R249</f>
        <v>2.4226488138711353E-3</v>
      </c>
      <c r="T249">
        <f>S249*10000</f>
        <v>24.226488138711353</v>
      </c>
    </row>
    <row r="250" spans="1:20" x14ac:dyDescent="0.3">
      <c r="A250" t="s">
        <v>46</v>
      </c>
      <c r="B250" t="s">
        <v>36</v>
      </c>
      <c r="C250">
        <v>1</v>
      </c>
      <c r="D250">
        <v>2</v>
      </c>
      <c r="E250" t="s">
        <v>24</v>
      </c>
      <c r="F250">
        <v>0.45240000000000002</v>
      </c>
      <c r="G250" s="1">
        <v>45875</v>
      </c>
      <c r="H250">
        <v>2.6756500000000001</v>
      </c>
      <c r="I250" s="1">
        <v>45906</v>
      </c>
      <c r="J250">
        <v>63.617251160000002</v>
      </c>
      <c r="K250">
        <v>2.6549999999999998</v>
      </c>
      <c r="L250">
        <v>1</v>
      </c>
      <c r="M250">
        <v>10.358359999999999</v>
      </c>
      <c r="N250">
        <f>L250*F250</f>
        <v>0.45240000000000002</v>
      </c>
      <c r="O250">
        <f>L250*J250</f>
        <v>63.617251160000002</v>
      </c>
      <c r="P250">
        <f>M250-N250-H250</f>
        <v>7.2303099999999985</v>
      </c>
      <c r="Q250">
        <f>P250/O250</f>
        <v>0.11365329164907599</v>
      </c>
      <c r="R250">
        <f>I250-G250</f>
        <v>31</v>
      </c>
      <c r="S250">
        <f>Q250/R250</f>
        <v>3.6662352144863223E-3</v>
      </c>
      <c r="T250">
        <f>S250*10000</f>
        <v>36.66235214486322</v>
      </c>
    </row>
    <row r="251" spans="1:20" x14ac:dyDescent="0.3">
      <c r="A251" t="s">
        <v>46</v>
      </c>
      <c r="B251" t="s">
        <v>36</v>
      </c>
      <c r="C251">
        <v>1</v>
      </c>
      <c r="D251">
        <v>6</v>
      </c>
      <c r="E251" t="s">
        <v>47</v>
      </c>
      <c r="F251">
        <v>0.45702999999999999</v>
      </c>
      <c r="G251" s="1">
        <v>45875</v>
      </c>
      <c r="H251">
        <v>2.6838600000000001</v>
      </c>
      <c r="I251" s="1">
        <v>45906</v>
      </c>
      <c r="J251">
        <v>63.617251160000002</v>
      </c>
      <c r="K251">
        <v>2.6549999999999998</v>
      </c>
      <c r="L251">
        <v>1</v>
      </c>
      <c r="M251">
        <v>5.0293000000000001</v>
      </c>
      <c r="N251">
        <f>L251*F251</f>
        <v>0.45702999999999999</v>
      </c>
      <c r="O251">
        <f>L251*J251</f>
        <v>63.617251160000002</v>
      </c>
      <c r="P251">
        <f>M251-N251-H251</f>
        <v>1.8884100000000004</v>
      </c>
      <c r="Q251">
        <f>P251/O251</f>
        <v>2.9683929524879527E-2</v>
      </c>
      <c r="R251">
        <f>I251-G251</f>
        <v>31</v>
      </c>
      <c r="S251">
        <f>Q251/R251</f>
        <v>9.5754611370579118E-4</v>
      </c>
      <c r="T251">
        <f>S251*10000</f>
        <v>9.5754611370579124</v>
      </c>
    </row>
    <row r="252" spans="1:20" x14ac:dyDescent="0.3">
      <c r="A252" t="s">
        <v>46</v>
      </c>
      <c r="B252" t="s">
        <v>36</v>
      </c>
      <c r="C252">
        <v>1</v>
      </c>
      <c r="D252">
        <v>6</v>
      </c>
      <c r="E252" t="s">
        <v>23</v>
      </c>
      <c r="F252">
        <v>0.45207999999999998</v>
      </c>
      <c r="G252" s="1">
        <v>45875</v>
      </c>
      <c r="H252">
        <v>2.6872600000000002</v>
      </c>
      <c r="I252" s="1">
        <v>45906</v>
      </c>
      <c r="J252">
        <v>63.617251160000002</v>
      </c>
      <c r="K252">
        <v>5.31</v>
      </c>
      <c r="L252">
        <v>1</v>
      </c>
      <c r="M252">
        <v>3.9653499999999999</v>
      </c>
      <c r="N252">
        <f>L252*F252</f>
        <v>0.45207999999999998</v>
      </c>
      <c r="O252">
        <f>L252*J252</f>
        <v>63.617251160000002</v>
      </c>
      <c r="P252">
        <f>M252-N252-H252</f>
        <v>0.82600999999999969</v>
      </c>
      <c r="Q252">
        <f>P252/O252</f>
        <v>1.298405676036757E-2</v>
      </c>
      <c r="R252">
        <f>I252-G252</f>
        <v>31</v>
      </c>
      <c r="S252">
        <f>Q252/R252</f>
        <v>4.1884054065701836E-4</v>
      </c>
      <c r="T252">
        <f>S252*10000</f>
        <v>4.1884054065701832</v>
      </c>
    </row>
    <row r="253" spans="1:20" x14ac:dyDescent="0.3">
      <c r="A253" t="s">
        <v>46</v>
      </c>
      <c r="B253" t="s">
        <v>36</v>
      </c>
      <c r="C253">
        <v>1</v>
      </c>
      <c r="D253">
        <v>6</v>
      </c>
      <c r="E253" t="s">
        <v>24</v>
      </c>
      <c r="F253">
        <v>0.45710000000000001</v>
      </c>
      <c r="G253" s="1">
        <v>45875</v>
      </c>
      <c r="H253">
        <v>2.66818</v>
      </c>
      <c r="I253" s="1">
        <v>45906</v>
      </c>
      <c r="J253">
        <v>63.617251160000002</v>
      </c>
      <c r="K253">
        <v>5.31</v>
      </c>
      <c r="L253">
        <v>1</v>
      </c>
      <c r="M253">
        <v>4.6477199999999996</v>
      </c>
      <c r="N253">
        <f>L253*F253</f>
        <v>0.45710000000000001</v>
      </c>
      <c r="O253">
        <f>L253*J253</f>
        <v>63.617251160000002</v>
      </c>
      <c r="P253">
        <f>M253-N253-H253</f>
        <v>1.52244</v>
      </c>
      <c r="Q253">
        <f>P253/O253</f>
        <v>2.3931244626885888E-2</v>
      </c>
      <c r="R253">
        <f>I253-G253</f>
        <v>31</v>
      </c>
      <c r="S253">
        <f>Q253/R253</f>
        <v>7.7197563312535124E-4</v>
      </c>
      <c r="T253">
        <f>S253*10000</f>
        <v>7.719756331253512</v>
      </c>
    </row>
    <row r="254" spans="1:20" x14ac:dyDescent="0.3">
      <c r="A254" t="s">
        <v>46</v>
      </c>
      <c r="B254" t="s">
        <v>36</v>
      </c>
      <c r="C254">
        <v>1</v>
      </c>
      <c r="D254">
        <v>12</v>
      </c>
      <c r="E254" t="s">
        <v>47</v>
      </c>
      <c r="F254">
        <v>0.45782</v>
      </c>
      <c r="G254" s="1">
        <v>45875</v>
      </c>
      <c r="H254">
        <v>2.6679599999999999</v>
      </c>
      <c r="I254" s="1">
        <v>45906</v>
      </c>
      <c r="J254">
        <v>63.617251160000002</v>
      </c>
      <c r="K254">
        <v>5.31</v>
      </c>
      <c r="L254">
        <v>1</v>
      </c>
      <c r="M254">
        <v>4.6015199999999998</v>
      </c>
      <c r="N254">
        <f>L254*F254</f>
        <v>0.45782</v>
      </c>
      <c r="O254">
        <f>L254*J254</f>
        <v>63.617251160000002</v>
      </c>
      <c r="P254">
        <f>M254-N254-H254</f>
        <v>1.4757400000000001</v>
      </c>
      <c r="Q254">
        <f>P254/O254</f>
        <v>2.3197167011954876E-2</v>
      </c>
      <c r="R254">
        <f>I254-G254</f>
        <v>31</v>
      </c>
      <c r="S254">
        <f>Q254/R254</f>
        <v>7.4829571006306049E-4</v>
      </c>
      <c r="T254">
        <f>S254*10000</f>
        <v>7.482957100630605</v>
      </c>
    </row>
    <row r="255" spans="1:20" x14ac:dyDescent="0.3">
      <c r="A255" t="s">
        <v>46</v>
      </c>
      <c r="B255" t="s">
        <v>36</v>
      </c>
      <c r="C255">
        <v>1</v>
      </c>
      <c r="D255">
        <v>12</v>
      </c>
      <c r="E255" t="s">
        <v>23</v>
      </c>
      <c r="F255">
        <v>0.45168000000000003</v>
      </c>
      <c r="G255" s="1">
        <v>45875</v>
      </c>
      <c r="H255">
        <v>2.6720199999999998</v>
      </c>
      <c r="I255" s="1">
        <v>45906</v>
      </c>
      <c r="J255">
        <v>63.617251160000002</v>
      </c>
      <c r="K255">
        <v>5.31</v>
      </c>
      <c r="L255">
        <v>1</v>
      </c>
      <c r="M255">
        <v>4.4668299999999999</v>
      </c>
      <c r="N255">
        <f>L255*F255</f>
        <v>0.45168000000000003</v>
      </c>
      <c r="O255">
        <f>L255*J255</f>
        <v>63.617251160000002</v>
      </c>
      <c r="P255">
        <f>M255-N255-H255</f>
        <v>1.3431300000000004</v>
      </c>
      <c r="Q255">
        <f>P255/O255</f>
        <v>2.1112669527672191E-2</v>
      </c>
      <c r="R255">
        <f>I255-G255</f>
        <v>31</v>
      </c>
      <c r="S255">
        <f>Q255/R255</f>
        <v>6.8105385573136103E-4</v>
      </c>
      <c r="T255">
        <f>S255*10000</f>
        <v>6.8105385573136106</v>
      </c>
    </row>
    <row r="256" spans="1:20" x14ac:dyDescent="0.3">
      <c r="A256" t="s">
        <v>46</v>
      </c>
      <c r="B256" t="s">
        <v>36</v>
      </c>
      <c r="C256">
        <v>1</v>
      </c>
      <c r="D256">
        <v>12</v>
      </c>
      <c r="E256" t="s">
        <v>24</v>
      </c>
      <c r="F256">
        <v>0.45783000000000001</v>
      </c>
      <c r="G256" s="1">
        <v>45875</v>
      </c>
      <c r="H256">
        <v>2.6740599999999999</v>
      </c>
      <c r="I256" s="1">
        <v>45906</v>
      </c>
      <c r="J256">
        <v>63.617251160000002</v>
      </c>
      <c r="K256">
        <v>5.31</v>
      </c>
      <c r="L256">
        <v>1</v>
      </c>
      <c r="M256">
        <v>4.3415400000000002</v>
      </c>
      <c r="N256">
        <f>L256*F256</f>
        <v>0.45783000000000001</v>
      </c>
      <c r="O256">
        <f>L256*J256</f>
        <v>63.617251160000002</v>
      </c>
      <c r="P256">
        <f>M256-N256-H256</f>
        <v>1.2096500000000003</v>
      </c>
      <c r="Q256">
        <f>P256/O256</f>
        <v>1.9014496507522478E-2</v>
      </c>
      <c r="R256">
        <f>I256-G256</f>
        <v>31</v>
      </c>
      <c r="S256">
        <f>Q256/R256</f>
        <v>6.133708550813702E-4</v>
      </c>
      <c r="T256">
        <f>S256*10000</f>
        <v>6.1337085508137017</v>
      </c>
    </row>
    <row r="257" spans="1:20" x14ac:dyDescent="0.3">
      <c r="A257" t="s">
        <v>46</v>
      </c>
      <c r="B257" t="s">
        <v>36</v>
      </c>
      <c r="C257">
        <v>1</v>
      </c>
      <c r="D257">
        <v>24</v>
      </c>
      <c r="E257" t="s">
        <v>22</v>
      </c>
      <c r="F257">
        <v>0.45129999999999998</v>
      </c>
      <c r="G257" s="1">
        <v>45875</v>
      </c>
      <c r="H257">
        <v>2.6952799999999999</v>
      </c>
      <c r="I257" s="1">
        <v>45906</v>
      </c>
      <c r="J257">
        <v>63.617251160000002</v>
      </c>
      <c r="K257">
        <v>5.31</v>
      </c>
      <c r="L257">
        <v>1</v>
      </c>
      <c r="M257">
        <v>3.8041399999999999</v>
      </c>
      <c r="N257">
        <f>L257*F257</f>
        <v>0.45129999999999998</v>
      </c>
      <c r="O257">
        <f>L257*J257</f>
        <v>63.617251160000002</v>
      </c>
      <c r="P257">
        <f>M257-N257-H257</f>
        <v>0.65756000000000014</v>
      </c>
      <c r="Q257">
        <f>P257/O257</f>
        <v>1.033619007439051E-2</v>
      </c>
      <c r="R257">
        <f>I257-G257</f>
        <v>31</v>
      </c>
      <c r="S257">
        <f>Q257/R257</f>
        <v>3.3342548627066158E-4</v>
      </c>
      <c r="T257">
        <f>S257*10000</f>
        <v>3.334254862706616</v>
      </c>
    </row>
    <row r="258" spans="1:20" x14ac:dyDescent="0.3">
      <c r="A258" t="s">
        <v>46</v>
      </c>
      <c r="B258" t="s">
        <v>36</v>
      </c>
      <c r="C258">
        <v>1</v>
      </c>
      <c r="D258">
        <v>24</v>
      </c>
      <c r="E258" t="s">
        <v>23</v>
      </c>
      <c r="F258">
        <v>0.45629999999999998</v>
      </c>
      <c r="G258" s="1">
        <v>45875</v>
      </c>
      <c r="H258">
        <v>2.7040700000000002</v>
      </c>
      <c r="I258" s="1">
        <v>45906</v>
      </c>
      <c r="J258">
        <v>63.617251160000002</v>
      </c>
      <c r="K258">
        <v>5.31</v>
      </c>
      <c r="L258">
        <v>1</v>
      </c>
      <c r="M258">
        <v>3.6439699999999999</v>
      </c>
      <c r="N258">
        <f>L258*F258</f>
        <v>0.45629999999999998</v>
      </c>
      <c r="O258">
        <f>L258*J258</f>
        <v>63.617251160000002</v>
      </c>
      <c r="P258">
        <f>M258-N258-H258</f>
        <v>0.48359999999999959</v>
      </c>
      <c r="Q258">
        <f>P258/O258</f>
        <v>7.6017116612556194E-3</v>
      </c>
      <c r="R258">
        <f>I258-G258</f>
        <v>31</v>
      </c>
      <c r="S258">
        <f>Q258/R258</f>
        <v>2.4521650520179417E-4</v>
      </c>
      <c r="T258">
        <f>S258*10000</f>
        <v>2.4521650520179419</v>
      </c>
    </row>
    <row r="259" spans="1:20" x14ac:dyDescent="0.3">
      <c r="A259" t="s">
        <v>46</v>
      </c>
      <c r="B259" t="s">
        <v>36</v>
      </c>
      <c r="C259">
        <v>1</v>
      </c>
      <c r="D259">
        <v>24</v>
      </c>
      <c r="E259" t="s">
        <v>24</v>
      </c>
      <c r="F259">
        <v>0.45341999999999999</v>
      </c>
      <c r="G259" s="1">
        <v>45875</v>
      </c>
      <c r="H259">
        <v>2.7300499999999999</v>
      </c>
      <c r="I259" s="1">
        <v>45906</v>
      </c>
      <c r="J259">
        <v>63.617251160000002</v>
      </c>
      <c r="K259">
        <v>5.31</v>
      </c>
      <c r="L259">
        <v>1</v>
      </c>
      <c r="M259">
        <v>3.7592599999999998</v>
      </c>
      <c r="N259">
        <f>L259*F259</f>
        <v>0.45341999999999999</v>
      </c>
      <c r="O259">
        <f>L259*J259</f>
        <v>63.617251160000002</v>
      </c>
      <c r="P259">
        <f>M259-N259-H259</f>
        <v>0.57579000000000002</v>
      </c>
      <c r="Q259">
        <f>P259/O259</f>
        <v>9.050846892957768E-3</v>
      </c>
      <c r="R259">
        <f>I259-G259</f>
        <v>31</v>
      </c>
      <c r="S259">
        <f>Q259/R259</f>
        <v>2.9196280299863768E-4</v>
      </c>
      <c r="T259">
        <f>S259*10000</f>
        <v>2.9196280299863768</v>
      </c>
    </row>
    <row r="260" spans="1:20" x14ac:dyDescent="0.3">
      <c r="A260" t="s">
        <v>46</v>
      </c>
      <c r="B260" t="s">
        <v>36</v>
      </c>
      <c r="C260">
        <v>1</v>
      </c>
      <c r="D260">
        <v>48</v>
      </c>
      <c r="E260" t="s">
        <v>47</v>
      </c>
      <c r="F260">
        <v>0.45839999999999997</v>
      </c>
      <c r="G260" s="1">
        <v>45875</v>
      </c>
      <c r="H260">
        <v>2.66784</v>
      </c>
      <c r="I260" s="1">
        <v>45906</v>
      </c>
      <c r="J260">
        <v>63.617251160000002</v>
      </c>
      <c r="K260">
        <v>5.31</v>
      </c>
      <c r="L260">
        <v>1</v>
      </c>
      <c r="M260">
        <v>3.5594199999999998</v>
      </c>
      <c r="N260">
        <f>L260*F260</f>
        <v>0.45839999999999997</v>
      </c>
      <c r="O260">
        <f>L260*J260</f>
        <v>63.617251160000002</v>
      </c>
      <c r="P260">
        <f>M260-N260-H260</f>
        <v>0.43317999999999968</v>
      </c>
      <c r="Q260">
        <f>P260/O260</f>
        <v>6.8091593412380261E-3</v>
      </c>
      <c r="R260">
        <f>I260-G260</f>
        <v>31</v>
      </c>
      <c r="S260">
        <f>Q260/R260</f>
        <v>2.1965030133025889E-4</v>
      </c>
      <c r="T260">
        <f>S260*10000</f>
        <v>2.1965030133025891</v>
      </c>
    </row>
    <row r="261" spans="1:20" x14ac:dyDescent="0.3">
      <c r="A261" t="s">
        <v>46</v>
      </c>
      <c r="B261" t="s">
        <v>36</v>
      </c>
      <c r="C261">
        <v>1</v>
      </c>
      <c r="D261">
        <v>48</v>
      </c>
      <c r="E261" t="s">
        <v>23</v>
      </c>
      <c r="F261">
        <v>0.45935999999999999</v>
      </c>
      <c r="G261" s="1">
        <v>45875</v>
      </c>
      <c r="H261">
        <v>2.7059500000000001</v>
      </c>
      <c r="I261" s="1">
        <v>45906</v>
      </c>
      <c r="J261">
        <v>63.617251160000002</v>
      </c>
      <c r="K261">
        <v>5.31</v>
      </c>
      <c r="L261">
        <v>1</v>
      </c>
      <c r="M261">
        <v>3.5677699999999999</v>
      </c>
      <c r="N261">
        <f>L261*F261</f>
        <v>0.45935999999999999</v>
      </c>
      <c r="O261">
        <f>L261*J261</f>
        <v>63.617251160000002</v>
      </c>
      <c r="P261">
        <f>M261-N261-H261</f>
        <v>0.40246000000000004</v>
      </c>
      <c r="Q261">
        <f>P261/O261</f>
        <v>6.3262714540714216E-3</v>
      </c>
      <c r="R261">
        <f>I261-G261</f>
        <v>31</v>
      </c>
      <c r="S261">
        <f>Q261/R261</f>
        <v>2.0407327271198134E-4</v>
      </c>
      <c r="T261">
        <f>S261*10000</f>
        <v>2.0407327271198135</v>
      </c>
    </row>
    <row r="262" spans="1:20" x14ac:dyDescent="0.3">
      <c r="A262" t="s">
        <v>46</v>
      </c>
      <c r="B262" t="s">
        <v>36</v>
      </c>
      <c r="C262">
        <v>1</v>
      </c>
      <c r="D262">
        <v>48</v>
      </c>
      <c r="E262" t="s">
        <v>24</v>
      </c>
      <c r="F262">
        <v>0.45208999999999999</v>
      </c>
      <c r="G262" s="1">
        <v>45875</v>
      </c>
      <c r="H262">
        <v>2.67659</v>
      </c>
      <c r="I262" s="1">
        <v>45906</v>
      </c>
      <c r="J262">
        <v>63.617251160000002</v>
      </c>
      <c r="K262">
        <v>5.31</v>
      </c>
      <c r="L262">
        <v>1</v>
      </c>
      <c r="M262">
        <v>3.45662</v>
      </c>
      <c r="N262">
        <f>L262*F262</f>
        <v>0.45208999999999999</v>
      </c>
      <c r="O262">
        <f>L262*J262</f>
        <v>63.617251160000002</v>
      </c>
      <c r="P262">
        <f>M262-N262-H262</f>
        <v>0.3279399999999999</v>
      </c>
      <c r="Q262">
        <f>P262/O262</f>
        <v>5.1548910715305402E-3</v>
      </c>
      <c r="R262">
        <f>I262-G262</f>
        <v>31</v>
      </c>
      <c r="S262">
        <f>Q262/R262</f>
        <v>1.6628680875904969E-4</v>
      </c>
      <c r="T262">
        <f>S262*10000</f>
        <v>1.6628680875904969</v>
      </c>
    </row>
    <row r="263" spans="1:20" x14ac:dyDescent="0.3">
      <c r="A263" t="s">
        <v>46</v>
      </c>
      <c r="B263" t="s">
        <v>36</v>
      </c>
      <c r="C263">
        <v>2</v>
      </c>
      <c r="D263">
        <v>0.5</v>
      </c>
      <c r="E263" t="s">
        <v>47</v>
      </c>
      <c r="F263">
        <v>0.45795999999999998</v>
      </c>
      <c r="G263" s="1">
        <v>45875</v>
      </c>
      <c r="H263">
        <v>2.6748799999999999</v>
      </c>
      <c r="I263" s="1">
        <v>45906</v>
      </c>
      <c r="J263">
        <v>63.617251160000002</v>
      </c>
      <c r="K263">
        <v>5.31</v>
      </c>
      <c r="L263">
        <v>0</v>
      </c>
      <c r="M263">
        <v>118.8</v>
      </c>
      <c r="N263">
        <f>L263*F263</f>
        <v>0</v>
      </c>
      <c r="O263">
        <f>L263*J263</f>
        <v>0</v>
      </c>
      <c r="P263">
        <f>M263-N263-H263</f>
        <v>116.12512</v>
      </c>
      <c r="Q263" t="e">
        <f>P263/O263</f>
        <v>#DIV/0!</v>
      </c>
      <c r="R263">
        <f>I263-G263</f>
        <v>31</v>
      </c>
      <c r="S263" t="e">
        <f>Q263/R263</f>
        <v>#DIV/0!</v>
      </c>
      <c r="T263" t="e">
        <f>S263*10000</f>
        <v>#DIV/0!</v>
      </c>
    </row>
    <row r="264" spans="1:20" x14ac:dyDescent="0.3">
      <c r="A264" t="s">
        <v>46</v>
      </c>
      <c r="B264" t="s">
        <v>36</v>
      </c>
      <c r="C264">
        <v>2</v>
      </c>
      <c r="D264">
        <v>0.5</v>
      </c>
      <c r="E264" t="s">
        <v>23</v>
      </c>
      <c r="F264">
        <v>0.45434000000000002</v>
      </c>
      <c r="G264" s="1">
        <v>45875</v>
      </c>
      <c r="H264">
        <v>2.6680999999999999</v>
      </c>
      <c r="I264" s="1">
        <v>45906</v>
      </c>
      <c r="J264">
        <v>63.617251160000002</v>
      </c>
      <c r="K264">
        <v>5.31</v>
      </c>
      <c r="L264">
        <v>1</v>
      </c>
      <c r="M264">
        <v>101.37949999999999</v>
      </c>
      <c r="N264">
        <f>L264*F264</f>
        <v>0.45434000000000002</v>
      </c>
      <c r="O264">
        <f>L264*J264</f>
        <v>63.617251160000002</v>
      </c>
      <c r="P264">
        <f>M264-N264-H264</f>
        <v>98.257059999999996</v>
      </c>
      <c r="Q264">
        <f>P264/O264</f>
        <v>1.544503388756604</v>
      </c>
      <c r="R264">
        <f>I264-G264</f>
        <v>31</v>
      </c>
      <c r="S264">
        <f>Q264/R264</f>
        <v>4.9822689959890448E-2</v>
      </c>
      <c r="T264">
        <f>S264*10000</f>
        <v>498.22689959890448</v>
      </c>
    </row>
    <row r="265" spans="1:20" x14ac:dyDescent="0.3">
      <c r="A265" t="s">
        <v>46</v>
      </c>
      <c r="B265" t="s">
        <v>36</v>
      </c>
      <c r="C265">
        <v>2</v>
      </c>
      <c r="D265">
        <v>0.5</v>
      </c>
      <c r="E265" t="s">
        <v>24</v>
      </c>
      <c r="F265">
        <v>0.45937</v>
      </c>
      <c r="G265" s="1">
        <v>45875</v>
      </c>
      <c r="H265">
        <v>2.6933099999999999</v>
      </c>
      <c r="I265" s="1">
        <v>45906</v>
      </c>
      <c r="J265">
        <v>63.617251160000002</v>
      </c>
      <c r="K265">
        <v>5.31</v>
      </c>
      <c r="L265">
        <v>1</v>
      </c>
      <c r="M265">
        <v>77.093900000000005</v>
      </c>
      <c r="N265">
        <f>L265*F265</f>
        <v>0.45937</v>
      </c>
      <c r="O265">
        <f>L265*J265</f>
        <v>63.617251160000002</v>
      </c>
      <c r="P265">
        <f>M265-N265-H265</f>
        <v>73.941220000000001</v>
      </c>
      <c r="Q265">
        <f>P265/O265</f>
        <v>1.162282535817758</v>
      </c>
      <c r="R265">
        <f>I265-G265</f>
        <v>31</v>
      </c>
      <c r="S265">
        <f>Q265/R265</f>
        <v>3.7492985026379287E-2</v>
      </c>
      <c r="T265">
        <f>S265*10000</f>
        <v>374.92985026379284</v>
      </c>
    </row>
    <row r="266" spans="1:20" x14ac:dyDescent="0.3">
      <c r="A266" t="s">
        <v>46</v>
      </c>
      <c r="B266" t="s">
        <v>36</v>
      </c>
      <c r="C266">
        <v>2</v>
      </c>
      <c r="D266">
        <v>2</v>
      </c>
      <c r="E266" t="s">
        <v>47</v>
      </c>
      <c r="F266">
        <v>0.45445999999999998</v>
      </c>
      <c r="G266" s="1">
        <v>45875</v>
      </c>
      <c r="H266">
        <v>2.6722100000000002</v>
      </c>
      <c r="I266" s="1">
        <v>45906</v>
      </c>
      <c r="J266">
        <v>63.617251160000002</v>
      </c>
      <c r="K266">
        <v>5.31</v>
      </c>
      <c r="L266">
        <v>1</v>
      </c>
      <c r="M266">
        <v>99.925899999999999</v>
      </c>
      <c r="N266">
        <f>L266*F266</f>
        <v>0.45445999999999998</v>
      </c>
      <c r="O266">
        <f>L266*J266</f>
        <v>63.617251160000002</v>
      </c>
      <c r="P266">
        <f>M266-N266-H266</f>
        <v>96.799229999999994</v>
      </c>
      <c r="Q266">
        <f>P266/O266</f>
        <v>1.5215877491554288</v>
      </c>
      <c r="R266">
        <f>I266-G266</f>
        <v>31</v>
      </c>
      <c r="S266">
        <f>Q266/R266</f>
        <v>4.9083475779207381E-2</v>
      </c>
      <c r="T266">
        <f>S266*10000</f>
        <v>490.83475779207379</v>
      </c>
    </row>
    <row r="267" spans="1:20" x14ac:dyDescent="0.3">
      <c r="A267" t="s">
        <v>46</v>
      </c>
      <c r="B267" t="s">
        <v>36</v>
      </c>
      <c r="C267">
        <v>2</v>
      </c>
      <c r="D267">
        <v>2</v>
      </c>
      <c r="E267" t="s">
        <v>23</v>
      </c>
      <c r="F267">
        <v>0.45948</v>
      </c>
      <c r="G267" s="1">
        <v>45875</v>
      </c>
      <c r="H267">
        <v>2.6869000000000001</v>
      </c>
      <c r="I267" s="1">
        <v>45906</v>
      </c>
      <c r="J267">
        <v>63.617251160000002</v>
      </c>
      <c r="K267">
        <v>5.31</v>
      </c>
      <c r="L267">
        <v>1</v>
      </c>
      <c r="M267">
        <v>113.16</v>
      </c>
      <c r="N267">
        <f>L267*F267</f>
        <v>0.45948</v>
      </c>
      <c r="O267">
        <f>L267*J267</f>
        <v>63.617251160000002</v>
      </c>
      <c r="P267">
        <f>M267-N267-H267</f>
        <v>110.01362</v>
      </c>
      <c r="Q267">
        <f>P267/O267</f>
        <v>1.7293048346793738</v>
      </c>
      <c r="R267">
        <f>I267-G267</f>
        <v>31</v>
      </c>
      <c r="S267">
        <f>Q267/R267</f>
        <v>5.5784026925141089E-2</v>
      </c>
      <c r="T267">
        <f>S267*10000</f>
        <v>557.84026925141086</v>
      </c>
    </row>
    <row r="268" spans="1:20" x14ac:dyDescent="0.3">
      <c r="A268" t="s">
        <v>46</v>
      </c>
      <c r="B268" t="s">
        <v>36</v>
      </c>
      <c r="C268">
        <v>2</v>
      </c>
      <c r="D268">
        <v>2</v>
      </c>
      <c r="E268" t="s">
        <v>24</v>
      </c>
      <c r="F268">
        <v>0.45695999999999998</v>
      </c>
      <c r="G268" s="1">
        <v>45875</v>
      </c>
      <c r="H268">
        <v>2.6733199999999999</v>
      </c>
      <c r="I268" s="1">
        <v>45906</v>
      </c>
      <c r="J268">
        <v>63.617251160000002</v>
      </c>
      <c r="K268">
        <v>5.31</v>
      </c>
      <c r="L268">
        <v>1</v>
      </c>
      <c r="M268">
        <v>149.47</v>
      </c>
      <c r="N268">
        <f>L268*F268</f>
        <v>0.45695999999999998</v>
      </c>
      <c r="O268">
        <f>L268*J268</f>
        <v>63.617251160000002</v>
      </c>
      <c r="P268">
        <f>M268-N268-H268</f>
        <v>146.33972</v>
      </c>
      <c r="Q268">
        <f>P268/O268</f>
        <v>2.3003150455518675</v>
      </c>
      <c r="R268">
        <f>I268-G268</f>
        <v>31</v>
      </c>
      <c r="S268">
        <f>Q268/R268</f>
        <v>7.4203711146834439E-2</v>
      </c>
      <c r="T268">
        <f>S268*10000</f>
        <v>742.03711146834439</v>
      </c>
    </row>
    <row r="269" spans="1:20" x14ac:dyDescent="0.3">
      <c r="A269" t="s">
        <v>46</v>
      </c>
      <c r="B269" t="s">
        <v>36</v>
      </c>
      <c r="C269">
        <v>2</v>
      </c>
      <c r="D269">
        <v>6</v>
      </c>
      <c r="E269" t="s">
        <v>47</v>
      </c>
      <c r="F269">
        <v>0.45596999999999999</v>
      </c>
      <c r="G269" s="1">
        <v>45875</v>
      </c>
      <c r="H269">
        <v>2.66126</v>
      </c>
      <c r="I269" s="1">
        <v>45906</v>
      </c>
      <c r="J269">
        <v>63.617251160000002</v>
      </c>
      <c r="K269">
        <v>5.31</v>
      </c>
      <c r="L269">
        <v>1</v>
      </c>
      <c r="M269">
        <v>5.6324699999999996</v>
      </c>
      <c r="N269">
        <f>L269*F269</f>
        <v>0.45596999999999999</v>
      </c>
      <c r="O269">
        <f>L269*J269</f>
        <v>63.617251160000002</v>
      </c>
      <c r="P269">
        <f>M269-N269-H269</f>
        <v>2.5152399999999999</v>
      </c>
      <c r="Q269">
        <f>P269/O269</f>
        <v>3.9537074522035982E-2</v>
      </c>
      <c r="R269">
        <f>I269-G269</f>
        <v>31</v>
      </c>
      <c r="S269">
        <f>Q269/R269</f>
        <v>1.2753895007108381E-3</v>
      </c>
      <c r="T269">
        <f>S269*10000</f>
        <v>12.753895007108381</v>
      </c>
    </row>
    <row r="270" spans="1:20" x14ac:dyDescent="0.3">
      <c r="A270" t="s">
        <v>46</v>
      </c>
      <c r="B270" t="s">
        <v>36</v>
      </c>
      <c r="C270">
        <v>2</v>
      </c>
      <c r="D270">
        <v>6</v>
      </c>
      <c r="E270" t="s">
        <v>23</v>
      </c>
      <c r="F270">
        <v>0.45680999999999999</v>
      </c>
      <c r="G270" s="1">
        <v>45875</v>
      </c>
      <c r="H270">
        <v>2.7137199999999999</v>
      </c>
      <c r="I270" s="1">
        <v>45906</v>
      </c>
      <c r="J270">
        <v>63.617251160000002</v>
      </c>
      <c r="K270">
        <v>5.31</v>
      </c>
      <c r="L270">
        <v>1</v>
      </c>
      <c r="M270">
        <v>5.4107799999999999</v>
      </c>
      <c r="N270">
        <f>L270*F270</f>
        <v>0.45680999999999999</v>
      </c>
      <c r="O270">
        <f>L270*J270</f>
        <v>63.617251160000002</v>
      </c>
      <c r="P270">
        <f>M270-N270-H270</f>
        <v>2.2402500000000001</v>
      </c>
      <c r="Q270">
        <f>P270/O270</f>
        <v>3.5214504857584608E-2</v>
      </c>
      <c r="R270">
        <f>I270-G270</f>
        <v>31</v>
      </c>
      <c r="S270">
        <f>Q270/R270</f>
        <v>1.1359517695995035E-3</v>
      </c>
      <c r="T270">
        <f>S270*10000</f>
        <v>11.359517695995036</v>
      </c>
    </row>
    <row r="271" spans="1:20" x14ac:dyDescent="0.3">
      <c r="A271" t="s">
        <v>46</v>
      </c>
      <c r="B271" t="s">
        <v>36</v>
      </c>
      <c r="C271">
        <v>2</v>
      </c>
      <c r="D271">
        <v>6</v>
      </c>
      <c r="E271" t="s">
        <v>24</v>
      </c>
      <c r="F271">
        <v>0.45373999999999998</v>
      </c>
      <c r="G271" s="1">
        <v>45875</v>
      </c>
      <c r="H271">
        <v>2.70322</v>
      </c>
      <c r="I271" s="1">
        <v>45906</v>
      </c>
      <c r="J271">
        <v>63.617251160000002</v>
      </c>
      <c r="K271">
        <v>5.31</v>
      </c>
      <c r="L271">
        <v>1</v>
      </c>
      <c r="M271">
        <v>5.1237700000000004</v>
      </c>
      <c r="N271">
        <f>L271*F271</f>
        <v>0.45373999999999998</v>
      </c>
      <c r="O271">
        <f>L271*J271</f>
        <v>63.617251160000002</v>
      </c>
      <c r="P271">
        <f>M271-N271-H271</f>
        <v>1.9668100000000006</v>
      </c>
      <c r="Q271">
        <f>P271/O271</f>
        <v>3.0916299653585985E-2</v>
      </c>
      <c r="R271">
        <f>I271-G271</f>
        <v>31</v>
      </c>
      <c r="S271">
        <f>Q271/R271</f>
        <v>9.9729998882535438E-4</v>
      </c>
      <c r="T271">
        <f>S271*10000</f>
        <v>9.9729998882535433</v>
      </c>
    </row>
    <row r="272" spans="1:20" x14ac:dyDescent="0.3">
      <c r="A272" t="s">
        <v>46</v>
      </c>
      <c r="B272" t="s">
        <v>36</v>
      </c>
      <c r="C272">
        <v>2</v>
      </c>
      <c r="D272">
        <v>12</v>
      </c>
      <c r="E272" t="s">
        <v>47</v>
      </c>
      <c r="F272">
        <v>0.45594000000000001</v>
      </c>
      <c r="G272" s="1">
        <v>45875</v>
      </c>
      <c r="H272">
        <v>2.6819600000000001</v>
      </c>
      <c r="I272" s="1">
        <v>45906</v>
      </c>
      <c r="J272">
        <v>63.617251160000002</v>
      </c>
      <c r="K272">
        <v>5.31</v>
      </c>
      <c r="L272">
        <v>1</v>
      </c>
      <c r="M272">
        <v>3.8437899999999998</v>
      </c>
      <c r="N272">
        <f>L272*F272</f>
        <v>0.45594000000000001</v>
      </c>
      <c r="O272">
        <f>L272*J272</f>
        <v>63.617251160000002</v>
      </c>
      <c r="P272">
        <f>M272-N272-H272</f>
        <v>0.70588999999999968</v>
      </c>
      <c r="Q272">
        <f>P272/O272</f>
        <v>1.1095889670313754E-2</v>
      </c>
      <c r="R272">
        <f>I272-G272</f>
        <v>31</v>
      </c>
      <c r="S272">
        <f>Q272/R272</f>
        <v>3.5793192484883074E-4</v>
      </c>
      <c r="T272">
        <f>S272*10000</f>
        <v>3.5793192484883072</v>
      </c>
    </row>
    <row r="273" spans="1:20" x14ac:dyDescent="0.3">
      <c r="A273" t="s">
        <v>46</v>
      </c>
      <c r="B273" t="s">
        <v>36</v>
      </c>
      <c r="C273">
        <v>2</v>
      </c>
      <c r="D273">
        <v>12</v>
      </c>
      <c r="E273" t="s">
        <v>23</v>
      </c>
      <c r="F273">
        <v>0.45634000000000002</v>
      </c>
      <c r="G273" s="1">
        <v>45875</v>
      </c>
      <c r="H273">
        <v>2.6985800000000002</v>
      </c>
      <c r="I273" s="1">
        <v>45906</v>
      </c>
      <c r="J273">
        <v>63.617251160000002</v>
      </c>
      <c r="K273">
        <v>5.31</v>
      </c>
      <c r="L273">
        <v>1</v>
      </c>
      <c r="M273">
        <v>3.8944000000000001</v>
      </c>
      <c r="N273">
        <f>L273*F273</f>
        <v>0.45634000000000002</v>
      </c>
      <c r="O273">
        <f>L273*J273</f>
        <v>63.617251160000002</v>
      </c>
      <c r="P273">
        <f>M273-N273-H273</f>
        <v>0.73947999999999992</v>
      </c>
      <c r="Q273">
        <f>P273/O273</f>
        <v>1.16238911068348E-2</v>
      </c>
      <c r="R273">
        <f>I273-G273</f>
        <v>31</v>
      </c>
      <c r="S273">
        <f>Q273/R273</f>
        <v>3.7496422925273548E-4</v>
      </c>
      <c r="T273">
        <f>S273*10000</f>
        <v>3.7496422925273549</v>
      </c>
    </row>
    <row r="274" spans="1:20" x14ac:dyDescent="0.3">
      <c r="A274" t="s">
        <v>46</v>
      </c>
      <c r="B274" t="s">
        <v>36</v>
      </c>
      <c r="C274">
        <v>2</v>
      </c>
      <c r="D274">
        <v>12</v>
      </c>
      <c r="E274" t="s">
        <v>24</v>
      </c>
      <c r="F274">
        <v>0.45488000000000001</v>
      </c>
      <c r="G274" s="1">
        <v>45875</v>
      </c>
      <c r="H274">
        <v>2.7089699999999999</v>
      </c>
      <c r="I274" s="1">
        <v>45906</v>
      </c>
      <c r="J274">
        <v>63.617251160000002</v>
      </c>
      <c r="K274">
        <v>5.31</v>
      </c>
      <c r="L274">
        <v>1</v>
      </c>
      <c r="M274">
        <v>3.9276200000000001</v>
      </c>
      <c r="N274">
        <f>L274*F274</f>
        <v>0.45488000000000001</v>
      </c>
      <c r="O274">
        <f>L274*J274</f>
        <v>63.617251160000002</v>
      </c>
      <c r="P274">
        <f>M274-N274-H274</f>
        <v>0.76377000000000006</v>
      </c>
      <c r="Q274">
        <f>P274/O274</f>
        <v>1.2005705780639392E-2</v>
      </c>
      <c r="R274">
        <f>I274-G274</f>
        <v>31</v>
      </c>
      <c r="S274">
        <f>Q274/R274</f>
        <v>3.8728083163352874E-4</v>
      </c>
      <c r="T274">
        <f>S274*10000</f>
        <v>3.8728083163352873</v>
      </c>
    </row>
    <row r="275" spans="1:20" x14ac:dyDescent="0.3">
      <c r="A275" t="s">
        <v>46</v>
      </c>
      <c r="B275" t="s">
        <v>36</v>
      </c>
      <c r="C275">
        <v>2</v>
      </c>
      <c r="D275">
        <v>24</v>
      </c>
      <c r="E275" t="s">
        <v>22</v>
      </c>
      <c r="F275">
        <v>0.45550000000000002</v>
      </c>
      <c r="G275" s="1">
        <v>45875</v>
      </c>
      <c r="H275">
        <v>2.7139099999999998</v>
      </c>
      <c r="I275" s="1">
        <v>45906</v>
      </c>
      <c r="J275">
        <v>63.617251160000002</v>
      </c>
      <c r="K275">
        <v>5.31</v>
      </c>
      <c r="L275">
        <v>1</v>
      </c>
      <c r="M275">
        <v>3.4358900000000001</v>
      </c>
      <c r="N275">
        <f>L275*F275</f>
        <v>0.45550000000000002</v>
      </c>
      <c r="O275">
        <f>L275*J275</f>
        <v>63.617251160000002</v>
      </c>
      <c r="P275">
        <f>M275-N275-H275</f>
        <v>0.26648000000000005</v>
      </c>
      <c r="Q275">
        <f>P275/O275</f>
        <v>4.1888009170624472E-3</v>
      </c>
      <c r="R275">
        <f>I275-G275</f>
        <v>31</v>
      </c>
      <c r="S275">
        <f>Q275/R275</f>
        <v>1.3512261022782088E-4</v>
      </c>
      <c r="T275">
        <f>S275*10000</f>
        <v>1.3512261022782088</v>
      </c>
    </row>
    <row r="276" spans="1:20" x14ac:dyDescent="0.3">
      <c r="A276" t="s">
        <v>46</v>
      </c>
      <c r="B276" t="s">
        <v>36</v>
      </c>
      <c r="C276">
        <v>2</v>
      </c>
      <c r="D276">
        <v>24</v>
      </c>
      <c r="E276" t="s">
        <v>23</v>
      </c>
      <c r="F276">
        <v>0.45434000000000002</v>
      </c>
      <c r="G276" s="1">
        <v>45875</v>
      </c>
      <c r="H276">
        <v>2.6877300000000002</v>
      </c>
      <c r="I276" s="1">
        <v>45906</v>
      </c>
      <c r="J276">
        <v>63.617251160000002</v>
      </c>
      <c r="K276">
        <v>5.31</v>
      </c>
      <c r="L276">
        <v>1</v>
      </c>
      <c r="M276">
        <v>3.3796499999999998</v>
      </c>
      <c r="N276">
        <f>L276*F276</f>
        <v>0.45434000000000002</v>
      </c>
      <c r="O276">
        <f>L276*J276</f>
        <v>63.617251160000002</v>
      </c>
      <c r="P276">
        <f>M276-N276-H276</f>
        <v>0.23757999999999946</v>
      </c>
      <c r="Q276">
        <f>P276/O276</f>
        <v>3.73452162216937E-3</v>
      </c>
      <c r="R276">
        <f>I276-G276</f>
        <v>31</v>
      </c>
      <c r="S276">
        <f>Q276/R276</f>
        <v>1.2046843942481839E-4</v>
      </c>
      <c r="T276">
        <f>S276*10000</f>
        <v>1.204684394248184</v>
      </c>
    </row>
    <row r="277" spans="1:20" x14ac:dyDescent="0.3">
      <c r="A277" t="s">
        <v>46</v>
      </c>
      <c r="B277" t="s">
        <v>36</v>
      </c>
      <c r="C277">
        <v>2</v>
      </c>
      <c r="D277">
        <v>24</v>
      </c>
      <c r="E277" t="s">
        <v>24</v>
      </c>
      <c r="F277">
        <v>0.45622000000000001</v>
      </c>
      <c r="G277" s="1">
        <v>45875</v>
      </c>
      <c r="H277">
        <v>2.7386200000000001</v>
      </c>
      <c r="I277" s="1">
        <v>45906</v>
      </c>
      <c r="J277">
        <v>63.617251160000002</v>
      </c>
      <c r="K277">
        <v>5.31</v>
      </c>
      <c r="L277">
        <v>1</v>
      </c>
      <c r="M277">
        <v>3.43764</v>
      </c>
      <c r="N277">
        <f>L277*F277</f>
        <v>0.45622000000000001</v>
      </c>
      <c r="O277">
        <f>L277*J277</f>
        <v>63.617251160000002</v>
      </c>
      <c r="P277">
        <f>M277-N277-H277</f>
        <v>0.2427999999999999</v>
      </c>
      <c r="Q277">
        <f>P277/O277</f>
        <v>3.816574837371516E-3</v>
      </c>
      <c r="R277">
        <f>I277-G277</f>
        <v>31</v>
      </c>
      <c r="S277">
        <f>Q277/R277</f>
        <v>1.2311531733456504E-4</v>
      </c>
      <c r="T277">
        <f>S277*10000</f>
        <v>1.2311531733456504</v>
      </c>
    </row>
    <row r="278" spans="1:20" x14ac:dyDescent="0.3">
      <c r="A278" t="s">
        <v>46</v>
      </c>
      <c r="B278" t="s">
        <v>36</v>
      </c>
      <c r="C278">
        <v>2</v>
      </c>
      <c r="D278">
        <v>48</v>
      </c>
      <c r="E278" t="s">
        <v>47</v>
      </c>
      <c r="F278">
        <v>0.45590000000000003</v>
      </c>
      <c r="G278" s="1">
        <v>45875</v>
      </c>
      <c r="H278">
        <v>2.7107000000000001</v>
      </c>
      <c r="I278" s="1">
        <v>45906</v>
      </c>
      <c r="J278">
        <v>63.617251160000002</v>
      </c>
      <c r="K278">
        <v>5.31</v>
      </c>
      <c r="L278">
        <v>1</v>
      </c>
      <c r="M278">
        <v>3.39147</v>
      </c>
      <c r="N278">
        <f>L278*F278</f>
        <v>0.45590000000000003</v>
      </c>
      <c r="O278">
        <f>L278*J278</f>
        <v>63.617251160000002</v>
      </c>
      <c r="P278">
        <f>M278-N278-H278</f>
        <v>0.22486999999999968</v>
      </c>
      <c r="Q278">
        <f>P278/O278</f>
        <v>3.5347330464568861E-3</v>
      </c>
      <c r="R278">
        <f>I278-G278</f>
        <v>31</v>
      </c>
      <c r="S278">
        <f>Q278/R278</f>
        <v>1.1402364665989955E-4</v>
      </c>
      <c r="T278">
        <f>S278*10000</f>
        <v>1.1402364665989955</v>
      </c>
    </row>
    <row r="279" spans="1:20" x14ac:dyDescent="0.3">
      <c r="A279" t="s">
        <v>46</v>
      </c>
      <c r="B279" t="s">
        <v>36</v>
      </c>
      <c r="C279">
        <v>2</v>
      </c>
      <c r="D279">
        <v>48</v>
      </c>
      <c r="E279" t="s">
        <v>23</v>
      </c>
      <c r="F279">
        <v>0.45713999999999999</v>
      </c>
      <c r="G279" s="1">
        <v>45875</v>
      </c>
      <c r="H279">
        <v>2.7470599999999998</v>
      </c>
      <c r="I279" s="1">
        <v>45906</v>
      </c>
      <c r="J279">
        <v>63.617251160000002</v>
      </c>
      <c r="K279">
        <v>5.31</v>
      </c>
      <c r="L279">
        <v>1</v>
      </c>
      <c r="M279">
        <v>3.3867699999999998</v>
      </c>
      <c r="N279">
        <f>L279*F279</f>
        <v>0.45713999999999999</v>
      </c>
      <c r="O279">
        <f>L279*J279</f>
        <v>63.617251160000002</v>
      </c>
      <c r="P279">
        <f>M279-N279-H279</f>
        <v>0.18257000000000012</v>
      </c>
      <c r="Q279">
        <f>P279/O279</f>
        <v>2.8698190611981815E-3</v>
      </c>
      <c r="R279">
        <f>I279-G279</f>
        <v>31</v>
      </c>
      <c r="S279">
        <f>Q279/R279</f>
        <v>9.2574808425747798E-5</v>
      </c>
      <c r="T279">
        <f>S279*10000</f>
        <v>0.92574808425747801</v>
      </c>
    </row>
    <row r="280" spans="1:20" x14ac:dyDescent="0.3">
      <c r="A280" t="s">
        <v>46</v>
      </c>
      <c r="B280" t="s">
        <v>36</v>
      </c>
      <c r="C280">
        <v>2</v>
      </c>
      <c r="D280">
        <v>48</v>
      </c>
      <c r="E280" t="s">
        <v>24</v>
      </c>
      <c r="F280">
        <v>0.45704</v>
      </c>
      <c r="G280" s="1">
        <v>45875</v>
      </c>
      <c r="H280">
        <v>2.7191399999999999</v>
      </c>
      <c r="I280" s="1">
        <v>45906</v>
      </c>
      <c r="J280">
        <v>63.617251160000002</v>
      </c>
      <c r="K280">
        <v>5.31</v>
      </c>
      <c r="L280">
        <v>1</v>
      </c>
      <c r="M280">
        <v>3.4302600000000001</v>
      </c>
      <c r="N280">
        <f>L280*F280</f>
        <v>0.45704</v>
      </c>
      <c r="O280">
        <f>L280*J280</f>
        <v>63.617251160000002</v>
      </c>
      <c r="P280">
        <f>M280-N280-H280</f>
        <v>0.25408000000000008</v>
      </c>
      <c r="Q280">
        <f>P280/O280</f>
        <v>3.9938852334405091E-3</v>
      </c>
      <c r="R280">
        <f>I280-G280</f>
        <v>31</v>
      </c>
      <c r="S280">
        <f>Q280/R280</f>
        <v>1.2883500753033901E-4</v>
      </c>
      <c r="T280">
        <f>S280*10000</f>
        <v>1.2883500753033901</v>
      </c>
    </row>
    <row r="281" spans="1:20" x14ac:dyDescent="0.3">
      <c r="A281" t="s">
        <v>46</v>
      </c>
      <c r="B281" t="s">
        <v>36</v>
      </c>
      <c r="E281" t="s">
        <v>48</v>
      </c>
      <c r="F281">
        <v>0.45168000000000003</v>
      </c>
      <c r="G281" t="s">
        <v>27</v>
      </c>
      <c r="H281">
        <v>2.7411300000000001</v>
      </c>
      <c r="I281" t="s">
        <v>27</v>
      </c>
      <c r="J281">
        <v>63.617251160000002</v>
      </c>
      <c r="K281">
        <v>5.31</v>
      </c>
      <c r="L281" t="s">
        <v>27</v>
      </c>
      <c r="M281" t="s">
        <v>27</v>
      </c>
      <c r="N281" t="e">
        <f>L281*F281</f>
        <v>#VALUE!</v>
      </c>
      <c r="O281" t="e">
        <f>L281*J281</f>
        <v>#VALUE!</v>
      </c>
      <c r="P281" t="e">
        <f>M281-N281-H281</f>
        <v>#VALUE!</v>
      </c>
      <c r="Q281" t="e">
        <f>P281/O281</f>
        <v>#VALUE!</v>
      </c>
      <c r="R281" t="e">
        <f>I281-G281</f>
        <v>#VALUE!</v>
      </c>
      <c r="S281" t="e">
        <f>Q281/R281</f>
        <v>#VALUE!</v>
      </c>
      <c r="T281" t="e">
        <f>S281*10000</f>
        <v>#VALUE!</v>
      </c>
    </row>
    <row r="282" spans="1:20" x14ac:dyDescent="0.3">
      <c r="A282" t="s">
        <v>46</v>
      </c>
      <c r="B282" t="s">
        <v>36</v>
      </c>
      <c r="E282" t="s">
        <v>49</v>
      </c>
      <c r="F282">
        <v>0.45390999999999998</v>
      </c>
      <c r="G282" t="s">
        <v>27</v>
      </c>
      <c r="H282">
        <v>2.7230400000000001</v>
      </c>
      <c r="I282" t="s">
        <v>27</v>
      </c>
      <c r="J282">
        <v>63.617251160000002</v>
      </c>
      <c r="K282">
        <v>5.31</v>
      </c>
      <c r="L282" t="s">
        <v>27</v>
      </c>
      <c r="M282" t="s">
        <v>27</v>
      </c>
      <c r="N282" t="e">
        <f>L282*F282</f>
        <v>#VALUE!</v>
      </c>
      <c r="O282" t="e">
        <f>L282*J282</f>
        <v>#VALUE!</v>
      </c>
      <c r="P282" t="e">
        <f>M282-N282-H282</f>
        <v>#VALUE!</v>
      </c>
      <c r="Q282" t="e">
        <f>P282/O282</f>
        <v>#VALUE!</v>
      </c>
      <c r="R282" t="e">
        <f>I282-G282</f>
        <v>#VALUE!</v>
      </c>
      <c r="S282" t="e">
        <f>Q282/R282</f>
        <v>#VALUE!</v>
      </c>
      <c r="T282" t="e">
        <f>S282*10000</f>
        <v>#VALUE!</v>
      </c>
    </row>
    <row r="283" spans="1:20" x14ac:dyDescent="0.3">
      <c r="A283" t="s">
        <v>46</v>
      </c>
      <c r="B283" t="s">
        <v>36</v>
      </c>
      <c r="E283" t="s">
        <v>50</v>
      </c>
      <c r="F283">
        <v>0.45330999999999999</v>
      </c>
      <c r="G283" t="s">
        <v>27</v>
      </c>
      <c r="H283">
        <v>2.7252000000000001</v>
      </c>
      <c r="I283" t="s">
        <v>27</v>
      </c>
      <c r="J283">
        <v>63.617251160000002</v>
      </c>
      <c r="K283">
        <v>5.31</v>
      </c>
      <c r="L283" t="s">
        <v>27</v>
      </c>
      <c r="M283" t="s">
        <v>27</v>
      </c>
      <c r="N283" t="e">
        <f>L283*F283</f>
        <v>#VALUE!</v>
      </c>
      <c r="O283" t="e">
        <f>L283*J283</f>
        <v>#VALUE!</v>
      </c>
      <c r="P283" t="e">
        <f>M283-N283-H283</f>
        <v>#VALUE!</v>
      </c>
      <c r="Q283" t="e">
        <f>P283/O283</f>
        <v>#VALUE!</v>
      </c>
      <c r="R283" t="e">
        <f>I283-G283</f>
        <v>#VALUE!</v>
      </c>
      <c r="S283" t="e">
        <f>Q283/R283</f>
        <v>#VALUE!</v>
      </c>
      <c r="T283" t="e">
        <f>S283*10000</f>
        <v>#VALUE!</v>
      </c>
    </row>
    <row r="284" spans="1:20" x14ac:dyDescent="0.3">
      <c r="A284" t="s">
        <v>46</v>
      </c>
      <c r="B284" t="s">
        <v>36</v>
      </c>
      <c r="E284" t="s">
        <v>51</v>
      </c>
      <c r="F284">
        <v>0.45262000000000002</v>
      </c>
      <c r="G284" t="s">
        <v>27</v>
      </c>
      <c r="H284">
        <v>2.7111999999999998</v>
      </c>
      <c r="I284" t="s">
        <v>27</v>
      </c>
      <c r="J284">
        <v>63.617251160000002</v>
      </c>
      <c r="K284">
        <v>5.31</v>
      </c>
      <c r="L284" t="s">
        <v>27</v>
      </c>
      <c r="M284" t="s">
        <v>27</v>
      </c>
      <c r="N284" t="e">
        <f>L284*F284</f>
        <v>#VALUE!</v>
      </c>
      <c r="O284" t="e">
        <f>L284*J284</f>
        <v>#VALUE!</v>
      </c>
      <c r="P284" t="e">
        <f>M284-N284-H284</f>
        <v>#VALUE!</v>
      </c>
      <c r="Q284" t="e">
        <f>P284/O284</f>
        <v>#VALUE!</v>
      </c>
      <c r="R284" t="e">
        <f>I284-G284</f>
        <v>#VALUE!</v>
      </c>
      <c r="S284" t="e">
        <f>Q284/R284</f>
        <v>#VALUE!</v>
      </c>
      <c r="T284" t="e">
        <f>S284*10000</f>
        <v>#VALUE!</v>
      </c>
    </row>
    <row r="285" spans="1:20" x14ac:dyDescent="0.3">
      <c r="A285" t="s">
        <v>46</v>
      </c>
      <c r="B285" t="s">
        <v>40</v>
      </c>
      <c r="C285">
        <v>1</v>
      </c>
      <c r="D285">
        <v>0.5</v>
      </c>
      <c r="E285" t="s">
        <v>47</v>
      </c>
      <c r="F285">
        <v>0.43609999999999999</v>
      </c>
      <c r="G285" s="1">
        <v>45877</v>
      </c>
      <c r="H285">
        <v>2.6911900000000002</v>
      </c>
      <c r="I285" s="1">
        <v>45908</v>
      </c>
      <c r="J285">
        <v>63.617251160000002</v>
      </c>
      <c r="K285">
        <v>5.31</v>
      </c>
      <c r="L285">
        <v>0.5</v>
      </c>
      <c r="M285">
        <v>8.9243199999999998</v>
      </c>
      <c r="N285">
        <f>L285*F285</f>
        <v>0.21804999999999999</v>
      </c>
      <c r="O285">
        <f>L285*J285</f>
        <v>31.808625580000001</v>
      </c>
      <c r="P285">
        <f>M285-N285-H285</f>
        <v>6.0150799999999993</v>
      </c>
      <c r="Q285">
        <f>P285/O285</f>
        <v>0.18910216616784734</v>
      </c>
      <c r="R285">
        <f>I285-G285</f>
        <v>31</v>
      </c>
      <c r="S285">
        <f>Q285/R285</f>
        <v>6.1000698763821722E-3</v>
      </c>
      <c r="T285">
        <f>S285*10000</f>
        <v>61.000698763821724</v>
      </c>
    </row>
    <row r="286" spans="1:20" x14ac:dyDescent="0.3">
      <c r="A286" t="s">
        <v>46</v>
      </c>
      <c r="B286" t="s">
        <v>40</v>
      </c>
      <c r="C286">
        <v>1</v>
      </c>
      <c r="D286">
        <v>0.5</v>
      </c>
      <c r="E286" t="s">
        <v>23</v>
      </c>
      <c r="F286">
        <v>0.45851999999999998</v>
      </c>
      <c r="G286" s="1">
        <v>45877</v>
      </c>
      <c r="H286">
        <v>2.7026300000000001</v>
      </c>
      <c r="I286" s="1">
        <v>45908</v>
      </c>
      <c r="J286">
        <v>63.617251160000002</v>
      </c>
      <c r="K286">
        <v>5.31</v>
      </c>
      <c r="L286">
        <v>0</v>
      </c>
      <c r="M286">
        <v>3.7434699999999999</v>
      </c>
      <c r="N286">
        <f>L286*F286</f>
        <v>0</v>
      </c>
      <c r="O286">
        <f>L286*J286</f>
        <v>0</v>
      </c>
      <c r="P286">
        <f>M286-N286-H286</f>
        <v>1.0408399999999998</v>
      </c>
      <c r="Q286" t="e">
        <f>P286/O286</f>
        <v>#DIV/0!</v>
      </c>
      <c r="R286">
        <f>I286-G286</f>
        <v>31</v>
      </c>
      <c r="S286" t="e">
        <f>Q286/R286</f>
        <v>#DIV/0!</v>
      </c>
      <c r="T286" t="e">
        <f>S286*10000</f>
        <v>#DIV/0!</v>
      </c>
    </row>
    <row r="287" spans="1:20" x14ac:dyDescent="0.3">
      <c r="A287" t="s">
        <v>46</v>
      </c>
      <c r="B287" t="s">
        <v>40</v>
      </c>
      <c r="C287">
        <v>1</v>
      </c>
      <c r="D287">
        <v>0.5</v>
      </c>
      <c r="E287" t="s">
        <v>24</v>
      </c>
      <c r="F287">
        <v>0.43648999999999999</v>
      </c>
      <c r="G287" s="1">
        <v>45877</v>
      </c>
      <c r="H287">
        <v>2.7073</v>
      </c>
      <c r="I287" s="1">
        <v>45908</v>
      </c>
      <c r="J287">
        <v>63.617251160000002</v>
      </c>
      <c r="K287">
        <v>5.31</v>
      </c>
      <c r="L287">
        <v>0</v>
      </c>
      <c r="M287">
        <v>2.7052</v>
      </c>
      <c r="N287">
        <f>L287*F287</f>
        <v>0</v>
      </c>
      <c r="O287">
        <f>L287*J287</f>
        <v>0</v>
      </c>
      <c r="P287">
        <f>M287-N287-H287</f>
        <v>-2.0999999999999908E-3</v>
      </c>
      <c r="Q287" t="e">
        <f>P287/O287</f>
        <v>#DIV/0!</v>
      </c>
      <c r="R287">
        <f>I287-G287</f>
        <v>31</v>
      </c>
      <c r="S287" t="e">
        <f>Q287/R287</f>
        <v>#DIV/0!</v>
      </c>
      <c r="T287" t="e">
        <f>S287*10000</f>
        <v>#DIV/0!</v>
      </c>
    </row>
    <row r="288" spans="1:20" x14ac:dyDescent="0.3">
      <c r="A288" t="s">
        <v>46</v>
      </c>
      <c r="B288" t="s">
        <v>40</v>
      </c>
      <c r="C288">
        <v>1</v>
      </c>
      <c r="D288">
        <v>2</v>
      </c>
      <c r="E288" t="s">
        <v>47</v>
      </c>
      <c r="F288">
        <v>0.44136999999999998</v>
      </c>
      <c r="G288" s="1">
        <v>45877</v>
      </c>
      <c r="H288">
        <v>2.70533</v>
      </c>
      <c r="I288" s="1">
        <v>45908</v>
      </c>
      <c r="J288">
        <v>63.617251160000002</v>
      </c>
      <c r="K288">
        <v>5.31</v>
      </c>
      <c r="L288">
        <v>1</v>
      </c>
      <c r="M288">
        <v>5.5878399999999999</v>
      </c>
      <c r="N288">
        <f>L288*F288</f>
        <v>0.44136999999999998</v>
      </c>
      <c r="O288">
        <f>L288*J288</f>
        <v>63.617251160000002</v>
      </c>
      <c r="P288">
        <f>M288-N288-H288</f>
        <v>2.4411399999999999</v>
      </c>
      <c r="Q288">
        <f>P288/O288</f>
        <v>3.8372296122327454E-2</v>
      </c>
      <c r="R288">
        <f>I288-G288</f>
        <v>31</v>
      </c>
      <c r="S288">
        <f>Q288/R288</f>
        <v>1.2378160039460469E-3</v>
      </c>
      <c r="T288">
        <f>S288*10000</f>
        <v>12.37816003946047</v>
      </c>
    </row>
    <row r="289" spans="1:20" x14ac:dyDescent="0.3">
      <c r="A289" t="s">
        <v>46</v>
      </c>
      <c r="B289" t="s">
        <v>40</v>
      </c>
      <c r="C289">
        <v>1</v>
      </c>
      <c r="D289">
        <v>2</v>
      </c>
      <c r="E289" t="s">
        <v>23</v>
      </c>
      <c r="F289">
        <v>0.44128000000000001</v>
      </c>
      <c r="G289" s="1">
        <v>45877</v>
      </c>
      <c r="H289">
        <v>2.7223099999999998</v>
      </c>
      <c r="I289" s="1">
        <v>45908</v>
      </c>
      <c r="J289">
        <v>63.617251160000002</v>
      </c>
      <c r="K289">
        <v>5.31</v>
      </c>
      <c r="L289">
        <v>1</v>
      </c>
      <c r="M289">
        <v>8.8032299999999992</v>
      </c>
      <c r="N289">
        <f>L289*F289</f>
        <v>0.44128000000000001</v>
      </c>
      <c r="O289">
        <f>L289*J289</f>
        <v>63.617251160000002</v>
      </c>
      <c r="P289">
        <f>M289-N289-H289</f>
        <v>5.6396399999999982</v>
      </c>
      <c r="Q289">
        <f>P289/O289</f>
        <v>8.8649539192067126E-2</v>
      </c>
      <c r="R289">
        <f>I289-G289</f>
        <v>31</v>
      </c>
      <c r="S289">
        <f>Q289/R289</f>
        <v>2.8596625545828105E-3</v>
      </c>
      <c r="T289">
        <f>S289*10000</f>
        <v>28.596625545828104</v>
      </c>
    </row>
    <row r="290" spans="1:20" x14ac:dyDescent="0.3">
      <c r="A290" t="s">
        <v>46</v>
      </c>
      <c r="B290" t="s">
        <v>40</v>
      </c>
      <c r="C290">
        <v>1</v>
      </c>
      <c r="D290">
        <v>2</v>
      </c>
      <c r="E290" t="s">
        <v>24</v>
      </c>
      <c r="F290">
        <v>0.45101999999999998</v>
      </c>
      <c r="G290" s="1">
        <v>45877</v>
      </c>
      <c r="H290">
        <v>2.7227600000000001</v>
      </c>
      <c r="I290" s="1">
        <v>45908</v>
      </c>
      <c r="J290">
        <v>63.617251160000002</v>
      </c>
      <c r="K290">
        <v>5.31</v>
      </c>
      <c r="L290">
        <v>1</v>
      </c>
      <c r="M290">
        <v>8.0926200000000001</v>
      </c>
      <c r="N290">
        <f>L290*F290</f>
        <v>0.45101999999999998</v>
      </c>
      <c r="O290">
        <f>L290*J290</f>
        <v>63.617251160000002</v>
      </c>
      <c r="P290">
        <f>M290-N290-H290</f>
        <v>4.9188400000000003</v>
      </c>
      <c r="Q290">
        <f>P290/O290</f>
        <v>7.731927913120476E-2</v>
      </c>
      <c r="R290">
        <f>I290-G290</f>
        <v>31</v>
      </c>
      <c r="S290">
        <f>Q290/R290</f>
        <v>2.4941702945549924E-3</v>
      </c>
      <c r="T290">
        <f>S290*10000</f>
        <v>24.941702945549924</v>
      </c>
    </row>
    <row r="291" spans="1:20" x14ac:dyDescent="0.3">
      <c r="A291" t="s">
        <v>46</v>
      </c>
      <c r="B291" t="s">
        <v>40</v>
      </c>
      <c r="C291">
        <v>1</v>
      </c>
      <c r="D291">
        <v>6</v>
      </c>
      <c r="E291" t="s">
        <v>47</v>
      </c>
      <c r="F291">
        <v>0.45247999999999999</v>
      </c>
      <c r="G291" s="1">
        <v>45877</v>
      </c>
      <c r="H291">
        <v>2.7265999999999999</v>
      </c>
      <c r="I291" s="1">
        <v>45908</v>
      </c>
      <c r="J291">
        <v>63.617251160000002</v>
      </c>
      <c r="K291">
        <v>5.31</v>
      </c>
      <c r="L291">
        <v>1</v>
      </c>
      <c r="M291">
        <v>3.9706100000000002</v>
      </c>
      <c r="N291">
        <f>L291*F291</f>
        <v>0.45247999999999999</v>
      </c>
      <c r="O291">
        <f>L291*J291</f>
        <v>63.617251160000002</v>
      </c>
      <c r="P291">
        <f>M291-N291-H291</f>
        <v>0.79153000000000029</v>
      </c>
      <c r="Q291">
        <f>P291/O291</f>
        <v>1.2442065407844639E-2</v>
      </c>
      <c r="R291">
        <f>I291-G291</f>
        <v>31</v>
      </c>
      <c r="S291">
        <f>Q291/R291</f>
        <v>4.0135694864014963E-4</v>
      </c>
      <c r="T291">
        <f>S291*10000</f>
        <v>4.0135694864014964</v>
      </c>
    </row>
    <row r="292" spans="1:20" x14ac:dyDescent="0.3">
      <c r="A292" t="s">
        <v>46</v>
      </c>
      <c r="B292" t="s">
        <v>40</v>
      </c>
      <c r="C292">
        <v>1</v>
      </c>
      <c r="D292">
        <v>6</v>
      </c>
      <c r="E292" t="s">
        <v>23</v>
      </c>
      <c r="F292">
        <v>0.44157999999999997</v>
      </c>
      <c r="G292" s="1">
        <v>45877</v>
      </c>
      <c r="H292">
        <v>2.7047400000000001</v>
      </c>
      <c r="I292" s="1">
        <v>45908</v>
      </c>
      <c r="J292">
        <v>63.617251160000002</v>
      </c>
      <c r="K292">
        <v>5.31</v>
      </c>
      <c r="L292">
        <v>1</v>
      </c>
      <c r="M292">
        <v>3.8465799999999999</v>
      </c>
      <c r="N292">
        <f>L292*F292</f>
        <v>0.44157999999999997</v>
      </c>
      <c r="O292">
        <f>L292*J292</f>
        <v>63.617251160000002</v>
      </c>
      <c r="P292">
        <f>M292-N292-H292</f>
        <v>0.70025999999999966</v>
      </c>
      <c r="Q292">
        <f>P292/O292</f>
        <v>1.1007391662346695E-2</v>
      </c>
      <c r="R292">
        <f>I292-G292</f>
        <v>31</v>
      </c>
      <c r="S292">
        <f>Q292/R292</f>
        <v>3.550771503982805E-4</v>
      </c>
      <c r="T292">
        <f>S292*10000</f>
        <v>3.5507715039828049</v>
      </c>
    </row>
    <row r="293" spans="1:20" x14ac:dyDescent="0.3">
      <c r="A293" t="s">
        <v>46</v>
      </c>
      <c r="B293" t="s">
        <v>40</v>
      </c>
      <c r="C293">
        <v>1</v>
      </c>
      <c r="D293">
        <v>6</v>
      </c>
      <c r="E293" t="s">
        <v>24</v>
      </c>
      <c r="F293">
        <v>0.45341999999999999</v>
      </c>
      <c r="G293" s="1">
        <v>45877</v>
      </c>
      <c r="H293">
        <v>2.7230500000000002</v>
      </c>
      <c r="I293" s="1">
        <v>45908</v>
      </c>
      <c r="J293">
        <v>63.617251160000002</v>
      </c>
      <c r="K293">
        <v>5.31</v>
      </c>
      <c r="L293">
        <v>0.5</v>
      </c>
      <c r="M293">
        <v>3.5745200000000001</v>
      </c>
      <c r="N293">
        <f>L293*F293</f>
        <v>0.22670999999999999</v>
      </c>
      <c r="O293">
        <f>L293*J293</f>
        <v>31.808625580000001</v>
      </c>
      <c r="P293">
        <f>M293-N293-H293</f>
        <v>0.62475999999999976</v>
      </c>
      <c r="Q293">
        <f>P293/O293</f>
        <v>1.9641213306393974E-2</v>
      </c>
      <c r="R293">
        <f>I293-G293</f>
        <v>31</v>
      </c>
      <c r="S293">
        <f>Q293/R293</f>
        <v>6.3358752601270888E-4</v>
      </c>
      <c r="T293">
        <f>S293*10000</f>
        <v>6.3358752601270885</v>
      </c>
    </row>
    <row r="294" spans="1:20" x14ac:dyDescent="0.3">
      <c r="A294" t="s">
        <v>46</v>
      </c>
      <c r="B294" t="s">
        <v>40</v>
      </c>
      <c r="C294">
        <v>1</v>
      </c>
      <c r="D294">
        <v>12</v>
      </c>
      <c r="E294" t="s">
        <v>47</v>
      </c>
      <c r="F294">
        <v>0.43847000000000003</v>
      </c>
      <c r="G294" s="1">
        <v>45877</v>
      </c>
      <c r="H294">
        <v>2.6973799999999999</v>
      </c>
      <c r="I294" s="1">
        <v>45908</v>
      </c>
      <c r="J294">
        <v>63.617251160000002</v>
      </c>
      <c r="K294">
        <v>5.31</v>
      </c>
      <c r="L294">
        <v>1</v>
      </c>
      <c r="M294">
        <v>3.5259800000000001</v>
      </c>
      <c r="N294">
        <f>L294*F294</f>
        <v>0.43847000000000003</v>
      </c>
      <c r="O294">
        <f>L294*J294</f>
        <v>63.617251160000002</v>
      </c>
      <c r="P294">
        <f>M294-N294-H294</f>
        <v>0.39013000000000009</v>
      </c>
      <c r="Q294">
        <f>P294/O294</f>
        <v>6.1324561009215425E-3</v>
      </c>
      <c r="R294">
        <f>I294-G294</f>
        <v>31</v>
      </c>
      <c r="S294">
        <f>Q294/R294</f>
        <v>1.978211645458562E-4</v>
      </c>
      <c r="T294">
        <f>S294*10000</f>
        <v>1.9782116454585621</v>
      </c>
    </row>
    <row r="295" spans="1:20" x14ac:dyDescent="0.3">
      <c r="A295" t="s">
        <v>46</v>
      </c>
      <c r="B295" t="s">
        <v>40</v>
      </c>
      <c r="C295">
        <v>1</v>
      </c>
      <c r="D295">
        <v>12</v>
      </c>
      <c r="E295" t="s">
        <v>23</v>
      </c>
      <c r="F295">
        <v>0.43691000000000002</v>
      </c>
      <c r="G295" s="1">
        <v>45877</v>
      </c>
      <c r="H295">
        <v>2.7234799999999999</v>
      </c>
      <c r="I295" s="1">
        <v>45908</v>
      </c>
      <c r="J295">
        <v>63.617251160000002</v>
      </c>
      <c r="K295">
        <v>5.31</v>
      </c>
      <c r="L295">
        <v>1</v>
      </c>
      <c r="M295">
        <v>3.53444</v>
      </c>
      <c r="N295">
        <f>L295*F295</f>
        <v>0.43691000000000002</v>
      </c>
      <c r="O295">
        <f>L295*J295</f>
        <v>63.617251160000002</v>
      </c>
      <c r="P295">
        <f>M295-N295-H295</f>
        <v>0.37404999999999999</v>
      </c>
      <c r="Q295">
        <f>P295/O295</f>
        <v>5.8796944724827686E-3</v>
      </c>
      <c r="R295">
        <f>I295-G295</f>
        <v>31</v>
      </c>
      <c r="S295">
        <f>Q295/R295</f>
        <v>1.8966756362847641E-4</v>
      </c>
      <c r="T295">
        <f>S295*10000</f>
        <v>1.8966756362847641</v>
      </c>
    </row>
    <row r="296" spans="1:20" x14ac:dyDescent="0.3">
      <c r="A296" t="s">
        <v>46</v>
      </c>
      <c r="B296" t="s">
        <v>40</v>
      </c>
      <c r="C296">
        <v>1</v>
      </c>
      <c r="D296">
        <v>12</v>
      </c>
      <c r="E296" t="s">
        <v>24</v>
      </c>
      <c r="F296">
        <v>0.45883000000000002</v>
      </c>
      <c r="G296" s="1">
        <v>45877</v>
      </c>
      <c r="H296">
        <v>2.6997499999999999</v>
      </c>
      <c r="I296" s="1">
        <v>45908</v>
      </c>
      <c r="J296">
        <v>63.617251160000002</v>
      </c>
      <c r="K296">
        <v>5.31</v>
      </c>
      <c r="L296">
        <v>1</v>
      </c>
      <c r="M296">
        <v>3.5974300000000001</v>
      </c>
      <c r="N296">
        <f>L296*F296</f>
        <v>0.45883000000000002</v>
      </c>
      <c r="O296">
        <f>L296*J296</f>
        <v>63.617251160000002</v>
      </c>
      <c r="P296">
        <f>M296-N296-H296</f>
        <v>0.43885000000000041</v>
      </c>
      <c r="Q296">
        <f>P296/O296</f>
        <v>6.8982861094748441E-3</v>
      </c>
      <c r="R296">
        <f>I296-G296</f>
        <v>31</v>
      </c>
      <c r="S296">
        <f>Q296/R296</f>
        <v>2.2252535837015625E-4</v>
      </c>
      <c r="T296">
        <f>S296*10000</f>
        <v>2.2252535837015626</v>
      </c>
    </row>
    <row r="297" spans="1:20" x14ac:dyDescent="0.3">
      <c r="A297" t="s">
        <v>46</v>
      </c>
      <c r="B297" t="s">
        <v>40</v>
      </c>
      <c r="C297">
        <v>1</v>
      </c>
      <c r="D297">
        <v>24</v>
      </c>
      <c r="E297" t="s">
        <v>22</v>
      </c>
      <c r="F297">
        <v>0.43507000000000001</v>
      </c>
      <c r="G297" s="1">
        <v>45877</v>
      </c>
      <c r="H297">
        <v>2.7022400000000002</v>
      </c>
      <c r="I297" s="1">
        <v>45908</v>
      </c>
      <c r="J297">
        <v>63.617251160000002</v>
      </c>
      <c r="K297">
        <v>5.31</v>
      </c>
      <c r="L297">
        <v>1</v>
      </c>
      <c r="M297">
        <v>3.53721</v>
      </c>
      <c r="N297">
        <f>L297*F297</f>
        <v>0.43507000000000001</v>
      </c>
      <c r="O297">
        <f>L297*J297</f>
        <v>63.617251160000002</v>
      </c>
      <c r="P297">
        <f>M297-N297-H297</f>
        <v>0.3998999999999997</v>
      </c>
      <c r="Q297">
        <f>P297/O297</f>
        <v>6.286030796807532E-3</v>
      </c>
      <c r="R297">
        <f>I297-G297</f>
        <v>31</v>
      </c>
      <c r="S297">
        <f>Q297/R297</f>
        <v>2.0277518699379136E-4</v>
      </c>
      <c r="T297">
        <f>S297*10000</f>
        <v>2.0277518699379136</v>
      </c>
    </row>
    <row r="298" spans="1:20" x14ac:dyDescent="0.3">
      <c r="A298" t="s">
        <v>46</v>
      </c>
      <c r="B298" t="s">
        <v>40</v>
      </c>
      <c r="C298">
        <v>1</v>
      </c>
      <c r="D298">
        <v>24</v>
      </c>
      <c r="E298" t="s">
        <v>23</v>
      </c>
      <c r="F298">
        <v>0.45862999999999998</v>
      </c>
      <c r="G298" s="1">
        <v>45877</v>
      </c>
      <c r="H298">
        <v>2.72498</v>
      </c>
      <c r="I298" s="1">
        <v>45908</v>
      </c>
      <c r="J298">
        <v>63.617251160000002</v>
      </c>
      <c r="K298">
        <v>5.31</v>
      </c>
      <c r="L298">
        <v>1</v>
      </c>
      <c r="M298">
        <v>3.6084299999999998</v>
      </c>
      <c r="N298">
        <f>L298*F298</f>
        <v>0.45862999999999998</v>
      </c>
      <c r="O298">
        <f>L298*J298</f>
        <v>63.617251160000002</v>
      </c>
      <c r="P298">
        <f>M298-N298-H298</f>
        <v>0.42481999999999998</v>
      </c>
      <c r="Q298">
        <f>P298/O298</f>
        <v>6.6777484448606594E-3</v>
      </c>
      <c r="R298">
        <f>I298-G298</f>
        <v>31</v>
      </c>
      <c r="S298">
        <f>Q298/R298</f>
        <v>2.1541124015679545E-4</v>
      </c>
      <c r="T298">
        <f>S298*10000</f>
        <v>2.1541124015679545</v>
      </c>
    </row>
    <row r="299" spans="1:20" x14ac:dyDescent="0.3">
      <c r="A299" t="s">
        <v>46</v>
      </c>
      <c r="B299" t="s">
        <v>40</v>
      </c>
      <c r="C299">
        <v>1</v>
      </c>
      <c r="D299">
        <v>24</v>
      </c>
      <c r="E299" t="s">
        <v>24</v>
      </c>
      <c r="F299">
        <v>0.43634000000000001</v>
      </c>
      <c r="G299" s="1">
        <v>45877</v>
      </c>
      <c r="H299">
        <v>2.7109299999999998</v>
      </c>
      <c r="I299" s="1">
        <v>45908</v>
      </c>
      <c r="J299">
        <v>63.617251160000002</v>
      </c>
      <c r="K299">
        <v>5.31</v>
      </c>
      <c r="L299">
        <v>1</v>
      </c>
      <c r="M299">
        <v>3.40971</v>
      </c>
      <c r="N299">
        <f>L299*F299</f>
        <v>0.43634000000000001</v>
      </c>
      <c r="O299">
        <f>L299*J299</f>
        <v>63.617251160000002</v>
      </c>
      <c r="P299">
        <f>M299-N299-H299</f>
        <v>0.26244000000000023</v>
      </c>
      <c r="Q299">
        <f>P299/O299</f>
        <v>4.1252961298178827E-3</v>
      </c>
      <c r="R299">
        <f>I299-G299</f>
        <v>31</v>
      </c>
      <c r="S299">
        <f>Q299/R299</f>
        <v>1.3307406870380266E-4</v>
      </c>
      <c r="T299">
        <f>S299*10000</f>
        <v>1.3307406870380267</v>
      </c>
    </row>
    <row r="300" spans="1:20" x14ac:dyDescent="0.3">
      <c r="A300" t="s">
        <v>46</v>
      </c>
      <c r="B300" t="s">
        <v>40</v>
      </c>
      <c r="C300">
        <v>1</v>
      </c>
      <c r="D300">
        <v>48</v>
      </c>
      <c r="E300" t="s">
        <v>47</v>
      </c>
      <c r="F300">
        <v>0.45835999999999999</v>
      </c>
      <c r="G300" s="1">
        <v>45877</v>
      </c>
      <c r="H300">
        <v>2.7050299999999998</v>
      </c>
      <c r="I300" s="1">
        <v>45908</v>
      </c>
      <c r="J300">
        <v>63.617251160000002</v>
      </c>
      <c r="K300">
        <v>5.31</v>
      </c>
      <c r="L300">
        <v>1</v>
      </c>
      <c r="M300">
        <v>3.3242600000000002</v>
      </c>
      <c r="N300">
        <f>L300*F300</f>
        <v>0.45835999999999999</v>
      </c>
      <c r="O300">
        <f>L300*J300</f>
        <v>63.617251160000002</v>
      </c>
      <c r="P300">
        <f>M300-N300-H300</f>
        <v>0.16087000000000051</v>
      </c>
      <c r="Q300">
        <f>P300/O300</f>
        <v>2.528716614859794E-3</v>
      </c>
      <c r="R300">
        <f>I300-G300</f>
        <v>31</v>
      </c>
      <c r="S300">
        <f>Q300/R300</f>
        <v>8.1571503705154649E-5</v>
      </c>
      <c r="T300">
        <f>S300*10000</f>
        <v>0.81571503705154647</v>
      </c>
    </row>
    <row r="301" spans="1:20" x14ac:dyDescent="0.3">
      <c r="A301" t="s">
        <v>46</v>
      </c>
      <c r="B301" t="s">
        <v>40</v>
      </c>
      <c r="C301">
        <v>1</v>
      </c>
      <c r="D301">
        <v>48</v>
      </c>
      <c r="E301" t="s">
        <v>23</v>
      </c>
      <c r="F301">
        <v>0.43541000000000002</v>
      </c>
      <c r="G301" s="1">
        <v>45877</v>
      </c>
      <c r="H301">
        <v>2.7063999999999999</v>
      </c>
      <c r="I301" s="1">
        <v>45908</v>
      </c>
      <c r="J301">
        <v>63.617251160000002</v>
      </c>
      <c r="K301">
        <v>5.31</v>
      </c>
      <c r="L301">
        <v>1</v>
      </c>
      <c r="M301">
        <v>3.5309400000000002</v>
      </c>
      <c r="N301">
        <f>L301*F301</f>
        <v>0.43541000000000002</v>
      </c>
      <c r="O301">
        <f>L301*J301</f>
        <v>63.617251160000002</v>
      </c>
      <c r="P301">
        <f>M301-N301-H301</f>
        <v>0.3891300000000002</v>
      </c>
      <c r="Q301">
        <f>P301/O301</f>
        <v>6.1167370941778397E-3</v>
      </c>
      <c r="R301">
        <f>I301-G301</f>
        <v>31</v>
      </c>
      <c r="S301">
        <f>Q301/R301</f>
        <v>1.9731409981218838E-4</v>
      </c>
      <c r="T301">
        <f>S301*10000</f>
        <v>1.9731409981218839</v>
      </c>
    </row>
    <row r="302" spans="1:20" x14ac:dyDescent="0.3">
      <c r="A302" t="s">
        <v>46</v>
      </c>
      <c r="B302" t="s">
        <v>40</v>
      </c>
      <c r="C302">
        <v>1</v>
      </c>
      <c r="D302">
        <v>48</v>
      </c>
      <c r="E302" t="s">
        <v>24</v>
      </c>
      <c r="F302">
        <v>0.43795000000000001</v>
      </c>
      <c r="G302" s="1">
        <v>45877</v>
      </c>
      <c r="H302">
        <v>2.7134900000000002</v>
      </c>
      <c r="I302" s="1">
        <v>45908</v>
      </c>
      <c r="J302">
        <v>63.617251160000002</v>
      </c>
      <c r="K302">
        <v>5.31</v>
      </c>
      <c r="L302">
        <v>1</v>
      </c>
      <c r="M302">
        <v>3.36327</v>
      </c>
      <c r="N302">
        <f>L302*F302</f>
        <v>0.43795000000000001</v>
      </c>
      <c r="O302">
        <f>L302*J302</f>
        <v>63.617251160000002</v>
      </c>
      <c r="P302">
        <f>M302-N302-H302</f>
        <v>0.21182999999999996</v>
      </c>
      <c r="Q302">
        <f>P302/O302</f>
        <v>3.3297571985189804E-3</v>
      </c>
      <c r="R302">
        <f>I302-G302</f>
        <v>31</v>
      </c>
      <c r="S302">
        <f>Q302/R302</f>
        <v>1.0741152253287033E-4</v>
      </c>
      <c r="T302">
        <f>S302*10000</f>
        <v>1.0741152253287034</v>
      </c>
    </row>
    <row r="303" spans="1:20" x14ac:dyDescent="0.3">
      <c r="A303" t="s">
        <v>46</v>
      </c>
      <c r="B303" t="s">
        <v>40</v>
      </c>
      <c r="C303">
        <v>2</v>
      </c>
      <c r="D303">
        <v>0.5</v>
      </c>
      <c r="E303" t="s">
        <v>47</v>
      </c>
      <c r="F303">
        <v>0.45873000000000003</v>
      </c>
      <c r="G303" s="1">
        <v>45877</v>
      </c>
      <c r="H303">
        <v>2.7340399999999998</v>
      </c>
      <c r="I303" s="1">
        <v>45908</v>
      </c>
      <c r="J303">
        <v>63.617251160000002</v>
      </c>
      <c r="K303">
        <v>5.31</v>
      </c>
      <c r="L303">
        <v>0.25</v>
      </c>
      <c r="M303">
        <v>3.0725199999999999</v>
      </c>
      <c r="N303">
        <f>L303*F303</f>
        <v>0.11468250000000001</v>
      </c>
      <c r="O303">
        <f>L303*J303</f>
        <v>15.904312790000001</v>
      </c>
      <c r="P303">
        <f>M303-N303-H303</f>
        <v>0.22379750000000032</v>
      </c>
      <c r="Q303">
        <f>P303/O303</f>
        <v>1.407149764689709E-2</v>
      </c>
      <c r="R303">
        <f>I303-G303</f>
        <v>31</v>
      </c>
      <c r="S303">
        <f>Q303/R303</f>
        <v>4.5391927893216421E-4</v>
      </c>
      <c r="T303">
        <f>S303*10000</f>
        <v>4.5391927893216417</v>
      </c>
    </row>
    <row r="304" spans="1:20" x14ac:dyDescent="0.3">
      <c r="A304" t="s">
        <v>46</v>
      </c>
      <c r="B304" t="s">
        <v>40</v>
      </c>
      <c r="C304">
        <v>2</v>
      </c>
      <c r="D304">
        <v>0.5</v>
      </c>
      <c r="E304" t="s">
        <v>23</v>
      </c>
      <c r="F304">
        <v>0.43486999999999998</v>
      </c>
      <c r="G304" s="1">
        <v>45877</v>
      </c>
      <c r="H304">
        <v>2.7327599999999999</v>
      </c>
      <c r="I304" s="1">
        <v>45908</v>
      </c>
      <c r="J304">
        <v>63.617251160000002</v>
      </c>
      <c r="K304">
        <v>5.31</v>
      </c>
      <c r="L304">
        <v>0.5</v>
      </c>
      <c r="M304">
        <v>4.7463199999999999</v>
      </c>
      <c r="N304">
        <f>L304*F304</f>
        <v>0.21743499999999999</v>
      </c>
      <c r="O304">
        <f>L304*J304</f>
        <v>31.808625580000001</v>
      </c>
      <c r="P304">
        <f>M304-N304-H304</f>
        <v>1.796125</v>
      </c>
      <c r="Q304">
        <f>P304/O304</f>
        <v>5.6466601975073451E-2</v>
      </c>
      <c r="R304">
        <f>I304-G304</f>
        <v>31</v>
      </c>
      <c r="S304">
        <f>Q304/R304</f>
        <v>1.8215032895184985E-3</v>
      </c>
      <c r="T304">
        <f>S304*10000</f>
        <v>18.215032895184986</v>
      </c>
    </row>
    <row r="305" spans="1:20" x14ac:dyDescent="0.3">
      <c r="A305" t="s">
        <v>46</v>
      </c>
      <c r="B305" t="s">
        <v>40</v>
      </c>
      <c r="C305">
        <v>2</v>
      </c>
      <c r="D305">
        <v>0.5</v>
      </c>
      <c r="E305" t="s">
        <v>24</v>
      </c>
      <c r="F305">
        <v>0.43528</v>
      </c>
      <c r="G305" s="1">
        <v>45877</v>
      </c>
      <c r="H305">
        <v>2.6816</v>
      </c>
      <c r="I305" s="1">
        <v>45908</v>
      </c>
      <c r="J305">
        <v>63.617251160000002</v>
      </c>
      <c r="K305">
        <v>5.31</v>
      </c>
      <c r="L305">
        <v>0.5</v>
      </c>
      <c r="M305">
        <v>3.7936999999999999</v>
      </c>
      <c r="N305">
        <f>L305*F305</f>
        <v>0.21764</v>
      </c>
      <c r="O305">
        <f>L305*J305</f>
        <v>31.808625580000001</v>
      </c>
      <c r="P305">
        <f>M305-N305-H305</f>
        <v>0.89446000000000003</v>
      </c>
      <c r="Q305">
        <f>P305/O305</f>
        <v>2.8120045543948334E-2</v>
      </c>
      <c r="R305">
        <f>I305-G305</f>
        <v>31</v>
      </c>
      <c r="S305">
        <f>Q305/R305</f>
        <v>9.0709824335317209E-4</v>
      </c>
      <c r="T305">
        <f>S305*10000</f>
        <v>9.0709824335317215</v>
      </c>
    </row>
    <row r="306" spans="1:20" x14ac:dyDescent="0.3">
      <c r="A306" t="s">
        <v>46</v>
      </c>
      <c r="B306" t="s">
        <v>40</v>
      </c>
      <c r="C306">
        <v>2</v>
      </c>
      <c r="D306">
        <v>2</v>
      </c>
      <c r="E306" t="s">
        <v>47</v>
      </c>
      <c r="F306">
        <v>0.45671</v>
      </c>
      <c r="G306" s="1">
        <v>45877</v>
      </c>
      <c r="H306">
        <v>2.7143999999999999</v>
      </c>
      <c r="I306" s="1">
        <v>45908</v>
      </c>
      <c r="J306">
        <v>63.617251160000002</v>
      </c>
      <c r="K306">
        <v>5.31</v>
      </c>
      <c r="L306">
        <v>1</v>
      </c>
      <c r="M306">
        <v>15.213039999999999</v>
      </c>
      <c r="N306">
        <f>L306*F306</f>
        <v>0.45671</v>
      </c>
      <c r="O306">
        <f>L306*J306</f>
        <v>63.617251160000002</v>
      </c>
      <c r="P306">
        <f>M306-N306-H306</f>
        <v>12.041930000000001</v>
      </c>
      <c r="Q306">
        <f>P306/O306</f>
        <v>0.18928717887722077</v>
      </c>
      <c r="R306">
        <f>I306-G306</f>
        <v>31</v>
      </c>
      <c r="S306">
        <f>Q306/R306</f>
        <v>6.1060380282974445E-3</v>
      </c>
      <c r="T306">
        <f>S306*10000</f>
        <v>61.060380282974442</v>
      </c>
    </row>
    <row r="307" spans="1:20" x14ac:dyDescent="0.3">
      <c r="A307" t="s">
        <v>46</v>
      </c>
      <c r="B307" t="s">
        <v>40</v>
      </c>
      <c r="C307">
        <v>2</v>
      </c>
      <c r="D307">
        <v>2</v>
      </c>
      <c r="E307" t="s">
        <v>23</v>
      </c>
      <c r="F307">
        <v>0.43561</v>
      </c>
      <c r="G307" s="1">
        <v>45877</v>
      </c>
      <c r="H307">
        <v>2.6773500000000001</v>
      </c>
      <c r="I307" s="1">
        <v>45908</v>
      </c>
      <c r="J307">
        <v>63.617251160000002</v>
      </c>
      <c r="K307">
        <v>5.31</v>
      </c>
      <c r="L307">
        <v>1</v>
      </c>
      <c r="M307">
        <v>9.1604600000000005</v>
      </c>
      <c r="N307">
        <f>L307*F307</f>
        <v>0.43561</v>
      </c>
      <c r="O307">
        <f>L307*J307</f>
        <v>63.617251160000002</v>
      </c>
      <c r="P307">
        <f>M307-N307-H307</f>
        <v>6.0474999999999994</v>
      </c>
      <c r="Q307">
        <f>P307/O307</f>
        <v>9.5060693282554579E-2</v>
      </c>
      <c r="R307">
        <f>I307-G307</f>
        <v>31</v>
      </c>
      <c r="S307">
        <f>Q307/R307</f>
        <v>3.0664739768565992E-3</v>
      </c>
      <c r="T307">
        <f>S307*10000</f>
        <v>30.66473976856599</v>
      </c>
    </row>
    <row r="308" spans="1:20" x14ac:dyDescent="0.3">
      <c r="A308" t="s">
        <v>46</v>
      </c>
      <c r="B308" t="s">
        <v>40</v>
      </c>
      <c r="C308">
        <v>2</v>
      </c>
      <c r="D308">
        <v>2</v>
      </c>
      <c r="E308" t="s">
        <v>24</v>
      </c>
      <c r="F308">
        <v>0.45680999999999999</v>
      </c>
      <c r="G308" s="1">
        <v>45877</v>
      </c>
      <c r="H308">
        <v>2.6844399999999999</v>
      </c>
      <c r="I308" s="1">
        <v>45908</v>
      </c>
      <c r="J308">
        <v>63.617251160000002</v>
      </c>
      <c r="K308">
        <v>5.31</v>
      </c>
      <c r="L308">
        <v>1</v>
      </c>
      <c r="M308">
        <v>7.9500599999999997</v>
      </c>
      <c r="N308">
        <f>L308*F308</f>
        <v>0.45680999999999999</v>
      </c>
      <c r="O308">
        <f>L308*J308</f>
        <v>63.617251160000002</v>
      </c>
      <c r="P308">
        <f>M308-N308-H308</f>
        <v>4.8088099999999994</v>
      </c>
      <c r="Q308">
        <f>P308/O308</f>
        <v>7.5589716819194921E-2</v>
      </c>
      <c r="R308">
        <f>I308-G308</f>
        <v>31</v>
      </c>
      <c r="S308">
        <f>Q308/R308</f>
        <v>2.4383779619095137E-3</v>
      </c>
      <c r="T308">
        <f>S308*10000</f>
        <v>24.383779619095137</v>
      </c>
    </row>
    <row r="309" spans="1:20" x14ac:dyDescent="0.3">
      <c r="A309" t="s">
        <v>46</v>
      </c>
      <c r="B309" t="s">
        <v>40</v>
      </c>
      <c r="C309">
        <v>2</v>
      </c>
      <c r="D309">
        <v>6</v>
      </c>
      <c r="E309" t="s">
        <v>47</v>
      </c>
      <c r="F309">
        <v>0.43590000000000001</v>
      </c>
      <c r="G309" s="1">
        <v>45877</v>
      </c>
      <c r="H309">
        <v>2.6589800000000001</v>
      </c>
      <c r="I309" s="1">
        <v>45908</v>
      </c>
      <c r="J309">
        <v>63.617251160000002</v>
      </c>
      <c r="K309">
        <v>5.31</v>
      </c>
      <c r="L309">
        <v>0.75</v>
      </c>
      <c r="M309">
        <v>3.3102499999999999</v>
      </c>
      <c r="N309">
        <f>L309*F309</f>
        <v>0.32692500000000002</v>
      </c>
      <c r="O309">
        <f>L309*J309</f>
        <v>47.712938370000003</v>
      </c>
      <c r="P309">
        <f>M309-N309-H309</f>
        <v>0.32434499999999966</v>
      </c>
      <c r="Q309">
        <f>P309/O309</f>
        <v>6.7978416563825566E-3</v>
      </c>
      <c r="R309">
        <f>I309-G309</f>
        <v>31</v>
      </c>
      <c r="S309">
        <f>Q309/R309</f>
        <v>2.1928521472201794E-4</v>
      </c>
      <c r="T309">
        <f>S309*10000</f>
        <v>2.1928521472201794</v>
      </c>
    </row>
    <row r="310" spans="1:20" x14ac:dyDescent="0.3">
      <c r="A310" t="s">
        <v>46</v>
      </c>
      <c r="B310" t="s">
        <v>40</v>
      </c>
      <c r="C310">
        <v>2</v>
      </c>
      <c r="D310">
        <v>6</v>
      </c>
      <c r="E310" t="s">
        <v>23</v>
      </c>
      <c r="F310">
        <v>0.43609999999999999</v>
      </c>
      <c r="G310" s="1">
        <v>45877</v>
      </c>
      <c r="H310">
        <v>2.6513399999999998</v>
      </c>
      <c r="I310" s="1">
        <v>45908</v>
      </c>
      <c r="J310">
        <v>63.617251160000002</v>
      </c>
      <c r="K310">
        <v>5.31</v>
      </c>
      <c r="L310">
        <v>0.5</v>
      </c>
      <c r="M310">
        <v>3.3054000000000001</v>
      </c>
      <c r="N310">
        <f>L310*F310</f>
        <v>0.21804999999999999</v>
      </c>
      <c r="O310">
        <f>L310*J310</f>
        <v>31.808625580000001</v>
      </c>
      <c r="P310">
        <f>M310-N310-H310</f>
        <v>0.43601000000000045</v>
      </c>
      <c r="Q310">
        <f>P310/O310</f>
        <v>1.3707288260645446E-2</v>
      </c>
      <c r="R310">
        <f>I310-G310</f>
        <v>31</v>
      </c>
      <c r="S310">
        <f>Q310/R310</f>
        <v>4.4217058905307891E-4</v>
      </c>
      <c r="T310">
        <f>S310*10000</f>
        <v>4.4217058905307889</v>
      </c>
    </row>
    <row r="311" spans="1:20" x14ac:dyDescent="0.3">
      <c r="A311" t="s">
        <v>46</v>
      </c>
      <c r="B311" t="s">
        <v>40</v>
      </c>
      <c r="C311">
        <v>2</v>
      </c>
      <c r="D311">
        <v>6</v>
      </c>
      <c r="E311" t="s">
        <v>24</v>
      </c>
      <c r="F311">
        <v>0.45818999999999999</v>
      </c>
      <c r="G311" s="1">
        <v>45877</v>
      </c>
      <c r="H311">
        <v>2.6929099999999999</v>
      </c>
      <c r="I311" s="1">
        <v>45908</v>
      </c>
      <c r="J311">
        <v>63.617251160000002</v>
      </c>
      <c r="K311">
        <v>5.31</v>
      </c>
      <c r="L311">
        <v>1</v>
      </c>
      <c r="M311">
        <v>4.4328599999999998</v>
      </c>
      <c r="N311">
        <f>L311*F311</f>
        <v>0.45818999999999999</v>
      </c>
      <c r="O311">
        <f>L311*J311</f>
        <v>63.617251160000002</v>
      </c>
      <c r="P311">
        <f>M311-N311-H311</f>
        <v>1.2817599999999998</v>
      </c>
      <c r="Q311">
        <f>P311/O311</f>
        <v>2.014799408381102E-2</v>
      </c>
      <c r="R311">
        <f>I311-G311</f>
        <v>31</v>
      </c>
      <c r="S311">
        <f>Q311/R311</f>
        <v>6.4993529302616196E-4</v>
      </c>
      <c r="T311">
        <f>S311*10000</f>
        <v>6.4993529302616198</v>
      </c>
    </row>
    <row r="312" spans="1:20" x14ac:dyDescent="0.3">
      <c r="A312" t="s">
        <v>46</v>
      </c>
      <c r="B312" t="s">
        <v>40</v>
      </c>
      <c r="C312">
        <v>2</v>
      </c>
      <c r="D312">
        <v>12</v>
      </c>
      <c r="E312" t="s">
        <v>47</v>
      </c>
      <c r="F312">
        <v>0.43398999999999999</v>
      </c>
      <c r="G312" s="1">
        <v>45877</v>
      </c>
      <c r="H312">
        <v>2.6891400000000001</v>
      </c>
      <c r="I312" s="1">
        <v>45908</v>
      </c>
      <c r="J312">
        <v>63.617251160000002</v>
      </c>
      <c r="K312">
        <v>5.31</v>
      </c>
      <c r="L312">
        <v>1</v>
      </c>
      <c r="M312">
        <v>3.7229100000000002</v>
      </c>
      <c r="N312">
        <f>L312*F312</f>
        <v>0.43398999999999999</v>
      </c>
      <c r="O312">
        <f>L312*J312</f>
        <v>63.617251160000002</v>
      </c>
      <c r="P312">
        <f>M312-N312-H312</f>
        <v>0.59977999999999998</v>
      </c>
      <c r="Q312">
        <f>P312/O312</f>
        <v>9.4279458647392456E-3</v>
      </c>
      <c r="R312">
        <f>I312-G312</f>
        <v>31</v>
      </c>
      <c r="S312">
        <f>Q312/R312</f>
        <v>3.041272859593305E-4</v>
      </c>
      <c r="T312">
        <f>S312*10000</f>
        <v>3.0412728595933052</v>
      </c>
    </row>
    <row r="313" spans="1:20" x14ac:dyDescent="0.3">
      <c r="A313" t="s">
        <v>46</v>
      </c>
      <c r="B313" t="s">
        <v>40</v>
      </c>
      <c r="C313">
        <v>2</v>
      </c>
      <c r="D313">
        <v>12</v>
      </c>
      <c r="E313" t="s">
        <v>23</v>
      </c>
      <c r="F313">
        <v>0.43579000000000001</v>
      </c>
      <c r="G313" s="1">
        <v>45877</v>
      </c>
      <c r="H313">
        <v>2.7095799999999999</v>
      </c>
      <c r="I313" s="1">
        <v>45908</v>
      </c>
      <c r="J313">
        <v>63.617251160000002</v>
      </c>
      <c r="K313">
        <v>5.31</v>
      </c>
      <c r="L313">
        <v>1</v>
      </c>
      <c r="M313">
        <v>3.9332199999999999</v>
      </c>
      <c r="N313">
        <f>L313*F313</f>
        <v>0.43579000000000001</v>
      </c>
      <c r="O313">
        <f>L313*J313</f>
        <v>63.617251160000002</v>
      </c>
      <c r="P313">
        <f>M313-N313-H313</f>
        <v>0.78785000000000016</v>
      </c>
      <c r="Q313">
        <f>P313/O313</f>
        <v>1.2384219463027804E-2</v>
      </c>
      <c r="R313">
        <f>I313-G313</f>
        <v>31</v>
      </c>
      <c r="S313">
        <f>Q313/R313</f>
        <v>3.9949095042025173E-4</v>
      </c>
      <c r="T313">
        <f>S313*10000</f>
        <v>3.9949095042025173</v>
      </c>
    </row>
    <row r="314" spans="1:20" x14ac:dyDescent="0.3">
      <c r="A314" t="s">
        <v>46</v>
      </c>
      <c r="B314" t="s">
        <v>40</v>
      </c>
      <c r="C314">
        <v>2</v>
      </c>
      <c r="D314">
        <v>12</v>
      </c>
      <c r="E314" t="s">
        <v>24</v>
      </c>
      <c r="F314">
        <v>0.45939000000000002</v>
      </c>
      <c r="G314" s="1">
        <v>45877</v>
      </c>
      <c r="H314">
        <v>2.69957</v>
      </c>
      <c r="I314" s="1">
        <v>45908</v>
      </c>
      <c r="J314">
        <v>63.617251160000002</v>
      </c>
      <c r="K314">
        <v>5.31</v>
      </c>
      <c r="L314" t="s">
        <v>53</v>
      </c>
      <c r="M314">
        <v>3.9141300000000001</v>
      </c>
      <c r="N314" t="e">
        <f>L314*F314</f>
        <v>#VALUE!</v>
      </c>
      <c r="O314" t="e">
        <f>L314*J314</f>
        <v>#VALUE!</v>
      </c>
      <c r="P314" t="e">
        <f>M314-N314-H314</f>
        <v>#VALUE!</v>
      </c>
      <c r="Q314" t="e">
        <f>P314/O314</f>
        <v>#VALUE!</v>
      </c>
      <c r="R314">
        <f>I314-G314</f>
        <v>31</v>
      </c>
      <c r="S314" t="e">
        <f>Q314/R314</f>
        <v>#VALUE!</v>
      </c>
      <c r="T314" t="e">
        <f>S314*10000</f>
        <v>#VALUE!</v>
      </c>
    </row>
    <row r="315" spans="1:20" x14ac:dyDescent="0.3">
      <c r="A315" t="s">
        <v>46</v>
      </c>
      <c r="B315" t="s">
        <v>40</v>
      </c>
      <c r="C315">
        <v>2</v>
      </c>
      <c r="D315">
        <v>24</v>
      </c>
      <c r="E315" t="s">
        <v>22</v>
      </c>
      <c r="F315">
        <v>0.436</v>
      </c>
      <c r="G315" s="1">
        <v>45877</v>
      </c>
      <c r="H315">
        <v>2.69815</v>
      </c>
      <c r="I315" s="1">
        <v>45908</v>
      </c>
      <c r="J315">
        <v>63.617251160000002</v>
      </c>
      <c r="K315">
        <v>5.31</v>
      </c>
      <c r="M315">
        <v>3.4820700000000002</v>
      </c>
      <c r="N315">
        <f>L315*F315</f>
        <v>0</v>
      </c>
      <c r="O315">
        <f>L315*J315</f>
        <v>0</v>
      </c>
      <c r="P315">
        <f>M315-N315-H315</f>
        <v>0.78392000000000017</v>
      </c>
      <c r="Q315" t="e">
        <f>P315/O315</f>
        <v>#DIV/0!</v>
      </c>
      <c r="R315">
        <f>I315-G315</f>
        <v>31</v>
      </c>
      <c r="S315" t="e">
        <f>Q315/R315</f>
        <v>#DIV/0!</v>
      </c>
      <c r="T315" t="e">
        <f>S315*10000</f>
        <v>#DIV/0!</v>
      </c>
    </row>
    <row r="316" spans="1:20" x14ac:dyDescent="0.3">
      <c r="A316" t="s">
        <v>46</v>
      </c>
      <c r="B316" t="s">
        <v>40</v>
      </c>
      <c r="C316">
        <v>2</v>
      </c>
      <c r="D316">
        <v>24</v>
      </c>
      <c r="E316" t="s">
        <v>23</v>
      </c>
      <c r="F316">
        <v>0.45894000000000001</v>
      </c>
      <c r="G316" s="1">
        <v>45877</v>
      </c>
      <c r="H316">
        <v>2.7324000000000002</v>
      </c>
      <c r="I316" s="1">
        <v>45908</v>
      </c>
      <c r="J316">
        <v>63.617251160000002</v>
      </c>
      <c r="K316">
        <v>5.31</v>
      </c>
      <c r="M316">
        <v>3.5205700000000002</v>
      </c>
      <c r="N316">
        <f>L316*F316</f>
        <v>0</v>
      </c>
      <c r="O316">
        <f>L316*J316</f>
        <v>0</v>
      </c>
      <c r="P316">
        <f>M316-N316-H316</f>
        <v>0.78817000000000004</v>
      </c>
      <c r="Q316" t="e">
        <f>P316/O316</f>
        <v>#DIV/0!</v>
      </c>
      <c r="R316">
        <f>I316-G316</f>
        <v>31</v>
      </c>
      <c r="S316" t="e">
        <f>Q316/R316</f>
        <v>#DIV/0!</v>
      </c>
      <c r="T316" t="e">
        <f>S316*10000</f>
        <v>#DIV/0!</v>
      </c>
    </row>
    <row r="317" spans="1:20" x14ac:dyDescent="0.3">
      <c r="A317" t="s">
        <v>46</v>
      </c>
      <c r="B317" t="s">
        <v>40</v>
      </c>
      <c r="C317">
        <v>2</v>
      </c>
      <c r="D317">
        <v>24</v>
      </c>
      <c r="E317" t="s">
        <v>24</v>
      </c>
      <c r="F317">
        <v>0.43474000000000002</v>
      </c>
      <c r="G317" s="1">
        <v>45877</v>
      </c>
      <c r="H317">
        <v>2.6865100000000002</v>
      </c>
      <c r="I317" s="1">
        <v>45908</v>
      </c>
      <c r="J317">
        <v>63.617251160000002</v>
      </c>
      <c r="K317">
        <v>5.31</v>
      </c>
      <c r="M317">
        <v>3.9552999999999998</v>
      </c>
      <c r="N317">
        <f>L317*F317</f>
        <v>0</v>
      </c>
      <c r="O317">
        <f>L317*J317</f>
        <v>0</v>
      </c>
      <c r="P317">
        <f>M317-N317-H317</f>
        <v>1.2687899999999996</v>
      </c>
      <c r="Q317" t="e">
        <f>P317/O317</f>
        <v>#DIV/0!</v>
      </c>
      <c r="R317">
        <f>I317-G317</f>
        <v>31</v>
      </c>
      <c r="S317" t="e">
        <f>Q317/R317</f>
        <v>#DIV/0!</v>
      </c>
      <c r="T317" t="e">
        <f>S317*10000</f>
        <v>#DIV/0!</v>
      </c>
    </row>
    <row r="318" spans="1:20" x14ac:dyDescent="0.3">
      <c r="A318" t="s">
        <v>46</v>
      </c>
      <c r="B318" t="s">
        <v>40</v>
      </c>
      <c r="C318">
        <v>2</v>
      </c>
      <c r="D318">
        <v>48</v>
      </c>
      <c r="E318" t="s">
        <v>47</v>
      </c>
      <c r="F318">
        <v>0.43903999999999999</v>
      </c>
      <c r="G318" s="1">
        <v>45877</v>
      </c>
      <c r="H318">
        <v>2.7147299999999999</v>
      </c>
      <c r="I318" s="1">
        <v>45908</v>
      </c>
      <c r="J318">
        <v>63.617251160000002</v>
      </c>
      <c r="K318">
        <v>5.31</v>
      </c>
      <c r="L318">
        <v>1</v>
      </c>
      <c r="M318">
        <v>3.5979299999999999</v>
      </c>
      <c r="N318">
        <f>L318*F318</f>
        <v>0.43903999999999999</v>
      </c>
      <c r="O318">
        <f>L318*J318</f>
        <v>63.617251160000002</v>
      </c>
      <c r="P318">
        <f>M318-N318-H318</f>
        <v>0.44416000000000011</v>
      </c>
      <c r="Q318">
        <f>P318/O318</f>
        <v>6.9817540352839118E-3</v>
      </c>
      <c r="R318">
        <f>I318-G318</f>
        <v>31</v>
      </c>
      <c r="S318">
        <f>Q318/R318</f>
        <v>2.2521787210593263E-4</v>
      </c>
      <c r="T318">
        <f>S318*10000</f>
        <v>2.2521787210593263</v>
      </c>
    </row>
    <row r="319" spans="1:20" x14ac:dyDescent="0.3">
      <c r="A319" t="s">
        <v>46</v>
      </c>
      <c r="B319" t="s">
        <v>40</v>
      </c>
      <c r="C319">
        <v>2</v>
      </c>
      <c r="D319">
        <v>48</v>
      </c>
      <c r="E319" t="s">
        <v>23</v>
      </c>
      <c r="F319">
        <v>0.43436000000000002</v>
      </c>
      <c r="G319" s="1">
        <v>45877</v>
      </c>
      <c r="H319">
        <v>2.7041300000000001</v>
      </c>
      <c r="I319" s="1">
        <v>45908</v>
      </c>
      <c r="J319">
        <v>63.617251160000002</v>
      </c>
      <c r="K319">
        <v>5.31</v>
      </c>
      <c r="L319">
        <v>1</v>
      </c>
      <c r="M319">
        <v>3.8109199999999999</v>
      </c>
      <c r="N319">
        <f>L319*F319</f>
        <v>0.43436000000000002</v>
      </c>
      <c r="O319">
        <f>L319*J319</f>
        <v>63.617251160000002</v>
      </c>
      <c r="P319">
        <f>M319-N319-H319</f>
        <v>0.67242999999999986</v>
      </c>
      <c r="Q319">
        <f>P319/O319</f>
        <v>1.0569931704669395E-2</v>
      </c>
      <c r="R319">
        <f>I319-G319</f>
        <v>31</v>
      </c>
      <c r="S319">
        <f>Q319/R319</f>
        <v>3.4096553886030304E-4</v>
      </c>
      <c r="T319">
        <f>S319*10000</f>
        <v>3.4096553886030305</v>
      </c>
    </row>
    <row r="320" spans="1:20" x14ac:dyDescent="0.3">
      <c r="A320" t="s">
        <v>46</v>
      </c>
      <c r="B320" t="s">
        <v>40</v>
      </c>
      <c r="C320">
        <v>2</v>
      </c>
      <c r="D320">
        <v>48</v>
      </c>
      <c r="E320" t="s">
        <v>24</v>
      </c>
      <c r="F320">
        <v>0.45072000000000001</v>
      </c>
      <c r="G320" s="1">
        <v>45877</v>
      </c>
      <c r="H320">
        <v>2.71767</v>
      </c>
      <c r="I320" s="1">
        <v>45908</v>
      </c>
      <c r="J320">
        <v>63.617251160000002</v>
      </c>
      <c r="K320">
        <v>5.31</v>
      </c>
      <c r="L320">
        <v>1</v>
      </c>
      <c r="M320">
        <v>3.6093999999999999</v>
      </c>
      <c r="N320">
        <f>L320*F320</f>
        <v>0.45072000000000001</v>
      </c>
      <c r="O320">
        <f>L320*J320</f>
        <v>63.617251160000002</v>
      </c>
      <c r="P320">
        <f>M320-N320-H320</f>
        <v>0.4410099999999999</v>
      </c>
      <c r="Q320">
        <f>P320/O320</f>
        <v>6.9322391640412378E-3</v>
      </c>
      <c r="R320">
        <f>I320-G320</f>
        <v>31</v>
      </c>
      <c r="S320">
        <f>Q320/R320</f>
        <v>2.2362061819487865E-4</v>
      </c>
      <c r="T320">
        <f>S320*10000</f>
        <v>2.2362061819487864</v>
      </c>
    </row>
    <row r="321" spans="1:20" x14ac:dyDescent="0.3">
      <c r="A321" t="s">
        <v>46</v>
      </c>
      <c r="B321" t="s">
        <v>40</v>
      </c>
      <c r="E321" t="s">
        <v>48</v>
      </c>
      <c r="F321">
        <v>0.45055000000000001</v>
      </c>
      <c r="G321" s="1">
        <v>45877</v>
      </c>
      <c r="H321">
        <v>2.7150300000000001</v>
      </c>
      <c r="I321" s="1">
        <v>45908</v>
      </c>
      <c r="J321">
        <v>63.617251160000002</v>
      </c>
      <c r="K321">
        <v>5.31</v>
      </c>
      <c r="L321" t="s">
        <v>27</v>
      </c>
      <c r="M321" t="s">
        <v>27</v>
      </c>
      <c r="N321" t="e">
        <f>L321*F321</f>
        <v>#VALUE!</v>
      </c>
      <c r="O321" t="e">
        <f>L321*J321</f>
        <v>#VALUE!</v>
      </c>
      <c r="P321" t="e">
        <f>M321-N321-H321</f>
        <v>#VALUE!</v>
      </c>
      <c r="Q321" t="e">
        <f>P321/O321</f>
        <v>#VALUE!</v>
      </c>
      <c r="R321">
        <f>I321-G321</f>
        <v>31</v>
      </c>
      <c r="S321" t="e">
        <f>Q321/R321</f>
        <v>#VALUE!</v>
      </c>
      <c r="T321" t="e">
        <f>S321*10000</f>
        <v>#VALUE!</v>
      </c>
    </row>
    <row r="322" spans="1:20" x14ac:dyDescent="0.3">
      <c r="A322" t="s">
        <v>46</v>
      </c>
      <c r="B322" t="s">
        <v>40</v>
      </c>
      <c r="E322" t="s">
        <v>49</v>
      </c>
      <c r="F322">
        <v>0.43281999999999998</v>
      </c>
      <c r="G322" s="1">
        <v>45877</v>
      </c>
      <c r="H322">
        <v>2.6909100000000001</v>
      </c>
      <c r="I322" s="1">
        <v>45908</v>
      </c>
      <c r="J322">
        <v>63.617251160000002</v>
      </c>
      <c r="K322">
        <v>5.31</v>
      </c>
      <c r="L322" t="s">
        <v>27</v>
      </c>
      <c r="M322" t="s">
        <v>27</v>
      </c>
      <c r="N322" t="e">
        <f>L322*F322</f>
        <v>#VALUE!</v>
      </c>
      <c r="O322" t="e">
        <f>L322*J322</f>
        <v>#VALUE!</v>
      </c>
      <c r="P322" t="e">
        <f>M322-N322-H322</f>
        <v>#VALUE!</v>
      </c>
      <c r="Q322" t="e">
        <f>P322/O322</f>
        <v>#VALUE!</v>
      </c>
      <c r="R322">
        <f>I322-G322</f>
        <v>31</v>
      </c>
      <c r="S322" t="e">
        <f>Q322/R322</f>
        <v>#VALUE!</v>
      </c>
      <c r="T322" t="e">
        <f>S322*10000</f>
        <v>#VALUE!</v>
      </c>
    </row>
    <row r="323" spans="1:20" x14ac:dyDescent="0.3">
      <c r="A323" t="s">
        <v>46</v>
      </c>
      <c r="B323" t="s">
        <v>40</v>
      </c>
      <c r="E323" t="s">
        <v>50</v>
      </c>
      <c r="F323">
        <v>0.43341000000000002</v>
      </c>
      <c r="G323" s="1">
        <v>45877</v>
      </c>
      <c r="H323">
        <v>2.7134399999999999</v>
      </c>
      <c r="I323" s="1">
        <v>45908</v>
      </c>
      <c r="J323">
        <v>63.617251160000002</v>
      </c>
      <c r="K323">
        <v>5.31</v>
      </c>
      <c r="L323" t="s">
        <v>27</v>
      </c>
      <c r="M323" t="s">
        <v>27</v>
      </c>
      <c r="N323" t="e">
        <f>L323*F323</f>
        <v>#VALUE!</v>
      </c>
      <c r="O323" t="e">
        <f>L323*J323</f>
        <v>#VALUE!</v>
      </c>
      <c r="P323" t="e">
        <f>M323-N323-H323</f>
        <v>#VALUE!</v>
      </c>
      <c r="Q323" t="e">
        <f>P323/O323</f>
        <v>#VALUE!</v>
      </c>
      <c r="R323">
        <f>I323-G323</f>
        <v>31</v>
      </c>
      <c r="S323" t="e">
        <f>Q323/R323</f>
        <v>#VALUE!</v>
      </c>
      <c r="T323" t="e">
        <f>S323*10000</f>
        <v>#VALUE!</v>
      </c>
    </row>
    <row r="324" spans="1:20" x14ac:dyDescent="0.3">
      <c r="A324" t="s">
        <v>46</v>
      </c>
      <c r="B324" t="s">
        <v>40</v>
      </c>
      <c r="E324" t="s">
        <v>51</v>
      </c>
      <c r="F324">
        <v>0.45540000000000003</v>
      </c>
      <c r="G324" s="1">
        <v>45877</v>
      </c>
      <c r="H324">
        <v>2.7367900000000001</v>
      </c>
      <c r="I324" s="1">
        <v>45908</v>
      </c>
      <c r="J324">
        <v>63.617251160000002</v>
      </c>
      <c r="K324">
        <v>5.31</v>
      </c>
      <c r="L324" t="s">
        <v>27</v>
      </c>
      <c r="M324" t="s">
        <v>27</v>
      </c>
      <c r="N324" t="e">
        <f>L324*F324</f>
        <v>#VALUE!</v>
      </c>
      <c r="O324" t="e">
        <f>L324*J324</f>
        <v>#VALUE!</v>
      </c>
      <c r="P324" t="e">
        <f>M324-N324-H324</f>
        <v>#VALUE!</v>
      </c>
      <c r="Q324" t="e">
        <f>P324/O324</f>
        <v>#VALUE!</v>
      </c>
      <c r="R324">
        <f>I324-G324</f>
        <v>31</v>
      </c>
      <c r="S324" t="e">
        <f>Q324/R324</f>
        <v>#VALUE!</v>
      </c>
      <c r="T324" t="e">
        <f>S324*10000</f>
        <v>#VALUE!</v>
      </c>
    </row>
    <row r="325" spans="1:20" x14ac:dyDescent="0.3">
      <c r="A325" t="s">
        <v>54</v>
      </c>
      <c r="B325" t="s">
        <v>44</v>
      </c>
      <c r="C325">
        <v>1</v>
      </c>
      <c r="D325">
        <v>0.5</v>
      </c>
      <c r="E325" t="s">
        <v>22</v>
      </c>
      <c r="F325">
        <v>0.44672000000000001</v>
      </c>
      <c r="G325" s="1">
        <v>45903</v>
      </c>
      <c r="H325">
        <v>2.4193899999999999</v>
      </c>
      <c r="I325" s="1">
        <v>45938</v>
      </c>
      <c r="J325">
        <v>63.617251160000002</v>
      </c>
      <c r="K325">
        <v>5.31</v>
      </c>
      <c r="L325">
        <v>1</v>
      </c>
      <c r="M325">
        <v>4.5986000000000002</v>
      </c>
      <c r="N325">
        <f>L325*F325</f>
        <v>0.44672000000000001</v>
      </c>
      <c r="O325">
        <f>L325*J325</f>
        <v>63.617251160000002</v>
      </c>
      <c r="P325">
        <f>M325-N325-H325</f>
        <v>1.7324900000000003</v>
      </c>
      <c r="Q325">
        <f>P325/O325</f>
        <v>2.723302199340108E-2</v>
      </c>
      <c r="R325">
        <f>I325-G325</f>
        <v>35</v>
      </c>
      <c r="S325">
        <f>Q325/R325</f>
        <v>7.7808634266860225E-4</v>
      </c>
      <c r="T325">
        <f>S325*10000</f>
        <v>7.7808634266860226</v>
      </c>
    </row>
    <row r="326" spans="1:20" x14ac:dyDescent="0.3">
      <c r="A326" t="s">
        <v>54</v>
      </c>
      <c r="B326" t="s">
        <v>44</v>
      </c>
      <c r="C326">
        <v>1</v>
      </c>
      <c r="D326">
        <v>0.5</v>
      </c>
      <c r="E326" t="s">
        <v>23</v>
      </c>
      <c r="F326">
        <v>0.45561000000000001</v>
      </c>
      <c r="G326" s="1">
        <v>45903</v>
      </c>
      <c r="H326">
        <v>2.4231400000000001</v>
      </c>
      <c r="I326" s="1">
        <v>45938</v>
      </c>
      <c r="J326">
        <v>63.617251160000002</v>
      </c>
      <c r="K326">
        <v>5.31</v>
      </c>
      <c r="L326">
        <v>1</v>
      </c>
      <c r="M326">
        <v>4.4741</v>
      </c>
      <c r="N326">
        <f>L326*F326</f>
        <v>0.45561000000000001</v>
      </c>
      <c r="O326">
        <f>L326*J326</f>
        <v>63.617251160000002</v>
      </c>
      <c r="P326">
        <f>M326-N326-H326</f>
        <v>1.5953499999999998</v>
      </c>
      <c r="Q326">
        <f>P326/O326</f>
        <v>2.5077317408569399E-2</v>
      </c>
      <c r="R326">
        <f>I326-G326</f>
        <v>35</v>
      </c>
      <c r="S326">
        <f>Q326/R326</f>
        <v>7.1649478310198281E-4</v>
      </c>
      <c r="T326">
        <f>S326*10000</f>
        <v>7.1649478310198278</v>
      </c>
    </row>
    <row r="327" spans="1:20" x14ac:dyDescent="0.3">
      <c r="A327" t="s">
        <v>54</v>
      </c>
      <c r="B327" t="s">
        <v>44</v>
      </c>
      <c r="C327">
        <v>1</v>
      </c>
      <c r="D327">
        <v>0.5</v>
      </c>
      <c r="E327" t="s">
        <v>24</v>
      </c>
      <c r="F327">
        <v>0.44490000000000002</v>
      </c>
      <c r="G327" s="1">
        <v>45903</v>
      </c>
      <c r="H327">
        <v>2.4305099999999999</v>
      </c>
      <c r="I327" s="1">
        <v>45938</v>
      </c>
      <c r="J327">
        <v>63.617251160000002</v>
      </c>
      <c r="K327">
        <v>5.31</v>
      </c>
      <c r="L327">
        <v>1</v>
      </c>
      <c r="M327">
        <v>4.0592899999999998</v>
      </c>
      <c r="N327">
        <f>L327*F327</f>
        <v>0.44490000000000002</v>
      </c>
      <c r="O327">
        <f>L327*J327</f>
        <v>63.617251160000002</v>
      </c>
      <c r="P327">
        <f>M327-N327-H327</f>
        <v>1.1838799999999998</v>
      </c>
      <c r="Q327">
        <f>P327/O327</f>
        <v>1.8609417703737197E-2</v>
      </c>
      <c r="R327">
        <f>I327-G327</f>
        <v>35</v>
      </c>
      <c r="S327">
        <f>Q327/R327</f>
        <v>5.3169764867820558E-4</v>
      </c>
      <c r="T327">
        <f>S327*10000</f>
        <v>5.3169764867820559</v>
      </c>
    </row>
    <row r="328" spans="1:20" x14ac:dyDescent="0.3">
      <c r="A328" t="s">
        <v>54</v>
      </c>
      <c r="B328" t="s">
        <v>44</v>
      </c>
      <c r="C328">
        <v>1</v>
      </c>
      <c r="D328">
        <v>2</v>
      </c>
      <c r="E328" t="s">
        <v>22</v>
      </c>
      <c r="F328">
        <v>0.45678999999999997</v>
      </c>
      <c r="G328" s="1">
        <v>45903</v>
      </c>
      <c r="H328">
        <v>2.4417</v>
      </c>
      <c r="I328" s="1">
        <v>45938</v>
      </c>
      <c r="J328">
        <v>63.617251160000002</v>
      </c>
      <c r="K328">
        <v>5.31</v>
      </c>
      <c r="L328">
        <v>1</v>
      </c>
      <c r="M328">
        <v>3.4215499999999999</v>
      </c>
      <c r="N328">
        <f>L328*F328</f>
        <v>0.45678999999999997</v>
      </c>
      <c r="O328">
        <f>L328*J328</f>
        <v>63.617251160000002</v>
      </c>
      <c r="P328">
        <f>M328-N328-H328</f>
        <v>0.52306000000000008</v>
      </c>
      <c r="Q328">
        <f>P328/O328</f>
        <v>8.221983667362218E-3</v>
      </c>
      <c r="R328">
        <f>I328-G328</f>
        <v>35</v>
      </c>
      <c r="S328">
        <f>Q328/R328</f>
        <v>2.3491381906749195E-4</v>
      </c>
      <c r="T328">
        <f>S328*10000</f>
        <v>2.3491381906749194</v>
      </c>
    </row>
    <row r="329" spans="1:20" x14ac:dyDescent="0.3">
      <c r="A329" t="s">
        <v>54</v>
      </c>
      <c r="B329" t="s">
        <v>44</v>
      </c>
      <c r="C329">
        <v>1</v>
      </c>
      <c r="D329">
        <v>2</v>
      </c>
      <c r="E329" t="s">
        <v>23</v>
      </c>
      <c r="F329">
        <v>0.44362000000000001</v>
      </c>
      <c r="G329" s="1">
        <v>45903</v>
      </c>
      <c r="H329">
        <v>2.4295</v>
      </c>
      <c r="I329" s="1">
        <v>45938</v>
      </c>
      <c r="J329">
        <v>63.617251160000002</v>
      </c>
      <c r="K329">
        <v>5.31</v>
      </c>
      <c r="L329">
        <v>1</v>
      </c>
      <c r="M329">
        <v>3.3170500000000001</v>
      </c>
      <c r="N329">
        <f>L329*F329</f>
        <v>0.44362000000000001</v>
      </c>
      <c r="O329">
        <f>L329*J329</f>
        <v>63.617251160000002</v>
      </c>
      <c r="P329">
        <f>M329-N329-H329</f>
        <v>0.44392999999999994</v>
      </c>
      <c r="Q329">
        <f>P329/O329</f>
        <v>6.9781386637328569E-3</v>
      </c>
      <c r="R329">
        <f>I329-G329</f>
        <v>35</v>
      </c>
      <c r="S329">
        <f>Q329/R329</f>
        <v>1.9937539039236734E-4</v>
      </c>
      <c r="T329">
        <f>S329*10000</f>
        <v>1.9937539039236734</v>
      </c>
    </row>
    <row r="330" spans="1:20" x14ac:dyDescent="0.3">
      <c r="A330" t="s">
        <v>54</v>
      </c>
      <c r="B330" t="s">
        <v>44</v>
      </c>
      <c r="C330">
        <v>1</v>
      </c>
      <c r="D330">
        <v>2</v>
      </c>
      <c r="E330" t="s">
        <v>24</v>
      </c>
      <c r="F330">
        <v>0.45476</v>
      </c>
      <c r="G330" s="1">
        <v>45903</v>
      </c>
      <c r="H330">
        <v>2.4196200000000001</v>
      </c>
      <c r="I330" s="1">
        <v>45938</v>
      </c>
      <c r="J330">
        <v>63.617251160000002</v>
      </c>
      <c r="K330">
        <v>5.31</v>
      </c>
      <c r="L330">
        <v>1</v>
      </c>
      <c r="M330">
        <v>3.2451599999999998</v>
      </c>
      <c r="N330">
        <f>L330*F330</f>
        <v>0.45476</v>
      </c>
      <c r="O330">
        <f>L330*J330</f>
        <v>63.617251160000002</v>
      </c>
      <c r="P330">
        <f>M330-N330-H330</f>
        <v>0.37077999999999989</v>
      </c>
      <c r="Q330">
        <f>P330/O330</f>
        <v>5.828293320430852E-3</v>
      </c>
      <c r="R330">
        <f>I330-G330</f>
        <v>35</v>
      </c>
      <c r="S330">
        <f>Q330/R330</f>
        <v>1.6652266629802435E-4</v>
      </c>
      <c r="T330">
        <f>S330*10000</f>
        <v>1.6652266629802435</v>
      </c>
    </row>
    <row r="331" spans="1:20" x14ac:dyDescent="0.3">
      <c r="A331" t="s">
        <v>54</v>
      </c>
      <c r="B331" t="s">
        <v>44</v>
      </c>
      <c r="C331">
        <v>1</v>
      </c>
      <c r="D331">
        <v>6</v>
      </c>
      <c r="E331" t="s">
        <v>22</v>
      </c>
      <c r="F331">
        <v>0.45457999999999998</v>
      </c>
      <c r="G331" s="1">
        <v>45903</v>
      </c>
      <c r="H331">
        <v>2.43716</v>
      </c>
      <c r="I331" s="1">
        <v>45938</v>
      </c>
      <c r="J331">
        <v>63.617251160000002</v>
      </c>
      <c r="K331">
        <v>5.31</v>
      </c>
      <c r="L331">
        <v>1</v>
      </c>
      <c r="M331">
        <v>3.5748799999999998</v>
      </c>
      <c r="N331">
        <f>L331*F331</f>
        <v>0.45457999999999998</v>
      </c>
      <c r="O331">
        <f>L331*J331</f>
        <v>63.617251160000002</v>
      </c>
      <c r="P331">
        <f>M331-N331-H331</f>
        <v>0.68313999999999986</v>
      </c>
      <c r="Q331">
        <f>P331/O331</f>
        <v>1.0738282266894474E-2</v>
      </c>
      <c r="R331">
        <f>I331-G331</f>
        <v>35</v>
      </c>
      <c r="S331">
        <f>Q331/R331</f>
        <v>3.0680806476841355E-4</v>
      </c>
      <c r="T331">
        <f>S331*10000</f>
        <v>3.0680806476841354</v>
      </c>
    </row>
    <row r="332" spans="1:20" x14ac:dyDescent="0.3">
      <c r="A332" t="s">
        <v>54</v>
      </c>
      <c r="B332" t="s">
        <v>44</v>
      </c>
      <c r="C332">
        <v>1</v>
      </c>
      <c r="D332">
        <v>6</v>
      </c>
      <c r="E332" t="s">
        <v>23</v>
      </c>
      <c r="F332">
        <v>0.44367000000000001</v>
      </c>
      <c r="G332" s="1">
        <v>45903</v>
      </c>
      <c r="H332">
        <v>2.4577100000000001</v>
      </c>
      <c r="I332" s="1">
        <v>45938</v>
      </c>
      <c r="J332">
        <v>63.617251160000002</v>
      </c>
      <c r="K332">
        <v>5.31</v>
      </c>
      <c r="L332">
        <v>1</v>
      </c>
      <c r="M332">
        <v>3.9814099999999999</v>
      </c>
      <c r="N332">
        <f>L332*F332</f>
        <v>0.44367000000000001</v>
      </c>
      <c r="O332">
        <f>L332*J332</f>
        <v>63.617251160000002</v>
      </c>
      <c r="P332">
        <f>M332-N332-H332</f>
        <v>1.0800299999999998</v>
      </c>
      <c r="Q332">
        <f>P332/O332</f>
        <v>1.6976998853403459E-2</v>
      </c>
      <c r="R332">
        <f>I332-G332</f>
        <v>35</v>
      </c>
      <c r="S332">
        <f>Q332/R332</f>
        <v>4.8505711009724171E-4</v>
      </c>
      <c r="T332">
        <f>S332*10000</f>
        <v>4.8505711009724175</v>
      </c>
    </row>
    <row r="333" spans="1:20" x14ac:dyDescent="0.3">
      <c r="A333" t="s">
        <v>54</v>
      </c>
      <c r="B333" t="s">
        <v>44</v>
      </c>
      <c r="C333">
        <v>1</v>
      </c>
      <c r="D333">
        <v>6</v>
      </c>
      <c r="E333" t="s">
        <v>24</v>
      </c>
      <c r="F333">
        <v>0.44318999999999997</v>
      </c>
      <c r="G333" s="1">
        <v>45903</v>
      </c>
      <c r="H333">
        <v>2.4527399999999999</v>
      </c>
      <c r="I333" s="1">
        <v>45938</v>
      </c>
      <c r="J333">
        <v>63.617251160000002</v>
      </c>
      <c r="K333">
        <v>5.31</v>
      </c>
      <c r="L333">
        <v>1</v>
      </c>
      <c r="M333">
        <v>3.9838200000000001</v>
      </c>
      <c r="N333">
        <f>L333*F333</f>
        <v>0.44318999999999997</v>
      </c>
      <c r="O333">
        <f>L333*J333</f>
        <v>63.617251160000002</v>
      </c>
      <c r="P333">
        <f>M333-N333-H333</f>
        <v>1.0878900000000002</v>
      </c>
      <c r="Q333">
        <f>P333/O333</f>
        <v>1.7100550246408983E-2</v>
      </c>
      <c r="R333">
        <f>I333-G333</f>
        <v>35</v>
      </c>
      <c r="S333">
        <f>Q333/R333</f>
        <v>4.8858714989739947E-4</v>
      </c>
      <c r="T333">
        <f>S333*10000</f>
        <v>4.8858714989739944</v>
      </c>
    </row>
    <row r="334" spans="1:20" x14ac:dyDescent="0.3">
      <c r="A334" t="s">
        <v>54</v>
      </c>
      <c r="B334" t="s">
        <v>44</v>
      </c>
      <c r="C334">
        <v>1</v>
      </c>
      <c r="D334">
        <v>12</v>
      </c>
      <c r="E334" t="s">
        <v>22</v>
      </c>
      <c r="F334">
        <v>0.44240000000000002</v>
      </c>
      <c r="G334" s="1">
        <v>45903</v>
      </c>
      <c r="H334">
        <v>2.4817900000000002</v>
      </c>
      <c r="I334" s="1">
        <v>45938</v>
      </c>
      <c r="J334">
        <v>63.617251160000002</v>
      </c>
      <c r="K334">
        <v>5.31</v>
      </c>
      <c r="L334">
        <v>1</v>
      </c>
      <c r="M334">
        <v>3.2538999999999998</v>
      </c>
      <c r="N334">
        <f>L334*F334</f>
        <v>0.44240000000000002</v>
      </c>
      <c r="O334">
        <f>L334*J334</f>
        <v>63.617251160000002</v>
      </c>
      <c r="P334">
        <f>M334-N334-H334</f>
        <v>0.3297099999999995</v>
      </c>
      <c r="Q334">
        <f>P334/O334</f>
        <v>5.1827137134668909E-3</v>
      </c>
      <c r="R334">
        <f>I334-G334</f>
        <v>35</v>
      </c>
      <c r="S334">
        <f>Q334/R334</f>
        <v>1.480775346704826E-4</v>
      </c>
      <c r="T334">
        <f>S334*10000</f>
        <v>1.4807753467048259</v>
      </c>
    </row>
    <row r="335" spans="1:20" x14ac:dyDescent="0.3">
      <c r="A335" t="s">
        <v>54</v>
      </c>
      <c r="B335" t="s">
        <v>44</v>
      </c>
      <c r="C335">
        <v>1</v>
      </c>
      <c r="D335">
        <v>12</v>
      </c>
      <c r="E335" t="s">
        <v>23</v>
      </c>
      <c r="F335">
        <v>0.45701000000000003</v>
      </c>
      <c r="G335" s="1">
        <v>45903</v>
      </c>
      <c r="H335">
        <v>2.4476399999999998</v>
      </c>
      <c r="I335" s="1">
        <v>45938</v>
      </c>
      <c r="J335">
        <v>63.617251160000002</v>
      </c>
      <c r="K335">
        <v>5.31</v>
      </c>
      <c r="L335">
        <v>1</v>
      </c>
      <c r="M335">
        <v>3.1950599999999998</v>
      </c>
      <c r="N335">
        <f>L335*F335</f>
        <v>0.45701000000000003</v>
      </c>
      <c r="O335">
        <f>L335*J335</f>
        <v>63.617251160000002</v>
      </c>
      <c r="P335">
        <f>M335-N335-H335</f>
        <v>0.29041000000000006</v>
      </c>
      <c r="Q335">
        <f>P335/O335</f>
        <v>4.5649567484393029E-3</v>
      </c>
      <c r="R335">
        <f>I335-G335</f>
        <v>35</v>
      </c>
      <c r="S335">
        <f>Q335/R335</f>
        <v>1.3042733566969437E-4</v>
      </c>
      <c r="T335">
        <f>S335*10000</f>
        <v>1.3042733566969438</v>
      </c>
    </row>
    <row r="336" spans="1:20" x14ac:dyDescent="0.3">
      <c r="A336" t="s">
        <v>54</v>
      </c>
      <c r="B336" t="s">
        <v>44</v>
      </c>
      <c r="C336">
        <v>1</v>
      </c>
      <c r="D336">
        <v>12</v>
      </c>
      <c r="E336" t="s">
        <v>24</v>
      </c>
      <c r="F336">
        <v>0.44490000000000002</v>
      </c>
      <c r="G336" s="1">
        <v>45903</v>
      </c>
      <c r="H336">
        <v>2.4746100000000002</v>
      </c>
      <c r="I336" s="1">
        <v>45938</v>
      </c>
      <c r="J336">
        <v>63.617251160000002</v>
      </c>
      <c r="K336">
        <v>5.31</v>
      </c>
      <c r="L336">
        <v>1</v>
      </c>
      <c r="M336">
        <v>3.20539</v>
      </c>
      <c r="N336">
        <f>L336*F336</f>
        <v>0.44490000000000002</v>
      </c>
      <c r="O336">
        <f>L336*J336</f>
        <v>63.617251160000002</v>
      </c>
      <c r="P336">
        <f>M336-N336-H336</f>
        <v>0.28587999999999969</v>
      </c>
      <c r="Q336">
        <f>P336/O336</f>
        <v>4.4937496478903143E-3</v>
      </c>
      <c r="R336">
        <f>I336-G336</f>
        <v>35</v>
      </c>
      <c r="S336">
        <f>Q336/R336</f>
        <v>1.2839284708258042E-4</v>
      </c>
      <c r="T336">
        <f>S336*10000</f>
        <v>1.2839284708258041</v>
      </c>
    </row>
    <row r="337" spans="1:20" x14ac:dyDescent="0.3">
      <c r="A337" t="s">
        <v>54</v>
      </c>
      <c r="B337" t="s">
        <v>44</v>
      </c>
      <c r="C337">
        <v>1</v>
      </c>
      <c r="D337">
        <v>18</v>
      </c>
      <c r="E337" t="s">
        <v>22</v>
      </c>
      <c r="F337">
        <v>0.4556</v>
      </c>
      <c r="G337" s="1">
        <v>45903</v>
      </c>
      <c r="H337">
        <v>2.4537499999999999</v>
      </c>
      <c r="I337" s="1">
        <v>45938</v>
      </c>
      <c r="J337">
        <v>63.617251160000002</v>
      </c>
      <c r="K337">
        <v>5.31</v>
      </c>
      <c r="L337">
        <v>1</v>
      </c>
      <c r="M337">
        <v>3.2618200000000002</v>
      </c>
      <c r="N337">
        <f>L337*F337</f>
        <v>0.4556</v>
      </c>
      <c r="O337">
        <f>L337*J337</f>
        <v>63.617251160000002</v>
      </c>
      <c r="P337">
        <f>M337-N337-H337</f>
        <v>0.35247000000000028</v>
      </c>
      <c r="Q337">
        <f>P337/O337</f>
        <v>5.5404783069536237E-3</v>
      </c>
      <c r="R337">
        <f>I337-G337</f>
        <v>35</v>
      </c>
      <c r="S337">
        <f>Q337/R337</f>
        <v>1.5829938019867496E-4</v>
      </c>
      <c r="T337">
        <f>S337*10000</f>
        <v>1.5829938019867495</v>
      </c>
    </row>
    <row r="338" spans="1:20" x14ac:dyDescent="0.3">
      <c r="A338" t="s">
        <v>54</v>
      </c>
      <c r="B338" t="s">
        <v>44</v>
      </c>
      <c r="C338">
        <v>1</v>
      </c>
      <c r="D338">
        <v>18</v>
      </c>
      <c r="E338" t="s">
        <v>23</v>
      </c>
      <c r="F338">
        <v>0.44289000000000001</v>
      </c>
      <c r="G338" s="1">
        <v>45903</v>
      </c>
      <c r="H338">
        <v>2.4688099999999999</v>
      </c>
      <c r="I338" s="1">
        <v>45938</v>
      </c>
      <c r="J338">
        <v>63.617251160000002</v>
      </c>
      <c r="K338">
        <v>5.31</v>
      </c>
      <c r="L338">
        <v>1</v>
      </c>
      <c r="M338">
        <v>3.2337500000000001</v>
      </c>
      <c r="N338">
        <f>L338*F338</f>
        <v>0.44289000000000001</v>
      </c>
      <c r="O338">
        <f>L338*J338</f>
        <v>63.617251160000002</v>
      </c>
      <c r="P338">
        <f>M338-N338-H338</f>
        <v>0.32205000000000039</v>
      </c>
      <c r="Q338">
        <f>P338/O338</f>
        <v>5.062306121810127E-3</v>
      </c>
      <c r="R338">
        <f>I338-G338</f>
        <v>35</v>
      </c>
      <c r="S338">
        <f>Q338/R338</f>
        <v>1.4463731776600362E-4</v>
      </c>
      <c r="T338">
        <f>S338*10000</f>
        <v>1.4463731776600361</v>
      </c>
    </row>
    <row r="339" spans="1:20" x14ac:dyDescent="0.3">
      <c r="A339" t="s">
        <v>54</v>
      </c>
      <c r="B339" t="s">
        <v>44</v>
      </c>
      <c r="C339">
        <v>1</v>
      </c>
      <c r="D339">
        <v>18</v>
      </c>
      <c r="E339" t="s">
        <v>45</v>
      </c>
      <c r="F339">
        <v>0.43748999999999999</v>
      </c>
      <c r="G339" s="1">
        <v>45903</v>
      </c>
      <c r="H339">
        <v>2.4542999999999999</v>
      </c>
      <c r="I339" s="1">
        <v>45938</v>
      </c>
      <c r="J339">
        <v>63.617251160000002</v>
      </c>
      <c r="K339">
        <v>5.31</v>
      </c>
      <c r="L339">
        <v>1</v>
      </c>
      <c r="M339">
        <v>3.1562999999999999</v>
      </c>
      <c r="N339">
        <f>L339*F339</f>
        <v>0.43748999999999999</v>
      </c>
      <c r="O339">
        <f>L339*J339</f>
        <v>63.617251160000002</v>
      </c>
      <c r="P339">
        <f>M339-N339-H339</f>
        <v>0.26451000000000002</v>
      </c>
      <c r="Q339">
        <f>P339/O339</f>
        <v>4.1578344737773481E-3</v>
      </c>
      <c r="R339">
        <f>I339-G339</f>
        <v>35</v>
      </c>
      <c r="S339">
        <f>Q339/R339</f>
        <v>1.187952706793528E-4</v>
      </c>
      <c r="T339">
        <f>S339*10000</f>
        <v>1.187952706793528</v>
      </c>
    </row>
    <row r="340" spans="1:20" x14ac:dyDescent="0.3">
      <c r="A340" t="s">
        <v>54</v>
      </c>
      <c r="B340" t="s">
        <v>44</v>
      </c>
      <c r="C340">
        <v>1</v>
      </c>
      <c r="D340">
        <v>24</v>
      </c>
      <c r="E340" t="s">
        <v>22</v>
      </c>
      <c r="F340">
        <v>0.43792999999999999</v>
      </c>
      <c r="G340" s="1">
        <v>45903</v>
      </c>
      <c r="H340">
        <v>2.4475699999999998</v>
      </c>
      <c r="I340" s="1">
        <v>45938</v>
      </c>
      <c r="J340">
        <v>63.617251160000002</v>
      </c>
      <c r="K340">
        <v>5.31</v>
      </c>
      <c r="L340">
        <v>1</v>
      </c>
      <c r="M340">
        <v>3.1425700000000001</v>
      </c>
      <c r="N340">
        <f>L340*F340</f>
        <v>0.43792999999999999</v>
      </c>
      <c r="O340">
        <f>L340*J340</f>
        <v>63.617251160000002</v>
      </c>
      <c r="P340">
        <f>M340-N340-H340</f>
        <v>0.25707000000000013</v>
      </c>
      <c r="Q340">
        <f>P340/O340</f>
        <v>4.0408850636041872E-3</v>
      </c>
      <c r="R340">
        <f>I340-G340</f>
        <v>35</v>
      </c>
      <c r="S340">
        <f>Q340/R340</f>
        <v>1.1545385896011963E-4</v>
      </c>
      <c r="T340">
        <f>S340*10000</f>
        <v>1.1545385896011964</v>
      </c>
    </row>
    <row r="341" spans="1:20" x14ac:dyDescent="0.3">
      <c r="A341" t="s">
        <v>54</v>
      </c>
      <c r="B341" t="s">
        <v>44</v>
      </c>
      <c r="C341">
        <v>1</v>
      </c>
      <c r="D341">
        <v>24</v>
      </c>
      <c r="E341" t="s">
        <v>23</v>
      </c>
      <c r="F341">
        <v>0.46000999999999997</v>
      </c>
      <c r="G341" s="1">
        <v>45903</v>
      </c>
      <c r="H341">
        <v>2.4479099999999998</v>
      </c>
      <c r="I341" s="1">
        <v>45938</v>
      </c>
      <c r="J341">
        <v>63.617251160000002</v>
      </c>
      <c r="K341">
        <v>5.31</v>
      </c>
      <c r="L341">
        <v>1</v>
      </c>
      <c r="M341">
        <v>3.2284299999999999</v>
      </c>
      <c r="N341">
        <f>L341*F341</f>
        <v>0.46000999999999997</v>
      </c>
      <c r="O341">
        <f>L341*J341</f>
        <v>63.617251160000002</v>
      </c>
      <c r="P341">
        <f>M341-N341-H341</f>
        <v>0.32051000000000007</v>
      </c>
      <c r="Q341">
        <f>P341/O341</f>
        <v>5.0380988514248165E-3</v>
      </c>
      <c r="R341">
        <f>I341-G341</f>
        <v>35</v>
      </c>
      <c r="S341">
        <f>Q341/R341</f>
        <v>1.4394568146928048E-4</v>
      </c>
      <c r="T341">
        <f>S341*10000</f>
        <v>1.4394568146928048</v>
      </c>
    </row>
    <row r="342" spans="1:20" x14ac:dyDescent="0.3">
      <c r="A342" t="s">
        <v>54</v>
      </c>
      <c r="B342" t="s">
        <v>44</v>
      </c>
      <c r="C342">
        <v>1</v>
      </c>
      <c r="D342">
        <v>24</v>
      </c>
      <c r="E342" t="s">
        <v>24</v>
      </c>
      <c r="F342">
        <v>0.45540000000000003</v>
      </c>
      <c r="G342" s="1">
        <v>45903</v>
      </c>
      <c r="H342">
        <v>2.4621300000000002</v>
      </c>
      <c r="I342" s="1">
        <v>45938</v>
      </c>
      <c r="J342">
        <v>63.617251160000002</v>
      </c>
      <c r="K342">
        <v>5.31</v>
      </c>
      <c r="L342">
        <v>1</v>
      </c>
      <c r="M342">
        <v>3.23156</v>
      </c>
      <c r="N342">
        <f>L342*F342</f>
        <v>0.45540000000000003</v>
      </c>
      <c r="O342">
        <f>L342*J342</f>
        <v>63.617251160000002</v>
      </c>
      <c r="P342">
        <f>M342-N342-H342</f>
        <v>0.31402999999999981</v>
      </c>
      <c r="Q342">
        <f>P342/O342</f>
        <v>4.936239687725605E-3</v>
      </c>
      <c r="R342">
        <f>I342-G342</f>
        <v>35</v>
      </c>
      <c r="S342">
        <f>Q342/R342</f>
        <v>1.4103541964930301E-4</v>
      </c>
      <c r="T342">
        <f>S342*10000</f>
        <v>1.4103541964930302</v>
      </c>
    </row>
    <row r="343" spans="1:20" x14ac:dyDescent="0.3">
      <c r="A343" t="s">
        <v>54</v>
      </c>
      <c r="B343" t="s">
        <v>44</v>
      </c>
      <c r="C343">
        <v>1</v>
      </c>
      <c r="D343">
        <v>48</v>
      </c>
      <c r="E343" t="s">
        <v>22</v>
      </c>
      <c r="F343">
        <v>0.43774999999999997</v>
      </c>
      <c r="G343" s="1">
        <v>45903</v>
      </c>
      <c r="H343">
        <v>2.44042</v>
      </c>
      <c r="I343" s="1">
        <v>45938</v>
      </c>
      <c r="J343">
        <v>63.617251160000002</v>
      </c>
      <c r="K343">
        <v>5.31</v>
      </c>
      <c r="L343">
        <v>1</v>
      </c>
      <c r="M343">
        <v>3.2979500000000002</v>
      </c>
      <c r="N343">
        <f>L343*F343</f>
        <v>0.43774999999999997</v>
      </c>
      <c r="O343">
        <f>L343*J343</f>
        <v>63.617251160000002</v>
      </c>
      <c r="P343">
        <f>M343-N343-H343</f>
        <v>0.41978000000000026</v>
      </c>
      <c r="Q343">
        <f>P343/O343</f>
        <v>6.5985246508723913E-3</v>
      </c>
      <c r="R343">
        <f>I343-G343</f>
        <v>35</v>
      </c>
      <c r="S343">
        <f>Q343/R343</f>
        <v>1.8852927573921119E-4</v>
      </c>
      <c r="T343">
        <f>S343*10000</f>
        <v>1.8852927573921119</v>
      </c>
    </row>
    <row r="344" spans="1:20" x14ac:dyDescent="0.3">
      <c r="A344" t="s">
        <v>54</v>
      </c>
      <c r="B344" t="s">
        <v>44</v>
      </c>
      <c r="C344">
        <v>1</v>
      </c>
      <c r="D344">
        <v>48</v>
      </c>
      <c r="E344" t="s">
        <v>23</v>
      </c>
      <c r="F344">
        <v>0.43859999999999999</v>
      </c>
      <c r="G344" s="1">
        <v>45903</v>
      </c>
      <c r="H344">
        <v>2.4442300000000001</v>
      </c>
      <c r="I344" s="1">
        <v>45938</v>
      </c>
      <c r="J344">
        <v>63.617251160000002</v>
      </c>
      <c r="K344">
        <v>5.31</v>
      </c>
      <c r="L344">
        <v>1</v>
      </c>
      <c r="M344">
        <v>3.2859799999999999</v>
      </c>
      <c r="N344">
        <f>L344*F344</f>
        <v>0.43859999999999999</v>
      </c>
      <c r="O344">
        <f>L344*J344</f>
        <v>63.617251160000002</v>
      </c>
      <c r="P344">
        <f>M344-N344-H344</f>
        <v>0.40314999999999968</v>
      </c>
      <c r="Q344">
        <f>P344/O344</f>
        <v>6.3371175687245724E-3</v>
      </c>
      <c r="R344">
        <f>I344-G344</f>
        <v>35</v>
      </c>
      <c r="S344">
        <f>Q344/R344</f>
        <v>1.8106050196355921E-4</v>
      </c>
      <c r="T344">
        <f>S344*10000</f>
        <v>1.8106050196355921</v>
      </c>
    </row>
    <row r="345" spans="1:20" x14ac:dyDescent="0.3">
      <c r="A345" t="s">
        <v>54</v>
      </c>
      <c r="B345" t="s">
        <v>44</v>
      </c>
      <c r="C345">
        <v>1</v>
      </c>
      <c r="D345">
        <v>48</v>
      </c>
      <c r="E345" t="s">
        <v>24</v>
      </c>
      <c r="F345">
        <v>0.45861000000000002</v>
      </c>
      <c r="G345" s="1">
        <v>45903</v>
      </c>
      <c r="H345">
        <v>2.4428399999999999</v>
      </c>
      <c r="I345" s="1">
        <v>45938</v>
      </c>
      <c r="J345">
        <v>63.617251160000002</v>
      </c>
      <c r="K345">
        <v>5.31</v>
      </c>
      <c r="L345">
        <v>1</v>
      </c>
      <c r="M345">
        <v>3.3985099999999999</v>
      </c>
      <c r="N345">
        <f>L345*F345</f>
        <v>0.45861000000000002</v>
      </c>
      <c r="O345">
        <f>L345*J345</f>
        <v>63.617251160000002</v>
      </c>
      <c r="P345">
        <f>M345-N345-H345</f>
        <v>0.49705999999999984</v>
      </c>
      <c r="Q345">
        <f>P345/O345</f>
        <v>7.8132894920258898E-3</v>
      </c>
      <c r="R345">
        <f>I345-G345</f>
        <v>35</v>
      </c>
      <c r="S345">
        <f>Q345/R345</f>
        <v>2.2323684262931114E-4</v>
      </c>
      <c r="T345">
        <f>S345*10000</f>
        <v>2.2323684262931112</v>
      </c>
    </row>
    <row r="346" spans="1:20" x14ac:dyDescent="0.3">
      <c r="A346" t="s">
        <v>54</v>
      </c>
      <c r="B346" t="s">
        <v>44</v>
      </c>
      <c r="C346">
        <v>2</v>
      </c>
      <c r="D346">
        <v>0.5</v>
      </c>
      <c r="E346" t="s">
        <v>22</v>
      </c>
      <c r="F346">
        <v>0.43972</v>
      </c>
      <c r="G346" s="1">
        <v>45903</v>
      </c>
      <c r="H346">
        <v>2.4447000000000001</v>
      </c>
      <c r="I346" s="1">
        <v>45938</v>
      </c>
      <c r="J346">
        <v>63.617251160000002</v>
      </c>
      <c r="K346">
        <v>5.31</v>
      </c>
      <c r="L346">
        <v>0.75</v>
      </c>
      <c r="M346">
        <v>4.1736300000000002</v>
      </c>
      <c r="N346">
        <f>L346*F346</f>
        <v>0.32979000000000003</v>
      </c>
      <c r="O346">
        <f>L346*J346</f>
        <v>47.712938370000003</v>
      </c>
      <c r="P346">
        <f>M346-N346-H346</f>
        <v>1.3991400000000001</v>
      </c>
      <c r="Q346">
        <f>P346/O346</f>
        <v>2.932412146051612E-2</v>
      </c>
      <c r="R346">
        <f>I346-G346</f>
        <v>35</v>
      </c>
      <c r="S346">
        <f>Q346/R346</f>
        <v>8.3783204172903196E-4</v>
      </c>
      <c r="T346">
        <f>S346*10000</f>
        <v>8.3783204172903201</v>
      </c>
    </row>
    <row r="347" spans="1:20" x14ac:dyDescent="0.3">
      <c r="A347" t="s">
        <v>54</v>
      </c>
      <c r="B347" t="s">
        <v>44</v>
      </c>
      <c r="C347">
        <v>2</v>
      </c>
      <c r="D347">
        <v>0.5</v>
      </c>
      <c r="E347" t="s">
        <v>23</v>
      </c>
      <c r="F347">
        <v>0.45817999999999998</v>
      </c>
      <c r="G347" s="1">
        <v>45903</v>
      </c>
      <c r="H347">
        <v>2.4373399999999998</v>
      </c>
      <c r="I347" s="1">
        <v>45938</v>
      </c>
      <c r="J347">
        <v>63.617251160000002</v>
      </c>
      <c r="K347">
        <v>5.31</v>
      </c>
      <c r="L347">
        <v>1</v>
      </c>
      <c r="M347">
        <v>4.8561899999999998</v>
      </c>
      <c r="N347">
        <f>L347*F347</f>
        <v>0.45817999999999998</v>
      </c>
      <c r="O347">
        <f>L347*J347</f>
        <v>63.617251160000002</v>
      </c>
      <c r="P347">
        <f>M347-N347-H347</f>
        <v>1.9606700000000004</v>
      </c>
      <c r="Q347">
        <f>P347/O347</f>
        <v>3.0819784952179633E-2</v>
      </c>
      <c r="R347">
        <f>I347-G347</f>
        <v>35</v>
      </c>
      <c r="S347">
        <f>Q347/R347</f>
        <v>8.8056528434798953E-4</v>
      </c>
      <c r="T347">
        <f>S347*10000</f>
        <v>8.805652843479896</v>
      </c>
    </row>
    <row r="348" spans="1:20" x14ac:dyDescent="0.3">
      <c r="A348" t="s">
        <v>54</v>
      </c>
      <c r="B348" t="s">
        <v>44</v>
      </c>
      <c r="C348">
        <v>2</v>
      </c>
      <c r="D348">
        <v>0.5</v>
      </c>
      <c r="E348" t="s">
        <v>24</v>
      </c>
      <c r="F348">
        <v>0.43647999999999998</v>
      </c>
      <c r="G348" s="1">
        <v>45903</v>
      </c>
      <c r="H348">
        <v>2.46441</v>
      </c>
      <c r="I348" s="1">
        <v>45938</v>
      </c>
      <c r="J348">
        <v>63.617251160000002</v>
      </c>
      <c r="K348">
        <v>5.31</v>
      </c>
      <c r="L348">
        <v>1</v>
      </c>
      <c r="M348">
        <v>4.0228000000000002</v>
      </c>
      <c r="N348">
        <f>L348*F348</f>
        <v>0.43647999999999998</v>
      </c>
      <c r="O348">
        <f>L348*J348</f>
        <v>63.617251160000002</v>
      </c>
      <c r="P348">
        <f>M348-N348-H348</f>
        <v>1.1219100000000002</v>
      </c>
      <c r="Q348">
        <f>P348/O348</f>
        <v>1.7635310855829818E-2</v>
      </c>
      <c r="R348">
        <f>I348-G348</f>
        <v>35</v>
      </c>
      <c r="S348">
        <f>Q348/R348</f>
        <v>5.0386602445228054E-4</v>
      </c>
      <c r="T348">
        <f>S348*10000</f>
        <v>5.0386602445228057</v>
      </c>
    </row>
    <row r="349" spans="1:20" x14ac:dyDescent="0.3">
      <c r="A349" t="s">
        <v>54</v>
      </c>
      <c r="B349" t="s">
        <v>44</v>
      </c>
      <c r="C349">
        <v>2</v>
      </c>
      <c r="D349">
        <v>2</v>
      </c>
      <c r="E349" t="s">
        <v>22</v>
      </c>
      <c r="F349">
        <v>0.46031</v>
      </c>
      <c r="G349" s="1">
        <v>45903</v>
      </c>
      <c r="H349">
        <v>2.4522699999999999</v>
      </c>
      <c r="I349" s="1">
        <v>45938</v>
      </c>
      <c r="J349">
        <v>63.617251160000002</v>
      </c>
      <c r="K349">
        <v>5.31</v>
      </c>
      <c r="L349">
        <v>1</v>
      </c>
      <c r="M349">
        <v>3.3822299999999998</v>
      </c>
      <c r="N349">
        <f>L349*F349</f>
        <v>0.46031</v>
      </c>
      <c r="O349">
        <f>L349*J349</f>
        <v>63.617251160000002</v>
      </c>
      <c r="P349">
        <f>M349-N349-H349</f>
        <v>0.46965000000000012</v>
      </c>
      <c r="Q349">
        <f>P349/O349</f>
        <v>7.3824315171809466E-3</v>
      </c>
      <c r="R349">
        <f>I349-G349</f>
        <v>35</v>
      </c>
      <c r="S349">
        <f>Q349/R349</f>
        <v>2.1092661477659848E-4</v>
      </c>
      <c r="T349">
        <f>S349*10000</f>
        <v>2.1092661477659846</v>
      </c>
    </row>
    <row r="350" spans="1:20" x14ac:dyDescent="0.3">
      <c r="A350" t="s">
        <v>54</v>
      </c>
      <c r="B350" t="s">
        <v>44</v>
      </c>
      <c r="C350">
        <v>2</v>
      </c>
      <c r="D350">
        <v>2</v>
      </c>
      <c r="E350" t="s">
        <v>23</v>
      </c>
      <c r="F350">
        <v>0.43647000000000002</v>
      </c>
      <c r="G350" s="1">
        <v>45903</v>
      </c>
      <c r="H350">
        <v>2.4676900000000002</v>
      </c>
      <c r="I350" s="1">
        <v>45938</v>
      </c>
      <c r="J350">
        <v>63.617251160000002</v>
      </c>
      <c r="K350">
        <v>5.31</v>
      </c>
      <c r="L350">
        <v>1</v>
      </c>
      <c r="M350">
        <v>3.3195000000000001</v>
      </c>
      <c r="N350">
        <f>L350*F350</f>
        <v>0.43647000000000002</v>
      </c>
      <c r="O350">
        <f>L350*J350</f>
        <v>63.617251160000002</v>
      </c>
      <c r="P350">
        <f>M350-N350-H350</f>
        <v>0.41534000000000004</v>
      </c>
      <c r="Q350">
        <f>P350/O350</f>
        <v>6.5287322609303387E-3</v>
      </c>
      <c r="R350">
        <f>I350-G350</f>
        <v>35</v>
      </c>
      <c r="S350">
        <f>Q350/R350</f>
        <v>1.8653520745515255E-4</v>
      </c>
      <c r="T350">
        <f>S350*10000</f>
        <v>1.8653520745515255</v>
      </c>
    </row>
    <row r="351" spans="1:20" x14ac:dyDescent="0.3">
      <c r="A351" t="s">
        <v>54</v>
      </c>
      <c r="B351" t="s">
        <v>44</v>
      </c>
      <c r="C351">
        <v>2</v>
      </c>
      <c r="D351">
        <v>2</v>
      </c>
      <c r="E351" t="s">
        <v>24</v>
      </c>
      <c r="F351">
        <v>0.45334999999999998</v>
      </c>
      <c r="G351" s="1">
        <v>45903</v>
      </c>
      <c r="H351">
        <v>2.4429099999999999</v>
      </c>
      <c r="I351" s="1">
        <v>45938</v>
      </c>
      <c r="J351">
        <v>63.617251160000002</v>
      </c>
      <c r="K351">
        <v>5.31</v>
      </c>
      <c r="L351">
        <v>1</v>
      </c>
      <c r="M351">
        <v>3.3416800000000002</v>
      </c>
      <c r="N351">
        <f>L351*F351</f>
        <v>0.45334999999999998</v>
      </c>
      <c r="O351">
        <f>L351*J351</f>
        <v>63.617251160000002</v>
      </c>
      <c r="P351">
        <f>M351-N351-H351</f>
        <v>0.44542000000000037</v>
      </c>
      <c r="Q351">
        <f>P351/O351</f>
        <v>7.0015599837809838E-3</v>
      </c>
      <c r="R351">
        <f>I351-G351</f>
        <v>35</v>
      </c>
      <c r="S351">
        <f>Q351/R351</f>
        <v>2.0004457096517097E-4</v>
      </c>
      <c r="T351">
        <f>S351*10000</f>
        <v>2.0004457096517099</v>
      </c>
    </row>
    <row r="352" spans="1:20" x14ac:dyDescent="0.3">
      <c r="A352" t="s">
        <v>54</v>
      </c>
      <c r="B352" t="s">
        <v>44</v>
      </c>
      <c r="C352">
        <v>2</v>
      </c>
      <c r="D352">
        <v>6</v>
      </c>
      <c r="E352" t="s">
        <v>22</v>
      </c>
      <c r="F352">
        <v>0.43657000000000001</v>
      </c>
      <c r="G352" s="1">
        <v>45903</v>
      </c>
      <c r="H352">
        <v>2.4416099999999998</v>
      </c>
      <c r="I352" s="1">
        <v>45938</v>
      </c>
      <c r="J352">
        <v>63.617251160000002</v>
      </c>
      <c r="K352">
        <v>5.31</v>
      </c>
      <c r="L352">
        <v>1</v>
      </c>
      <c r="M352">
        <v>3.6836799999999998</v>
      </c>
      <c r="N352">
        <f>L352*F352</f>
        <v>0.43657000000000001</v>
      </c>
      <c r="O352">
        <f>L352*J352</f>
        <v>63.617251160000002</v>
      </c>
      <c r="P352">
        <f>M352-N352-H352</f>
        <v>0.80549999999999988</v>
      </c>
      <c r="Q352">
        <f>P352/O352</f>
        <v>1.2661659932054189E-2</v>
      </c>
      <c r="R352">
        <f>I352-G352</f>
        <v>35</v>
      </c>
      <c r="S352">
        <f>Q352/R352</f>
        <v>3.6176171234440541E-4</v>
      </c>
      <c r="T352">
        <f>S352*10000</f>
        <v>3.6176171234440542</v>
      </c>
    </row>
    <row r="353" spans="1:20" x14ac:dyDescent="0.3">
      <c r="A353" t="s">
        <v>54</v>
      </c>
      <c r="B353" t="s">
        <v>44</v>
      </c>
      <c r="C353">
        <v>2</v>
      </c>
      <c r="D353">
        <v>6</v>
      </c>
      <c r="E353" t="s">
        <v>23</v>
      </c>
      <c r="F353">
        <v>0.45418999999999998</v>
      </c>
      <c r="G353" s="1">
        <v>45903</v>
      </c>
      <c r="H353">
        <v>2.4378000000000002</v>
      </c>
      <c r="I353" s="1">
        <v>45938</v>
      </c>
      <c r="J353">
        <v>63.617251160000002</v>
      </c>
      <c r="K353">
        <v>5.31</v>
      </c>
      <c r="L353">
        <v>1</v>
      </c>
      <c r="M353">
        <v>3.7976100000000002</v>
      </c>
      <c r="N353">
        <f>L353*F353</f>
        <v>0.45418999999999998</v>
      </c>
      <c r="O353">
        <f>L353*J353</f>
        <v>63.617251160000002</v>
      </c>
      <c r="P353">
        <f>M353-N353-H353</f>
        <v>0.90561999999999987</v>
      </c>
      <c r="Q353">
        <f>P353/O353</f>
        <v>1.423544688723391E-2</v>
      </c>
      <c r="R353">
        <f>I353-G353</f>
        <v>35</v>
      </c>
      <c r="S353">
        <f>Q353/R353</f>
        <v>4.0672705392096888E-4</v>
      </c>
      <c r="T353">
        <f>S353*10000</f>
        <v>4.0672705392096891</v>
      </c>
    </row>
    <row r="354" spans="1:20" x14ac:dyDescent="0.3">
      <c r="A354" t="s">
        <v>54</v>
      </c>
      <c r="B354" t="s">
        <v>44</v>
      </c>
      <c r="C354">
        <v>2</v>
      </c>
      <c r="D354">
        <v>6</v>
      </c>
      <c r="E354" t="s">
        <v>24</v>
      </c>
      <c r="F354">
        <v>0.43387999999999999</v>
      </c>
      <c r="G354" s="1">
        <v>45903</v>
      </c>
      <c r="H354">
        <v>2.45268</v>
      </c>
      <c r="I354" s="1">
        <v>45938</v>
      </c>
      <c r="J354">
        <v>63.617251160000002</v>
      </c>
      <c r="K354">
        <v>5.31</v>
      </c>
      <c r="L354">
        <v>1</v>
      </c>
      <c r="M354">
        <v>3.5362200000000001</v>
      </c>
      <c r="N354">
        <f>L354*F354</f>
        <v>0.43387999999999999</v>
      </c>
      <c r="O354">
        <f>L354*J354</f>
        <v>63.617251160000002</v>
      </c>
      <c r="P354">
        <f>M354-N354-H354</f>
        <v>0.64966000000000035</v>
      </c>
      <c r="Q354">
        <f>P354/O354</f>
        <v>1.0212009921115244E-2</v>
      </c>
      <c r="R354">
        <f>I354-G354</f>
        <v>35</v>
      </c>
      <c r="S354">
        <f>Q354/R354</f>
        <v>2.917717120318641E-4</v>
      </c>
      <c r="T354">
        <f>S354*10000</f>
        <v>2.9177171203186409</v>
      </c>
    </row>
    <row r="355" spans="1:20" x14ac:dyDescent="0.3">
      <c r="A355" t="s">
        <v>54</v>
      </c>
      <c r="B355" t="s">
        <v>44</v>
      </c>
      <c r="C355">
        <v>2</v>
      </c>
      <c r="D355">
        <v>12</v>
      </c>
      <c r="E355" t="s">
        <v>22</v>
      </c>
      <c r="F355">
        <v>0.45576</v>
      </c>
      <c r="G355" s="1">
        <v>45903</v>
      </c>
      <c r="H355">
        <v>2.42306</v>
      </c>
      <c r="I355" s="1">
        <v>45938</v>
      </c>
      <c r="J355">
        <v>63.617251160000002</v>
      </c>
      <c r="K355">
        <v>5.31</v>
      </c>
      <c r="L355">
        <v>1</v>
      </c>
      <c r="M355">
        <v>3.4392100000000001</v>
      </c>
      <c r="N355">
        <f>L355*F355</f>
        <v>0.45576</v>
      </c>
      <c r="O355">
        <f>L355*J355</f>
        <v>63.617251160000002</v>
      </c>
      <c r="P355">
        <f>M355-N355-H355</f>
        <v>0.56038999999999994</v>
      </c>
      <c r="Q355">
        <f>P355/O355</f>
        <v>8.8087741891047146E-3</v>
      </c>
      <c r="R355">
        <f>I355-G355</f>
        <v>35</v>
      </c>
      <c r="S355">
        <f>Q355/R355</f>
        <v>2.5167926254584898E-4</v>
      </c>
      <c r="T355">
        <f>S355*10000</f>
        <v>2.5167926254584896</v>
      </c>
    </row>
    <row r="356" spans="1:20" x14ac:dyDescent="0.3">
      <c r="A356" t="s">
        <v>54</v>
      </c>
      <c r="B356" t="s">
        <v>44</v>
      </c>
      <c r="C356">
        <v>2</v>
      </c>
      <c r="D356">
        <v>12</v>
      </c>
      <c r="E356" t="s">
        <v>23</v>
      </c>
      <c r="F356">
        <v>0.43391999999999997</v>
      </c>
      <c r="G356" s="1">
        <v>45903</v>
      </c>
      <c r="H356">
        <v>2.4551799999999999</v>
      </c>
      <c r="I356" s="1">
        <v>45938</v>
      </c>
      <c r="J356">
        <v>63.617251160000002</v>
      </c>
      <c r="K356">
        <v>5.31</v>
      </c>
      <c r="L356">
        <v>1</v>
      </c>
      <c r="M356">
        <v>3.5856499999999998</v>
      </c>
      <c r="N356">
        <f>L356*F356</f>
        <v>0.43391999999999997</v>
      </c>
      <c r="O356">
        <f>L356*J356</f>
        <v>63.617251160000002</v>
      </c>
      <c r="P356">
        <f>M356-N356-H356</f>
        <v>0.69654999999999978</v>
      </c>
      <c r="Q356">
        <f>P356/O356</f>
        <v>1.0949074147327553E-2</v>
      </c>
      <c r="R356">
        <f>I356-G356</f>
        <v>35</v>
      </c>
      <c r="S356">
        <f>Q356/R356</f>
        <v>3.1283068992364436E-4</v>
      </c>
      <c r="T356">
        <f>S356*10000</f>
        <v>3.1283068992364438</v>
      </c>
    </row>
    <row r="357" spans="1:20" x14ac:dyDescent="0.3">
      <c r="A357" t="s">
        <v>54</v>
      </c>
      <c r="B357" t="s">
        <v>44</v>
      </c>
      <c r="C357">
        <v>2</v>
      </c>
      <c r="D357">
        <v>12</v>
      </c>
      <c r="E357" t="s">
        <v>24</v>
      </c>
      <c r="F357">
        <v>0.43724000000000002</v>
      </c>
      <c r="G357" s="1">
        <v>45903</v>
      </c>
      <c r="H357">
        <v>2.43553</v>
      </c>
      <c r="I357" s="1">
        <v>45938</v>
      </c>
      <c r="J357">
        <v>63.617251160000002</v>
      </c>
      <c r="K357">
        <v>5.31</v>
      </c>
      <c r="L357">
        <v>1</v>
      </c>
      <c r="M357">
        <v>3.3946800000000001</v>
      </c>
      <c r="N357">
        <f>L357*F357</f>
        <v>0.43724000000000002</v>
      </c>
      <c r="O357">
        <f>L357*J357</f>
        <v>63.617251160000002</v>
      </c>
      <c r="P357">
        <f>M357-N357-H357</f>
        <v>0.5219100000000001</v>
      </c>
      <c r="Q357">
        <f>P357/O357</f>
        <v>8.2039068096069565E-3</v>
      </c>
      <c r="R357">
        <f>I357-G357</f>
        <v>35</v>
      </c>
      <c r="S357">
        <f>Q357/R357</f>
        <v>2.3439733741734161E-4</v>
      </c>
      <c r="T357">
        <f>S357*10000</f>
        <v>2.3439733741734159</v>
      </c>
    </row>
    <row r="358" spans="1:20" x14ac:dyDescent="0.3">
      <c r="A358" t="s">
        <v>54</v>
      </c>
      <c r="B358" t="s">
        <v>44</v>
      </c>
      <c r="C358">
        <v>2</v>
      </c>
      <c r="D358">
        <v>24</v>
      </c>
      <c r="E358" t="s">
        <v>22</v>
      </c>
      <c r="F358">
        <v>0.43669000000000002</v>
      </c>
      <c r="G358" s="1">
        <v>45903</v>
      </c>
      <c r="H358">
        <v>2.4703400000000002</v>
      </c>
      <c r="I358" s="1">
        <v>45938</v>
      </c>
      <c r="J358">
        <v>63.617251160000002</v>
      </c>
      <c r="K358">
        <v>5.31</v>
      </c>
      <c r="L358">
        <v>1</v>
      </c>
      <c r="M358">
        <v>3.2623000000000002</v>
      </c>
      <c r="N358">
        <f>L358*F358</f>
        <v>0.43669000000000002</v>
      </c>
      <c r="O358">
        <f>L358*J358</f>
        <v>63.617251160000002</v>
      </c>
      <c r="P358">
        <f>M358-N358-H358</f>
        <v>0.35526999999999997</v>
      </c>
      <c r="Q358">
        <f>P358/O358</f>
        <v>5.5844915258359924E-3</v>
      </c>
      <c r="R358">
        <f>I358-G358</f>
        <v>35</v>
      </c>
      <c r="S358">
        <f>Q358/R358</f>
        <v>1.5955690073817121E-4</v>
      </c>
      <c r="T358">
        <f>S358*10000</f>
        <v>1.5955690073817121</v>
      </c>
    </row>
    <row r="359" spans="1:20" x14ac:dyDescent="0.3">
      <c r="A359" t="s">
        <v>54</v>
      </c>
      <c r="B359" t="s">
        <v>44</v>
      </c>
      <c r="C359">
        <v>2</v>
      </c>
      <c r="D359">
        <v>24</v>
      </c>
      <c r="E359" t="s">
        <v>23</v>
      </c>
      <c r="F359">
        <v>0.45968999999999999</v>
      </c>
      <c r="G359" s="1">
        <v>45903</v>
      </c>
      <c r="H359">
        <v>2.4422299999999999</v>
      </c>
      <c r="I359" s="1">
        <v>45938</v>
      </c>
      <c r="J359">
        <v>63.617251160000002</v>
      </c>
      <c r="K359">
        <v>5.31</v>
      </c>
      <c r="L359">
        <v>1</v>
      </c>
      <c r="M359">
        <v>3.2071499999999999</v>
      </c>
      <c r="N359">
        <f>L359*F359</f>
        <v>0.45968999999999999</v>
      </c>
      <c r="O359">
        <f>L359*J359</f>
        <v>63.617251160000002</v>
      </c>
      <c r="P359">
        <f>M359-N359-H359</f>
        <v>0.30522999999999989</v>
      </c>
      <c r="Q359">
        <f>P359/O359</f>
        <v>4.7979124283810048E-3</v>
      </c>
      <c r="R359">
        <f>I359-G359</f>
        <v>35</v>
      </c>
      <c r="S359">
        <f>Q359/R359</f>
        <v>1.3708321223945729E-4</v>
      </c>
      <c r="T359">
        <f>S359*10000</f>
        <v>1.370832122394573</v>
      </c>
    </row>
    <row r="360" spans="1:20" x14ac:dyDescent="0.3">
      <c r="A360" t="s">
        <v>54</v>
      </c>
      <c r="B360" t="s">
        <v>44</v>
      </c>
      <c r="C360">
        <v>2</v>
      </c>
      <c r="D360">
        <v>24</v>
      </c>
      <c r="E360" t="s">
        <v>24</v>
      </c>
      <c r="F360">
        <v>0.43840000000000001</v>
      </c>
      <c r="G360" s="1">
        <v>45903</v>
      </c>
      <c r="H360">
        <v>2.44808</v>
      </c>
      <c r="I360" s="1">
        <v>45938</v>
      </c>
      <c r="J360">
        <v>63.617251160000002</v>
      </c>
      <c r="K360">
        <v>5.31</v>
      </c>
      <c r="L360">
        <v>1</v>
      </c>
      <c r="M360">
        <v>3.2579500000000001</v>
      </c>
      <c r="N360">
        <f>L360*F360</f>
        <v>0.43840000000000001</v>
      </c>
      <c r="O360">
        <f>L360*J360</f>
        <v>63.617251160000002</v>
      </c>
      <c r="P360">
        <f>M360-N360-H360</f>
        <v>0.37146999999999997</v>
      </c>
      <c r="Q360">
        <f>P360/O360</f>
        <v>5.8391394350840098E-3</v>
      </c>
      <c r="R360">
        <f>I360-G360</f>
        <v>35</v>
      </c>
      <c r="S360">
        <f>Q360/R360</f>
        <v>1.6683255528811457E-4</v>
      </c>
      <c r="T360">
        <f>S360*10000</f>
        <v>1.6683255528811456</v>
      </c>
    </row>
    <row r="361" spans="1:20" x14ac:dyDescent="0.3">
      <c r="A361" t="s">
        <v>54</v>
      </c>
      <c r="B361" t="s">
        <v>44</v>
      </c>
      <c r="C361">
        <v>2</v>
      </c>
      <c r="D361">
        <v>48</v>
      </c>
      <c r="E361" t="s">
        <v>22</v>
      </c>
      <c r="F361">
        <v>0.43672</v>
      </c>
      <c r="G361" s="1">
        <v>45903</v>
      </c>
      <c r="H361">
        <v>2.4464999999999999</v>
      </c>
      <c r="I361" s="1">
        <v>45938</v>
      </c>
      <c r="J361">
        <v>63.617251160000002</v>
      </c>
      <c r="K361">
        <v>5.31</v>
      </c>
      <c r="L361">
        <v>1</v>
      </c>
      <c r="M361">
        <v>3.3178999999999998</v>
      </c>
      <c r="N361">
        <f>L361*F361</f>
        <v>0.43672</v>
      </c>
      <c r="O361">
        <f>L361*J361</f>
        <v>63.617251160000002</v>
      </c>
      <c r="P361">
        <f>M361-N361-H361</f>
        <v>0.43467999999999973</v>
      </c>
      <c r="Q361">
        <f>P361/O361</f>
        <v>6.8327378513535842E-3</v>
      </c>
      <c r="R361">
        <f>I361-G361</f>
        <v>35</v>
      </c>
      <c r="S361">
        <f>Q361/R361</f>
        <v>1.9522108146724526E-4</v>
      </c>
      <c r="T361">
        <f>S361*10000</f>
        <v>1.9522108146724526</v>
      </c>
    </row>
    <row r="362" spans="1:20" x14ac:dyDescent="0.3">
      <c r="A362" t="s">
        <v>54</v>
      </c>
      <c r="B362" t="s">
        <v>44</v>
      </c>
      <c r="C362">
        <v>2</v>
      </c>
      <c r="D362">
        <v>48</v>
      </c>
      <c r="E362" t="s">
        <v>23</v>
      </c>
      <c r="F362">
        <v>0.45978000000000002</v>
      </c>
      <c r="G362" s="1">
        <v>45903</v>
      </c>
      <c r="H362">
        <v>2.4632000000000001</v>
      </c>
      <c r="I362" s="1">
        <v>45938</v>
      </c>
      <c r="J362">
        <v>63.617251160000002</v>
      </c>
      <c r="K362">
        <v>5.31</v>
      </c>
      <c r="L362">
        <v>1</v>
      </c>
      <c r="M362">
        <v>3.37845</v>
      </c>
      <c r="N362">
        <f>L362*F362</f>
        <v>0.45978000000000002</v>
      </c>
      <c r="O362">
        <f>L362*J362</f>
        <v>63.617251160000002</v>
      </c>
      <c r="P362">
        <f>M362-N362-H362</f>
        <v>0.45547000000000004</v>
      </c>
      <c r="Q362">
        <f>P362/O362</f>
        <v>7.159536001555211E-3</v>
      </c>
      <c r="R362">
        <f>I362-G362</f>
        <v>35</v>
      </c>
      <c r="S362">
        <f>Q362/R362</f>
        <v>2.0455817147300602E-4</v>
      </c>
      <c r="T362">
        <f>S362*10000</f>
        <v>2.0455817147300603</v>
      </c>
    </row>
    <row r="363" spans="1:20" x14ac:dyDescent="0.3">
      <c r="A363" t="s">
        <v>54</v>
      </c>
      <c r="B363" t="s">
        <v>44</v>
      </c>
      <c r="C363">
        <v>2</v>
      </c>
      <c r="D363">
        <v>48</v>
      </c>
      <c r="E363" t="s">
        <v>24</v>
      </c>
      <c r="F363">
        <v>0.437</v>
      </c>
      <c r="G363" s="1">
        <v>45903</v>
      </c>
      <c r="H363">
        <v>2.44997</v>
      </c>
      <c r="I363" s="1">
        <v>45938</v>
      </c>
      <c r="J363">
        <v>63.617251160000002</v>
      </c>
      <c r="K363">
        <v>5.31</v>
      </c>
      <c r="L363">
        <v>1</v>
      </c>
      <c r="M363">
        <v>3.4711500000000002</v>
      </c>
      <c r="N363">
        <f>L363*F363</f>
        <v>0.437</v>
      </c>
      <c r="O363">
        <f>L363*J363</f>
        <v>63.617251160000002</v>
      </c>
      <c r="P363">
        <f>M363-N363-H363</f>
        <v>0.58418000000000037</v>
      </c>
      <c r="Q363">
        <f>P363/O363</f>
        <v>9.1827293595374577E-3</v>
      </c>
      <c r="R363">
        <f>I363-G363</f>
        <v>35</v>
      </c>
      <c r="S363">
        <f>Q363/R363</f>
        <v>2.6236369598678453E-4</v>
      </c>
      <c r="T363">
        <f>S363*10000</f>
        <v>2.6236369598678455</v>
      </c>
    </row>
    <row r="364" spans="1:20" x14ac:dyDescent="0.3">
      <c r="A364" t="s">
        <v>54</v>
      </c>
      <c r="B364" t="s">
        <v>44</v>
      </c>
      <c r="E364" t="s">
        <v>29</v>
      </c>
      <c r="F364">
        <v>0.42207</v>
      </c>
      <c r="G364" s="1">
        <v>45903</v>
      </c>
      <c r="H364">
        <v>2.4679600000000002</v>
      </c>
      <c r="I364" s="1">
        <v>45938</v>
      </c>
      <c r="J364">
        <v>63.617251160000002</v>
      </c>
      <c r="K364">
        <v>5.31</v>
      </c>
      <c r="L364">
        <v>1</v>
      </c>
      <c r="M364">
        <v>2.4659200000000001</v>
      </c>
      <c r="N364">
        <f>L364*F364</f>
        <v>0.42207</v>
      </c>
      <c r="O364">
        <f>L364*J364</f>
        <v>63.617251160000002</v>
      </c>
      <c r="P364">
        <f>M364-N364-H364</f>
        <v>-0.42411000000000021</v>
      </c>
      <c r="Q364">
        <f>P364/O364</f>
        <v>-6.6665879500726324E-3</v>
      </c>
      <c r="R364">
        <f>I364-G364</f>
        <v>35</v>
      </c>
      <c r="S364">
        <f>Q364/R364</f>
        <v>-1.9047394143064663E-4</v>
      </c>
      <c r="T364">
        <f>S364*10000</f>
        <v>-1.9047394143064664</v>
      </c>
    </row>
    <row r="365" spans="1:20" x14ac:dyDescent="0.3">
      <c r="A365" t="s">
        <v>54</v>
      </c>
      <c r="B365" t="s">
        <v>44</v>
      </c>
      <c r="E365" t="s">
        <v>31</v>
      </c>
      <c r="F365">
        <v>0.45390999999999998</v>
      </c>
      <c r="G365" s="1">
        <v>45903</v>
      </c>
      <c r="H365">
        <v>2.4657499999999999</v>
      </c>
      <c r="I365" s="1">
        <v>45938</v>
      </c>
      <c r="J365">
        <v>63.617251160000002</v>
      </c>
      <c r="K365">
        <v>5.31</v>
      </c>
      <c r="L365">
        <v>1</v>
      </c>
      <c r="M365">
        <v>2.4628199999999998</v>
      </c>
      <c r="N365">
        <f>L365*F365</f>
        <v>0.45390999999999998</v>
      </c>
      <c r="O365">
        <f>L365*J365</f>
        <v>63.617251160000002</v>
      </c>
      <c r="P365">
        <f>M365-N365-H365</f>
        <v>-0.45684000000000013</v>
      </c>
      <c r="Q365">
        <f>P365/O365</f>
        <v>-7.1810710407940884E-3</v>
      </c>
      <c r="R365">
        <f>I365-G365</f>
        <v>35</v>
      </c>
      <c r="S365">
        <f>Q365/R365</f>
        <v>-2.0517345830840252E-4</v>
      </c>
      <c r="T365">
        <f>S365*10000</f>
        <v>-2.0517345830840252</v>
      </c>
    </row>
    <row r="366" spans="1:20" x14ac:dyDescent="0.3">
      <c r="A366" t="s">
        <v>54</v>
      </c>
      <c r="B366" t="s">
        <v>44</v>
      </c>
      <c r="E366" t="s">
        <v>33</v>
      </c>
      <c r="F366">
        <v>0.45300000000000001</v>
      </c>
      <c r="G366" s="1">
        <v>45903</v>
      </c>
      <c r="H366">
        <v>2.4654799999999999</v>
      </c>
      <c r="I366" s="1">
        <v>45938</v>
      </c>
      <c r="J366">
        <v>63.617251160000002</v>
      </c>
      <c r="K366">
        <v>5.31</v>
      </c>
      <c r="L366">
        <v>1</v>
      </c>
      <c r="M366">
        <v>2.4640300000000002</v>
      </c>
      <c r="N366">
        <f>L366*F366</f>
        <v>0.45300000000000001</v>
      </c>
      <c r="O366">
        <f>L366*J366</f>
        <v>63.617251160000002</v>
      </c>
      <c r="P366">
        <f>M366-N366-H366</f>
        <v>-0.45444999999999958</v>
      </c>
      <c r="Q366">
        <f>P366/O366</f>
        <v>-7.1435026146766251E-3</v>
      </c>
      <c r="R366">
        <f>I366-G366</f>
        <v>35</v>
      </c>
      <c r="S366">
        <f>Q366/R366</f>
        <v>-2.0410007470504643E-4</v>
      </c>
      <c r="T366">
        <f>S366*10000</f>
        <v>-2.0410007470504645</v>
      </c>
    </row>
    <row r="367" spans="1:20" x14ac:dyDescent="0.3">
      <c r="A367" t="s">
        <v>54</v>
      </c>
      <c r="B367" t="s">
        <v>44</v>
      </c>
      <c r="E367" t="s">
        <v>34</v>
      </c>
      <c r="F367">
        <v>0.43370999999999998</v>
      </c>
      <c r="G367" s="1">
        <v>45903</v>
      </c>
      <c r="H367">
        <v>2.4547300000000001</v>
      </c>
      <c r="I367" s="1">
        <v>45938</v>
      </c>
      <c r="J367">
        <v>63.617251160000002</v>
      </c>
      <c r="K367">
        <v>5.31</v>
      </c>
      <c r="L367">
        <v>1</v>
      </c>
      <c r="M367">
        <v>2.4523299999999999</v>
      </c>
      <c r="N367">
        <f>L367*F367</f>
        <v>0.43370999999999998</v>
      </c>
      <c r="O367">
        <f>L367*J367</f>
        <v>63.617251160000002</v>
      </c>
      <c r="P367">
        <f>M367-N367-H367</f>
        <v>-0.43611000000000022</v>
      </c>
      <c r="Q367">
        <f>P367/O367</f>
        <v>-6.8552160309970894E-3</v>
      </c>
      <c r="R367">
        <f>I367-G367</f>
        <v>35</v>
      </c>
      <c r="S367">
        <f>Q367/R367</f>
        <v>-1.9586331517134541E-4</v>
      </c>
      <c r="T367">
        <f>S367*10000</f>
        <v>-1.9586331517134541</v>
      </c>
    </row>
    <row r="368" spans="1:20" x14ac:dyDescent="0.3">
      <c r="A368" t="s">
        <v>54</v>
      </c>
      <c r="B368" t="s">
        <v>37</v>
      </c>
      <c r="C368">
        <v>1</v>
      </c>
      <c r="D368">
        <v>0.5</v>
      </c>
      <c r="E368" t="s">
        <v>47</v>
      </c>
      <c r="F368">
        <v>0.45329000000000003</v>
      </c>
      <c r="G368" s="1">
        <v>45905</v>
      </c>
      <c r="H368">
        <v>2.4353500000000001</v>
      </c>
      <c r="I368" s="1">
        <v>45933</v>
      </c>
      <c r="J368">
        <v>63.617251160000002</v>
      </c>
      <c r="K368">
        <v>5.31</v>
      </c>
      <c r="L368">
        <v>1</v>
      </c>
      <c r="M368">
        <v>3.2375500000000001</v>
      </c>
      <c r="N368">
        <f>L368*F368</f>
        <v>0.45329000000000003</v>
      </c>
      <c r="O368">
        <f>L368*J368</f>
        <v>63.617251160000002</v>
      </c>
      <c r="P368">
        <f>M368-N368-H368</f>
        <v>0.34891000000000005</v>
      </c>
      <c r="Q368">
        <f>P368/O368</f>
        <v>5.4845186429460313E-3</v>
      </c>
      <c r="R368">
        <f>I368-G368</f>
        <v>28</v>
      </c>
      <c r="S368">
        <f>Q368/R368</f>
        <v>1.9587566581950113E-4</v>
      </c>
      <c r="T368">
        <f>S368*10000</f>
        <v>1.9587566581950113</v>
      </c>
    </row>
    <row r="369" spans="1:20" x14ac:dyDescent="0.3">
      <c r="A369" t="s">
        <v>54</v>
      </c>
      <c r="B369" t="s">
        <v>37</v>
      </c>
      <c r="C369">
        <v>1</v>
      </c>
      <c r="D369">
        <v>0.5</v>
      </c>
      <c r="E369" t="s">
        <v>23</v>
      </c>
      <c r="F369">
        <v>0.4461</v>
      </c>
      <c r="G369" s="1">
        <v>45905</v>
      </c>
      <c r="H369">
        <v>2.4514499999999999</v>
      </c>
      <c r="I369" s="1">
        <v>45933</v>
      </c>
      <c r="J369">
        <v>63.617251160000002</v>
      </c>
      <c r="K369">
        <v>5.31</v>
      </c>
      <c r="L369">
        <v>1</v>
      </c>
      <c r="M369">
        <v>3.2571599999999998</v>
      </c>
      <c r="N369">
        <f>L369*F369</f>
        <v>0.4461</v>
      </c>
      <c r="O369">
        <f>L369*J369</f>
        <v>63.617251160000002</v>
      </c>
      <c r="P369">
        <f>M369-N369-H369</f>
        <v>0.35960999999999999</v>
      </c>
      <c r="Q369">
        <f>P369/O369</f>
        <v>5.6527120151036716E-3</v>
      </c>
      <c r="R369">
        <f>I369-G369</f>
        <v>28</v>
      </c>
      <c r="S369">
        <f>Q369/R369</f>
        <v>2.0188257196798826E-4</v>
      </c>
      <c r="T369">
        <f>S369*10000</f>
        <v>2.0188257196798824</v>
      </c>
    </row>
    <row r="370" spans="1:20" x14ac:dyDescent="0.3">
      <c r="A370" t="s">
        <v>54</v>
      </c>
      <c r="B370" t="s">
        <v>37</v>
      </c>
      <c r="C370">
        <v>1</v>
      </c>
      <c r="D370">
        <v>0.5</v>
      </c>
      <c r="E370" t="s">
        <v>24</v>
      </c>
      <c r="F370">
        <v>0.45132</v>
      </c>
      <c r="G370" s="1">
        <v>45905</v>
      </c>
      <c r="H370">
        <v>2.4573800000000001</v>
      </c>
      <c r="I370" s="1">
        <v>45933</v>
      </c>
      <c r="J370">
        <v>63.617251160000002</v>
      </c>
      <c r="K370">
        <v>5.31</v>
      </c>
      <c r="L370">
        <v>0.5</v>
      </c>
      <c r="M370">
        <v>3.1711900000000002</v>
      </c>
      <c r="N370">
        <f>L370*F370</f>
        <v>0.22566</v>
      </c>
      <c r="O370">
        <f>L370*J370</f>
        <v>31.808625580000001</v>
      </c>
      <c r="P370">
        <f>M370-N370-H370</f>
        <v>0.48815000000000008</v>
      </c>
      <c r="Q370">
        <f>P370/O370</f>
        <v>1.5346466283878967E-2</v>
      </c>
      <c r="R370">
        <f>I370-G370</f>
        <v>28</v>
      </c>
      <c r="S370">
        <f>Q370/R370</f>
        <v>5.48088081567106E-4</v>
      </c>
      <c r="T370">
        <f>S370*10000</f>
        <v>5.4808808156710604</v>
      </c>
    </row>
    <row r="371" spans="1:20" x14ac:dyDescent="0.3">
      <c r="A371" t="s">
        <v>54</v>
      </c>
      <c r="B371" t="s">
        <v>37</v>
      </c>
      <c r="C371">
        <v>1</v>
      </c>
      <c r="D371">
        <v>2</v>
      </c>
      <c r="E371" t="s">
        <v>47</v>
      </c>
      <c r="F371">
        <v>0.44764999999999999</v>
      </c>
      <c r="G371" s="1">
        <v>45905</v>
      </c>
      <c r="H371">
        <v>2.4621400000000002</v>
      </c>
      <c r="I371" s="1">
        <v>45933</v>
      </c>
      <c r="J371">
        <v>63.617251160000002</v>
      </c>
      <c r="K371">
        <v>5.31</v>
      </c>
      <c r="L371">
        <v>0.5</v>
      </c>
      <c r="M371">
        <v>3.2293400000000001</v>
      </c>
      <c r="N371">
        <f>L371*F371</f>
        <v>0.223825</v>
      </c>
      <c r="O371">
        <f>L371*J371</f>
        <v>31.808625580000001</v>
      </c>
      <c r="P371">
        <f>M371-N371-H371</f>
        <v>0.54337499999999972</v>
      </c>
      <c r="Q371">
        <f>P371/O371</f>
        <v>1.7082630578721149E-2</v>
      </c>
      <c r="R371">
        <f>I371-G371</f>
        <v>28</v>
      </c>
      <c r="S371">
        <f>Q371/R371</f>
        <v>6.1009394924004098E-4</v>
      </c>
      <c r="T371">
        <f>S371*10000</f>
        <v>6.1009394924004097</v>
      </c>
    </row>
    <row r="372" spans="1:20" x14ac:dyDescent="0.3">
      <c r="A372" t="s">
        <v>54</v>
      </c>
      <c r="B372" t="s">
        <v>37</v>
      </c>
      <c r="C372">
        <v>1</v>
      </c>
      <c r="D372">
        <v>2</v>
      </c>
      <c r="E372" t="s">
        <v>23</v>
      </c>
      <c r="F372">
        <v>0.45089000000000001</v>
      </c>
      <c r="G372" s="1">
        <v>45905</v>
      </c>
      <c r="H372">
        <v>2.4511099999999999</v>
      </c>
      <c r="I372" s="1">
        <v>45933</v>
      </c>
      <c r="J372">
        <v>63.617251160000002</v>
      </c>
      <c r="K372">
        <v>5.31</v>
      </c>
      <c r="L372">
        <v>1</v>
      </c>
      <c r="M372">
        <v>3.3589099999999998</v>
      </c>
      <c r="N372">
        <f>L372*F372</f>
        <v>0.45089000000000001</v>
      </c>
      <c r="O372">
        <f>L372*J372</f>
        <v>63.617251160000002</v>
      </c>
      <c r="P372">
        <f>M372-N372-H372</f>
        <v>0.45690999999999971</v>
      </c>
      <c r="Q372">
        <f>P372/O372</f>
        <v>7.1821713712661404E-3</v>
      </c>
      <c r="R372">
        <f>I372-G372</f>
        <v>28</v>
      </c>
      <c r="S372">
        <f>Q372/R372</f>
        <v>2.5650612040236217E-4</v>
      </c>
      <c r="T372">
        <f>S372*10000</f>
        <v>2.5650612040236216</v>
      </c>
    </row>
    <row r="373" spans="1:20" x14ac:dyDescent="0.3">
      <c r="A373" t="s">
        <v>54</v>
      </c>
      <c r="B373" t="s">
        <v>37</v>
      </c>
      <c r="C373">
        <v>1</v>
      </c>
      <c r="D373">
        <v>2</v>
      </c>
      <c r="E373" t="s">
        <v>24</v>
      </c>
      <c r="F373">
        <v>0.44595000000000001</v>
      </c>
      <c r="G373" s="1">
        <v>45905</v>
      </c>
      <c r="H373">
        <v>2.4582000000000002</v>
      </c>
      <c r="I373" s="1">
        <v>45933</v>
      </c>
      <c r="J373">
        <v>63.617251160000002</v>
      </c>
      <c r="K373">
        <v>5.31</v>
      </c>
      <c r="L373">
        <v>1</v>
      </c>
      <c r="M373">
        <v>4.0007599999999996</v>
      </c>
      <c r="N373">
        <f>L373*F373</f>
        <v>0.44595000000000001</v>
      </c>
      <c r="O373">
        <f>L373*J373</f>
        <v>63.617251160000002</v>
      </c>
      <c r="P373">
        <f>M373-N373-H373</f>
        <v>1.0966099999999996</v>
      </c>
      <c r="Q373">
        <f>P373/O373</f>
        <v>1.723761998521408E-2</v>
      </c>
      <c r="R373">
        <f>I373-G373</f>
        <v>28</v>
      </c>
      <c r="S373">
        <f>Q373/R373</f>
        <v>6.1562928518621711E-4</v>
      </c>
      <c r="T373">
        <f>S373*10000</f>
        <v>6.1562928518621716</v>
      </c>
    </row>
    <row r="374" spans="1:20" x14ac:dyDescent="0.3">
      <c r="A374" t="s">
        <v>54</v>
      </c>
      <c r="B374" t="s">
        <v>37</v>
      </c>
      <c r="C374">
        <v>1</v>
      </c>
      <c r="D374">
        <v>6</v>
      </c>
      <c r="E374" t="s">
        <v>47</v>
      </c>
      <c r="F374">
        <v>0.45089000000000001</v>
      </c>
      <c r="G374" s="1">
        <v>45905</v>
      </c>
      <c r="H374">
        <v>2.47532</v>
      </c>
      <c r="I374" s="1">
        <v>45933</v>
      </c>
      <c r="J374">
        <v>63.617251160000002</v>
      </c>
      <c r="K374">
        <v>5.31</v>
      </c>
      <c r="L374">
        <v>1</v>
      </c>
      <c r="M374">
        <v>3.9504100000000002</v>
      </c>
      <c r="N374">
        <f>L374*F374</f>
        <v>0.45089000000000001</v>
      </c>
      <c r="O374">
        <f>L374*J374</f>
        <v>63.617251160000002</v>
      </c>
      <c r="P374">
        <f>M374-N374-H374</f>
        <v>1.0242000000000004</v>
      </c>
      <c r="Q374">
        <f>P374/O374</f>
        <v>1.6099406706902429E-2</v>
      </c>
      <c r="R374">
        <f>I374-G374</f>
        <v>28</v>
      </c>
      <c r="S374">
        <f>Q374/R374</f>
        <v>5.7497881096080109E-4</v>
      </c>
      <c r="T374">
        <f>S374*10000</f>
        <v>5.7497881096080112</v>
      </c>
    </row>
    <row r="375" spans="1:20" x14ac:dyDescent="0.3">
      <c r="A375" t="s">
        <v>54</v>
      </c>
      <c r="B375" t="s">
        <v>37</v>
      </c>
      <c r="C375">
        <v>1</v>
      </c>
      <c r="D375">
        <v>6</v>
      </c>
      <c r="E375" t="s">
        <v>23</v>
      </c>
      <c r="F375">
        <v>0.44675999999999999</v>
      </c>
      <c r="G375" s="1">
        <v>45905</v>
      </c>
      <c r="H375">
        <v>2.44068</v>
      </c>
      <c r="I375" s="1">
        <v>45933</v>
      </c>
      <c r="J375">
        <v>63.617251160000002</v>
      </c>
      <c r="K375">
        <v>5.31</v>
      </c>
      <c r="L375">
        <v>1</v>
      </c>
      <c r="M375">
        <v>3.9562599999999999</v>
      </c>
      <c r="N375">
        <f>L375*F375</f>
        <v>0.44675999999999999</v>
      </c>
      <c r="O375">
        <f>L375*J375</f>
        <v>63.617251160000002</v>
      </c>
      <c r="P375">
        <f>M375-N375-H375</f>
        <v>1.0688200000000001</v>
      </c>
      <c r="Q375">
        <f>P375/O375</f>
        <v>1.6800788787806532E-2</v>
      </c>
      <c r="R375">
        <f>I375-G375</f>
        <v>28</v>
      </c>
      <c r="S375">
        <f>Q375/R375</f>
        <v>6.0002817099309041E-4</v>
      </c>
      <c r="T375">
        <f>S375*10000</f>
        <v>6.0002817099309045</v>
      </c>
    </row>
    <row r="376" spans="1:20" x14ac:dyDescent="0.3">
      <c r="A376" t="s">
        <v>54</v>
      </c>
      <c r="B376" t="s">
        <v>37</v>
      </c>
      <c r="C376">
        <v>1</v>
      </c>
      <c r="D376">
        <v>6</v>
      </c>
      <c r="E376" t="s">
        <v>24</v>
      </c>
      <c r="F376">
        <v>0.44782</v>
      </c>
      <c r="G376" s="1">
        <v>45905</v>
      </c>
      <c r="H376">
        <v>2.4628800000000002</v>
      </c>
      <c r="I376" s="1">
        <v>45933</v>
      </c>
      <c r="J376">
        <v>63.617251160000002</v>
      </c>
      <c r="K376">
        <v>5.31</v>
      </c>
      <c r="L376">
        <v>0.5</v>
      </c>
      <c r="M376">
        <v>3.99011</v>
      </c>
      <c r="N376">
        <f>L376*F376</f>
        <v>0.22391</v>
      </c>
      <c r="O376">
        <f>L376*J376</f>
        <v>31.808625580000001</v>
      </c>
      <c r="P376">
        <f>M376-N376-H376</f>
        <v>1.3033199999999998</v>
      </c>
      <c r="Q376">
        <f>P376/O376</f>
        <v>4.0973791738410592E-2</v>
      </c>
      <c r="R376">
        <f>I376-G376</f>
        <v>28</v>
      </c>
      <c r="S376">
        <f>Q376/R376</f>
        <v>1.4633497049432354E-3</v>
      </c>
      <c r="T376">
        <f>S376*10000</f>
        <v>14.633497049432354</v>
      </c>
    </row>
    <row r="377" spans="1:20" x14ac:dyDescent="0.3">
      <c r="A377" t="s">
        <v>54</v>
      </c>
      <c r="B377" t="s">
        <v>37</v>
      </c>
      <c r="C377">
        <v>1</v>
      </c>
      <c r="D377">
        <v>12</v>
      </c>
      <c r="E377" t="s">
        <v>47</v>
      </c>
      <c r="F377">
        <v>0.45139000000000001</v>
      </c>
      <c r="G377" s="1">
        <v>45905</v>
      </c>
      <c r="H377">
        <v>2.4819399999999998</v>
      </c>
      <c r="I377" s="1">
        <v>45933</v>
      </c>
      <c r="J377">
        <v>63.617251160000002</v>
      </c>
      <c r="K377">
        <v>5.31</v>
      </c>
      <c r="L377">
        <v>1</v>
      </c>
      <c r="M377">
        <v>4.5145</v>
      </c>
      <c r="N377">
        <f>L377*F377</f>
        <v>0.45139000000000001</v>
      </c>
      <c r="O377">
        <f>L377*J377</f>
        <v>63.617251160000002</v>
      </c>
      <c r="P377">
        <f>M377-N377-H377</f>
        <v>1.5811700000000002</v>
      </c>
      <c r="Q377">
        <f>P377/O377</f>
        <v>2.4854421892943672E-2</v>
      </c>
      <c r="R377">
        <f>I377-G377</f>
        <v>28</v>
      </c>
      <c r="S377">
        <f>Q377/R377</f>
        <v>8.8765792474798828E-4</v>
      </c>
      <c r="T377">
        <f>S377*10000</f>
        <v>8.8765792474798833</v>
      </c>
    </row>
    <row r="378" spans="1:20" x14ac:dyDescent="0.3">
      <c r="A378" t="s">
        <v>54</v>
      </c>
      <c r="B378" t="s">
        <v>37</v>
      </c>
      <c r="C378">
        <v>1</v>
      </c>
      <c r="D378">
        <v>12</v>
      </c>
      <c r="E378" t="s">
        <v>23</v>
      </c>
      <c r="F378">
        <v>0.44773000000000002</v>
      </c>
      <c r="G378" s="1">
        <v>45905</v>
      </c>
      <c r="H378">
        <v>2.4367399999999999</v>
      </c>
      <c r="I378" s="1">
        <v>45933</v>
      </c>
      <c r="J378">
        <v>63.617251160000002</v>
      </c>
      <c r="K378">
        <v>5.31</v>
      </c>
      <c r="L378">
        <v>1</v>
      </c>
      <c r="M378">
        <v>4.2513399999999999</v>
      </c>
      <c r="N378">
        <f>L378*F378</f>
        <v>0.44773000000000002</v>
      </c>
      <c r="O378">
        <f>L378*J378</f>
        <v>63.617251160000002</v>
      </c>
      <c r="P378">
        <f>M378-N378-H378</f>
        <v>1.36687</v>
      </c>
      <c r="Q378">
        <f>P378/O378</f>
        <v>2.1485838747767737E-2</v>
      </c>
      <c r="R378">
        <f>I378-G378</f>
        <v>28</v>
      </c>
      <c r="S378">
        <f>Q378/R378</f>
        <v>7.6735138384884777E-4</v>
      </c>
      <c r="T378">
        <f>S378*10000</f>
        <v>7.6735138384884776</v>
      </c>
    </row>
    <row r="379" spans="1:20" x14ac:dyDescent="0.3">
      <c r="A379" t="s">
        <v>54</v>
      </c>
      <c r="B379" t="s">
        <v>37</v>
      </c>
      <c r="C379">
        <v>1</v>
      </c>
      <c r="D379">
        <v>12</v>
      </c>
      <c r="E379" t="s">
        <v>24</v>
      </c>
      <c r="F379">
        <v>0.44996999999999998</v>
      </c>
      <c r="G379" s="1">
        <v>45905</v>
      </c>
      <c r="H379">
        <v>2.4359999999999999</v>
      </c>
      <c r="I379" s="1">
        <v>45933</v>
      </c>
      <c r="J379">
        <v>63.617251160000002</v>
      </c>
      <c r="K379">
        <v>5.31</v>
      </c>
      <c r="L379">
        <v>1</v>
      </c>
      <c r="M379">
        <v>4.2787300000000004</v>
      </c>
      <c r="N379">
        <f>L379*F379</f>
        <v>0.44996999999999998</v>
      </c>
      <c r="O379">
        <f>L379*J379</f>
        <v>63.617251160000002</v>
      </c>
      <c r="P379">
        <f>M379-N379-H379</f>
        <v>1.3927600000000004</v>
      </c>
      <c r="Q379">
        <f>P379/O379</f>
        <v>2.1892803832362258E-2</v>
      </c>
      <c r="R379">
        <f>I379-G379</f>
        <v>28</v>
      </c>
      <c r="S379">
        <f>Q379/R379</f>
        <v>7.8188585115579489E-4</v>
      </c>
      <c r="T379">
        <f>S379*10000</f>
        <v>7.8188585115579485</v>
      </c>
    </row>
    <row r="380" spans="1:20" x14ac:dyDescent="0.3">
      <c r="A380" t="s">
        <v>54</v>
      </c>
      <c r="B380" t="s">
        <v>37</v>
      </c>
      <c r="C380">
        <v>1</v>
      </c>
      <c r="D380">
        <v>24</v>
      </c>
      <c r="E380" t="s">
        <v>22</v>
      </c>
      <c r="F380">
        <v>0.4471</v>
      </c>
      <c r="G380" s="1">
        <v>45905</v>
      </c>
      <c r="H380">
        <v>2.4249800000000001</v>
      </c>
      <c r="I380" s="1">
        <v>45933</v>
      </c>
      <c r="J380">
        <v>63.617251160000002</v>
      </c>
      <c r="K380">
        <v>2.6549999999999998</v>
      </c>
      <c r="L380">
        <v>1</v>
      </c>
      <c r="M380">
        <v>3.3162400000000001</v>
      </c>
      <c r="N380">
        <f>L380*F380</f>
        <v>0.4471</v>
      </c>
      <c r="O380">
        <f>L380*J380</f>
        <v>63.617251160000002</v>
      </c>
      <c r="P380">
        <f>M380-N380-H380</f>
        <v>0.44416000000000011</v>
      </c>
      <c r="Q380">
        <f>P380/O380</f>
        <v>6.9817540352839118E-3</v>
      </c>
      <c r="R380">
        <f>I380-G380</f>
        <v>28</v>
      </c>
      <c r="S380">
        <f>Q380/R380</f>
        <v>2.4934835840299683E-4</v>
      </c>
      <c r="T380">
        <f>S380*10000</f>
        <v>2.4934835840299683</v>
      </c>
    </row>
    <row r="381" spans="1:20" x14ac:dyDescent="0.3">
      <c r="A381" t="s">
        <v>54</v>
      </c>
      <c r="B381" t="s">
        <v>37</v>
      </c>
      <c r="C381">
        <v>1</v>
      </c>
      <c r="D381">
        <v>24</v>
      </c>
      <c r="E381" t="s">
        <v>23</v>
      </c>
      <c r="F381">
        <v>0.44736999999999999</v>
      </c>
      <c r="G381" s="1">
        <v>45905</v>
      </c>
      <c r="H381">
        <v>2.42822</v>
      </c>
      <c r="I381" s="1">
        <v>45933</v>
      </c>
      <c r="J381">
        <v>63.617251160000002</v>
      </c>
      <c r="K381">
        <v>5.31</v>
      </c>
      <c r="L381">
        <v>1</v>
      </c>
      <c r="M381">
        <v>3.8052600000000001</v>
      </c>
      <c r="N381">
        <f>L381*F381</f>
        <v>0.44736999999999999</v>
      </c>
      <c r="O381">
        <f>L381*J381</f>
        <v>63.617251160000002</v>
      </c>
      <c r="P381">
        <f>M381-N381-H381</f>
        <v>0.92967000000000022</v>
      </c>
      <c r="Q381">
        <f>P381/O381</f>
        <v>1.4613488999420015E-2</v>
      </c>
      <c r="R381">
        <f>I381-G381</f>
        <v>28</v>
      </c>
      <c r="S381">
        <f>Q381/R381</f>
        <v>5.2191032140785768E-4</v>
      </c>
      <c r="T381">
        <f>S381*10000</f>
        <v>5.2191032140785767</v>
      </c>
    </row>
    <row r="382" spans="1:20" x14ac:dyDescent="0.3">
      <c r="A382" t="s">
        <v>54</v>
      </c>
      <c r="B382" t="s">
        <v>37</v>
      </c>
      <c r="C382">
        <v>1</v>
      </c>
      <c r="D382">
        <v>24</v>
      </c>
      <c r="E382" t="s">
        <v>24</v>
      </c>
      <c r="F382">
        <v>0.45354</v>
      </c>
      <c r="G382" s="1">
        <v>45905</v>
      </c>
      <c r="H382">
        <v>2.44957</v>
      </c>
      <c r="I382" s="1">
        <v>45933</v>
      </c>
      <c r="J382">
        <v>63.617251160000002</v>
      </c>
      <c r="K382">
        <v>5.31</v>
      </c>
      <c r="L382">
        <v>0.75</v>
      </c>
      <c r="M382">
        <v>3.5967799999999999</v>
      </c>
      <c r="N382">
        <f>L382*F382</f>
        <v>0.34015499999999999</v>
      </c>
      <c r="O382">
        <f>L382*J382</f>
        <v>47.712938370000003</v>
      </c>
      <c r="P382">
        <f>M382-N382-H382</f>
        <v>0.80705499999999963</v>
      </c>
      <c r="Q382">
        <f>P382/O382</f>
        <v>1.6914803983387527E-2</v>
      </c>
      <c r="R382">
        <f>I382-G382</f>
        <v>28</v>
      </c>
      <c r="S382">
        <f>Q382/R382</f>
        <v>6.0410014226384024E-4</v>
      </c>
      <c r="T382">
        <f>S382*10000</f>
        <v>6.0410014226384021</v>
      </c>
    </row>
    <row r="383" spans="1:20" x14ac:dyDescent="0.3">
      <c r="A383" t="s">
        <v>54</v>
      </c>
      <c r="B383" t="s">
        <v>37</v>
      </c>
      <c r="C383">
        <v>1</v>
      </c>
      <c r="D383">
        <v>48</v>
      </c>
      <c r="E383" t="s">
        <v>47</v>
      </c>
      <c r="F383">
        <v>0.44857999999999998</v>
      </c>
      <c r="G383" s="1">
        <v>45905</v>
      </c>
      <c r="H383">
        <v>2.4479099999999998</v>
      </c>
      <c r="I383" s="1">
        <v>45933</v>
      </c>
      <c r="J383">
        <v>63.617251160000002</v>
      </c>
      <c r="K383">
        <v>5.31</v>
      </c>
      <c r="L383">
        <v>1</v>
      </c>
      <c r="M383">
        <v>3.3043200000000001</v>
      </c>
      <c r="N383">
        <f>L383*F383</f>
        <v>0.44857999999999998</v>
      </c>
      <c r="O383">
        <f>L383*J383</f>
        <v>63.617251160000002</v>
      </c>
      <c r="P383">
        <f>M383-N383-H383</f>
        <v>0.40783000000000014</v>
      </c>
      <c r="Q383">
        <f>P383/O383</f>
        <v>6.410682520285118E-3</v>
      </c>
      <c r="R383">
        <f>I383-G383</f>
        <v>28</v>
      </c>
      <c r="S383">
        <f>Q383/R383</f>
        <v>2.2895294715303993E-4</v>
      </c>
      <c r="T383">
        <f>S383*10000</f>
        <v>2.2895294715303991</v>
      </c>
    </row>
    <row r="384" spans="1:20" x14ac:dyDescent="0.3">
      <c r="A384" t="s">
        <v>54</v>
      </c>
      <c r="B384" t="s">
        <v>37</v>
      </c>
      <c r="C384">
        <v>1</v>
      </c>
      <c r="D384">
        <v>48</v>
      </c>
      <c r="E384" t="s">
        <v>23</v>
      </c>
      <c r="F384">
        <v>0.45363999999999999</v>
      </c>
      <c r="G384" s="1">
        <v>45905</v>
      </c>
      <c r="H384">
        <v>2.4385599999999998</v>
      </c>
      <c r="I384" s="1">
        <v>45933</v>
      </c>
      <c r="J384">
        <v>63.617251160000002</v>
      </c>
      <c r="K384">
        <v>5.31</v>
      </c>
      <c r="L384">
        <v>1</v>
      </c>
      <c r="M384">
        <v>3.5846399999999998</v>
      </c>
      <c r="N384">
        <f>L384*F384</f>
        <v>0.45363999999999999</v>
      </c>
      <c r="O384">
        <f>L384*J384</f>
        <v>63.617251160000002</v>
      </c>
      <c r="P384">
        <f>M384-N384-H384</f>
        <v>0.69243999999999994</v>
      </c>
      <c r="Q384">
        <f>P384/O384</f>
        <v>1.0884469029610929E-2</v>
      </c>
      <c r="R384">
        <f>I384-G384</f>
        <v>28</v>
      </c>
      <c r="S384">
        <f>Q384/R384</f>
        <v>3.887310367718189E-4</v>
      </c>
      <c r="T384">
        <f>S384*10000</f>
        <v>3.8873103677181891</v>
      </c>
    </row>
    <row r="385" spans="1:20" x14ac:dyDescent="0.3">
      <c r="A385" t="s">
        <v>54</v>
      </c>
      <c r="B385" t="s">
        <v>37</v>
      </c>
      <c r="C385">
        <v>1</v>
      </c>
      <c r="D385">
        <v>48</v>
      </c>
      <c r="E385" t="s">
        <v>24</v>
      </c>
      <c r="F385">
        <v>0.44946999999999998</v>
      </c>
      <c r="G385" s="1">
        <v>45905</v>
      </c>
      <c r="H385">
        <v>2.4444699999999999</v>
      </c>
      <c r="I385" s="1">
        <v>45933</v>
      </c>
      <c r="J385">
        <v>63.617251160000002</v>
      </c>
      <c r="K385">
        <v>5.31</v>
      </c>
      <c r="L385">
        <v>1</v>
      </c>
      <c r="M385">
        <v>3.4687800000000002</v>
      </c>
      <c r="N385">
        <f>L385*F385</f>
        <v>0.44946999999999998</v>
      </c>
      <c r="O385">
        <f>L385*J385</f>
        <v>63.617251160000002</v>
      </c>
      <c r="P385">
        <f>M385-N385-H385</f>
        <v>0.57484000000000046</v>
      </c>
      <c r="Q385">
        <f>P385/O385</f>
        <v>9.0359138365512567E-3</v>
      </c>
      <c r="R385">
        <f>I385-G385</f>
        <v>28</v>
      </c>
      <c r="S385">
        <f>Q385/R385</f>
        <v>3.2271120844825919E-4</v>
      </c>
      <c r="T385">
        <f>S385*10000</f>
        <v>3.227112084482592</v>
      </c>
    </row>
    <row r="386" spans="1:20" x14ac:dyDescent="0.3">
      <c r="A386" t="s">
        <v>54</v>
      </c>
      <c r="B386" t="s">
        <v>37</v>
      </c>
      <c r="C386">
        <v>2</v>
      </c>
      <c r="D386">
        <v>0.5</v>
      </c>
      <c r="E386" t="s">
        <v>47</v>
      </c>
      <c r="F386">
        <v>0.45519999999999999</v>
      </c>
      <c r="G386" s="1">
        <v>45905</v>
      </c>
      <c r="H386">
        <v>2.4341900000000001</v>
      </c>
      <c r="I386" s="1">
        <v>45933</v>
      </c>
      <c r="J386">
        <v>63.617251160000002</v>
      </c>
      <c r="K386">
        <v>5.31</v>
      </c>
      <c r="L386">
        <v>0.25</v>
      </c>
      <c r="M386">
        <v>3.0808800000000001</v>
      </c>
      <c r="N386">
        <f>L386*F386</f>
        <v>0.1138</v>
      </c>
      <c r="O386">
        <f>L386*J386</f>
        <v>15.904312790000001</v>
      </c>
      <c r="P386">
        <f>M386-N386-H386</f>
        <v>0.53289000000000009</v>
      </c>
      <c r="Q386">
        <f>P386/O386</f>
        <v>3.3506006014611338E-2</v>
      </c>
      <c r="R386">
        <f>I386-G386</f>
        <v>28</v>
      </c>
      <c r="S386">
        <f>Q386/R386</f>
        <v>1.1966430719504049E-3</v>
      </c>
      <c r="T386">
        <f>S386*10000</f>
        <v>11.966430719504048</v>
      </c>
    </row>
    <row r="387" spans="1:20" x14ac:dyDescent="0.3">
      <c r="A387" t="s">
        <v>54</v>
      </c>
      <c r="B387" t="s">
        <v>37</v>
      </c>
      <c r="C387">
        <v>2</v>
      </c>
      <c r="D387">
        <v>0.5</v>
      </c>
      <c r="E387" t="s">
        <v>23</v>
      </c>
      <c r="F387">
        <v>0.43428</v>
      </c>
      <c r="G387" s="1">
        <v>45905</v>
      </c>
      <c r="H387">
        <v>2.4463300000000001</v>
      </c>
      <c r="I387" s="1">
        <v>45933</v>
      </c>
      <c r="J387">
        <v>63.617251160000002</v>
      </c>
      <c r="K387">
        <v>5.31</v>
      </c>
      <c r="L387">
        <v>0.5</v>
      </c>
      <c r="M387">
        <v>3.0820099999999999</v>
      </c>
      <c r="N387">
        <f>L387*F387</f>
        <v>0.21714</v>
      </c>
      <c r="O387">
        <f>L387*J387</f>
        <v>31.808625580000001</v>
      </c>
      <c r="P387">
        <f>M387-N387-H387</f>
        <v>0.41853999999999969</v>
      </c>
      <c r="Q387">
        <f>P387/O387</f>
        <v>1.3158066165020377E-2</v>
      </c>
      <c r="R387">
        <f>I387-G387</f>
        <v>28</v>
      </c>
      <c r="S387">
        <f>Q387/R387</f>
        <v>4.6993093446501348E-4</v>
      </c>
      <c r="T387">
        <f>S387*10000</f>
        <v>4.6993093446501346</v>
      </c>
    </row>
    <row r="388" spans="1:20" x14ac:dyDescent="0.3">
      <c r="A388" t="s">
        <v>54</v>
      </c>
      <c r="B388" t="s">
        <v>37</v>
      </c>
      <c r="C388">
        <v>2</v>
      </c>
      <c r="D388">
        <v>0.5</v>
      </c>
      <c r="E388" t="s">
        <v>24</v>
      </c>
      <c r="F388">
        <v>0.45639000000000002</v>
      </c>
      <c r="G388" s="1">
        <v>45905</v>
      </c>
      <c r="H388">
        <v>2.4432399999999999</v>
      </c>
      <c r="I388" s="1">
        <v>45933</v>
      </c>
      <c r="J388">
        <v>63.617251160000002</v>
      </c>
      <c r="K388">
        <v>5.31</v>
      </c>
      <c r="L388">
        <v>0.25</v>
      </c>
      <c r="M388">
        <v>2.8519999999999999</v>
      </c>
      <c r="N388">
        <f>L388*F388</f>
        <v>0.1140975</v>
      </c>
      <c r="O388">
        <f>L388*J388</f>
        <v>15.904312790000001</v>
      </c>
      <c r="P388">
        <f>M388-N388-H388</f>
        <v>0.29466249999999983</v>
      </c>
      <c r="Q388">
        <f>P388/O388</f>
        <v>1.8527207298467612E-2</v>
      </c>
      <c r="R388">
        <f>I388-G388</f>
        <v>28</v>
      </c>
      <c r="S388">
        <f>Q388/R388</f>
        <v>6.6168597494527183E-4</v>
      </c>
      <c r="T388">
        <f>S388*10000</f>
        <v>6.6168597494527184</v>
      </c>
    </row>
    <row r="389" spans="1:20" x14ac:dyDescent="0.3">
      <c r="A389" t="s">
        <v>54</v>
      </c>
      <c r="B389" t="s">
        <v>37</v>
      </c>
      <c r="C389">
        <v>2</v>
      </c>
      <c r="D389">
        <v>2</v>
      </c>
      <c r="E389" t="s">
        <v>47</v>
      </c>
      <c r="F389">
        <v>0.43584000000000001</v>
      </c>
      <c r="G389" s="1">
        <v>45905</v>
      </c>
      <c r="H389">
        <v>2.4565899999999998</v>
      </c>
      <c r="I389" s="1">
        <v>45933</v>
      </c>
      <c r="J389">
        <v>63.617251160000002</v>
      </c>
      <c r="K389">
        <v>5.31</v>
      </c>
      <c r="L389">
        <v>1</v>
      </c>
      <c r="M389">
        <v>3.2334100000000001</v>
      </c>
      <c r="N389">
        <f>L389*F389</f>
        <v>0.43584000000000001</v>
      </c>
      <c r="O389">
        <f>L389*J389</f>
        <v>63.617251160000002</v>
      </c>
      <c r="P389">
        <f>M389-N389-H389</f>
        <v>0.3409800000000005</v>
      </c>
      <c r="Q389">
        <f>P389/O389</f>
        <v>5.3598669194684593E-3</v>
      </c>
      <c r="R389">
        <f>I389-G389</f>
        <v>28</v>
      </c>
      <c r="S389">
        <f>Q389/R389</f>
        <v>1.9142381855244498E-4</v>
      </c>
      <c r="T389">
        <f>S389*10000</f>
        <v>1.9142381855244499</v>
      </c>
    </row>
    <row r="390" spans="1:20" x14ac:dyDescent="0.3">
      <c r="A390" t="s">
        <v>54</v>
      </c>
      <c r="B390" t="s">
        <v>37</v>
      </c>
      <c r="C390">
        <v>2</v>
      </c>
      <c r="D390">
        <v>2</v>
      </c>
      <c r="E390" t="s">
        <v>23</v>
      </c>
      <c r="F390">
        <v>0.43778</v>
      </c>
      <c r="G390" s="1">
        <v>45905</v>
      </c>
      <c r="H390">
        <v>2.45614</v>
      </c>
      <c r="I390" s="1">
        <v>45933</v>
      </c>
      <c r="J390">
        <v>63.617251160000002</v>
      </c>
      <c r="K390">
        <v>5.31</v>
      </c>
      <c r="L390">
        <v>1</v>
      </c>
      <c r="M390">
        <v>3.1623399999999999</v>
      </c>
      <c r="N390">
        <f>L390*F390</f>
        <v>0.43778</v>
      </c>
      <c r="O390">
        <f>L390*J390</f>
        <v>63.617251160000002</v>
      </c>
      <c r="P390">
        <f>M390-N390-H390</f>
        <v>0.26841999999999988</v>
      </c>
      <c r="Q390">
        <f>P390/O390</f>
        <v>4.2192957901452319E-3</v>
      </c>
      <c r="R390">
        <f>I390-G390</f>
        <v>28</v>
      </c>
      <c r="S390">
        <f>Q390/R390</f>
        <v>1.5068913536232971E-4</v>
      </c>
      <c r="T390">
        <f>S390*10000</f>
        <v>1.5068913536232971</v>
      </c>
    </row>
    <row r="391" spans="1:20" x14ac:dyDescent="0.3">
      <c r="A391" t="s">
        <v>54</v>
      </c>
      <c r="B391" t="s">
        <v>37</v>
      </c>
      <c r="C391">
        <v>2</v>
      </c>
      <c r="D391">
        <v>2</v>
      </c>
      <c r="E391" t="s">
        <v>24</v>
      </c>
      <c r="F391">
        <v>0.45673999999999998</v>
      </c>
      <c r="G391" s="1">
        <v>45905</v>
      </c>
      <c r="H391">
        <v>2.4384299999999999</v>
      </c>
      <c r="I391" s="1">
        <v>45933</v>
      </c>
      <c r="J391">
        <v>63.617251160000002</v>
      </c>
      <c r="K391">
        <v>5.31</v>
      </c>
      <c r="L391">
        <v>1</v>
      </c>
      <c r="M391">
        <v>3.2761900000000002</v>
      </c>
      <c r="N391">
        <f>L391*F391</f>
        <v>0.45673999999999998</v>
      </c>
      <c r="O391">
        <f>L391*J391</f>
        <v>63.617251160000002</v>
      </c>
      <c r="P391">
        <f>M391-N391-H391</f>
        <v>0.38102000000000036</v>
      </c>
      <c r="Q391">
        <f>P391/O391</f>
        <v>5.9892559494863964E-3</v>
      </c>
      <c r="R391">
        <f>I391-G391</f>
        <v>28</v>
      </c>
      <c r="S391">
        <f>Q391/R391</f>
        <v>2.1390199819594272E-4</v>
      </c>
      <c r="T391">
        <f>S391*10000</f>
        <v>2.1390199819594273</v>
      </c>
    </row>
    <row r="392" spans="1:20" x14ac:dyDescent="0.3">
      <c r="A392" t="s">
        <v>54</v>
      </c>
      <c r="B392" t="s">
        <v>37</v>
      </c>
      <c r="C392">
        <v>2</v>
      </c>
      <c r="D392">
        <v>6</v>
      </c>
      <c r="E392" t="s">
        <v>47</v>
      </c>
      <c r="F392">
        <v>0.43654999999999999</v>
      </c>
      <c r="G392" s="1">
        <v>45905</v>
      </c>
      <c r="H392">
        <v>2.4504299999999999</v>
      </c>
      <c r="I392" s="1">
        <v>45933</v>
      </c>
      <c r="J392">
        <v>63.617251160000002</v>
      </c>
      <c r="K392">
        <v>5.31</v>
      </c>
      <c r="L392">
        <v>1</v>
      </c>
      <c r="M392">
        <v>3.6116000000000001</v>
      </c>
      <c r="N392">
        <f>L392*F392</f>
        <v>0.43654999999999999</v>
      </c>
      <c r="O392">
        <f>L392*J392</f>
        <v>63.617251160000002</v>
      </c>
      <c r="P392">
        <f>M392-N392-H392</f>
        <v>0.72462000000000026</v>
      </c>
      <c r="Q392">
        <f>P392/O392</f>
        <v>1.1390306666623353E-2</v>
      </c>
      <c r="R392">
        <f>I392-G392</f>
        <v>28</v>
      </c>
      <c r="S392">
        <f>Q392/R392</f>
        <v>4.0679666666511977E-4</v>
      </c>
      <c r="T392">
        <f>S392*10000</f>
        <v>4.0679666666511975</v>
      </c>
    </row>
    <row r="393" spans="1:20" x14ac:dyDescent="0.3">
      <c r="A393" t="s">
        <v>54</v>
      </c>
      <c r="B393" t="s">
        <v>37</v>
      </c>
      <c r="C393">
        <v>2</v>
      </c>
      <c r="D393">
        <v>6</v>
      </c>
      <c r="E393" t="s">
        <v>23</v>
      </c>
      <c r="F393">
        <v>0.45651999999999998</v>
      </c>
      <c r="G393" s="1">
        <v>45905</v>
      </c>
      <c r="H393">
        <v>2.4393899999999999</v>
      </c>
      <c r="I393" s="1">
        <v>45933</v>
      </c>
      <c r="J393">
        <v>63.617251160000002</v>
      </c>
      <c r="K393">
        <v>5.31</v>
      </c>
      <c r="L393">
        <v>1</v>
      </c>
      <c r="M393">
        <v>3.5589599999999999</v>
      </c>
      <c r="N393">
        <f>L393*F393</f>
        <v>0.45651999999999998</v>
      </c>
      <c r="O393">
        <f>L393*J393</f>
        <v>63.617251160000002</v>
      </c>
      <c r="P393">
        <f>M393-N393-H393</f>
        <v>0.66305000000000014</v>
      </c>
      <c r="Q393">
        <f>P393/O393</f>
        <v>1.0422487421413449E-2</v>
      </c>
      <c r="R393">
        <f>I393-G393</f>
        <v>28</v>
      </c>
      <c r="S393">
        <f>Q393/R393</f>
        <v>3.7223169362190887E-4</v>
      </c>
      <c r="T393">
        <f>S393*10000</f>
        <v>3.7223169362190887</v>
      </c>
    </row>
    <row r="394" spans="1:20" x14ac:dyDescent="0.3">
      <c r="A394" t="s">
        <v>54</v>
      </c>
      <c r="B394" t="s">
        <v>37</v>
      </c>
      <c r="C394">
        <v>2</v>
      </c>
      <c r="D394">
        <v>6</v>
      </c>
      <c r="E394" t="s">
        <v>24</v>
      </c>
      <c r="F394">
        <v>0.45788000000000001</v>
      </c>
      <c r="G394" s="1">
        <v>45905</v>
      </c>
      <c r="H394">
        <v>2.4761000000000002</v>
      </c>
      <c r="I394" s="1">
        <v>45933</v>
      </c>
      <c r="J394">
        <v>63.617251160000002</v>
      </c>
      <c r="K394">
        <v>5.31</v>
      </c>
      <c r="L394">
        <v>1</v>
      </c>
      <c r="M394">
        <v>3.3905599999999998</v>
      </c>
      <c r="N394">
        <f>L394*F394</f>
        <v>0.45788000000000001</v>
      </c>
      <c r="O394">
        <f>L394*J394</f>
        <v>63.617251160000002</v>
      </c>
      <c r="P394">
        <f>M394-N394-H394</f>
        <v>0.45657999999999976</v>
      </c>
      <c r="Q394">
        <f>P394/O394</f>
        <v>7.1769840990407192E-3</v>
      </c>
      <c r="R394">
        <f>I394-G394</f>
        <v>28</v>
      </c>
      <c r="S394">
        <f>Q394/R394</f>
        <v>2.5632086068002566E-4</v>
      </c>
      <c r="T394">
        <f>S394*10000</f>
        <v>2.5632086068002566</v>
      </c>
    </row>
    <row r="395" spans="1:20" x14ac:dyDescent="0.3">
      <c r="A395" t="s">
        <v>54</v>
      </c>
      <c r="B395" t="s">
        <v>37</v>
      </c>
      <c r="C395">
        <v>2</v>
      </c>
      <c r="D395">
        <v>12</v>
      </c>
      <c r="E395" t="s">
        <v>47</v>
      </c>
      <c r="F395">
        <v>0.43673000000000001</v>
      </c>
      <c r="G395" s="1">
        <v>45905</v>
      </c>
      <c r="H395">
        <v>2.4483100000000002</v>
      </c>
      <c r="I395" s="1">
        <v>45933</v>
      </c>
      <c r="J395">
        <v>63.617251160000002</v>
      </c>
      <c r="K395">
        <v>5.31</v>
      </c>
      <c r="L395">
        <v>1</v>
      </c>
      <c r="M395">
        <v>3.3461599999999998</v>
      </c>
      <c r="N395">
        <f>L395*F395</f>
        <v>0.43673000000000001</v>
      </c>
      <c r="O395">
        <f>L395*J395</f>
        <v>63.617251160000002</v>
      </c>
      <c r="P395">
        <f>M395-N395-H395</f>
        <v>0.46111999999999975</v>
      </c>
      <c r="Q395">
        <f>P395/O395</f>
        <v>7.248348389657139E-3</v>
      </c>
      <c r="R395">
        <f>I395-G395</f>
        <v>28</v>
      </c>
      <c r="S395">
        <f>Q395/R395</f>
        <v>2.5886958534489783E-4</v>
      </c>
      <c r="T395">
        <f>S395*10000</f>
        <v>2.5886958534489781</v>
      </c>
    </row>
    <row r="396" spans="1:20" x14ac:dyDescent="0.3">
      <c r="A396" t="s">
        <v>54</v>
      </c>
      <c r="B396" t="s">
        <v>37</v>
      </c>
      <c r="C396">
        <v>2</v>
      </c>
      <c r="D396">
        <v>12</v>
      </c>
      <c r="E396" t="s">
        <v>23</v>
      </c>
      <c r="F396">
        <v>0.43734000000000001</v>
      </c>
      <c r="G396" s="1">
        <v>45905</v>
      </c>
      <c r="H396">
        <v>2.4576799999999999</v>
      </c>
      <c r="I396" s="1">
        <v>45933</v>
      </c>
      <c r="J396">
        <v>63.617251160000002</v>
      </c>
      <c r="K396">
        <v>5.31</v>
      </c>
      <c r="L396">
        <v>1</v>
      </c>
      <c r="M396">
        <v>3.4567299999999999</v>
      </c>
      <c r="N396">
        <f>L396*F396</f>
        <v>0.43734000000000001</v>
      </c>
      <c r="O396">
        <f>L396*J396</f>
        <v>63.617251160000002</v>
      </c>
      <c r="P396">
        <f>M396-N396-H396</f>
        <v>0.56171000000000015</v>
      </c>
      <c r="Q396">
        <f>P396/O396</f>
        <v>8.8295232780064084E-3</v>
      </c>
      <c r="R396">
        <f>I396-G396</f>
        <v>28</v>
      </c>
      <c r="S396">
        <f>Q396/R396</f>
        <v>3.1534011707165744E-4</v>
      </c>
      <c r="T396">
        <f>S396*10000</f>
        <v>3.1534011707165743</v>
      </c>
    </row>
    <row r="397" spans="1:20" x14ac:dyDescent="0.3">
      <c r="A397" t="s">
        <v>54</v>
      </c>
      <c r="B397" t="s">
        <v>37</v>
      </c>
      <c r="C397">
        <v>2</v>
      </c>
      <c r="D397">
        <v>12</v>
      </c>
      <c r="E397" t="s">
        <v>24</v>
      </c>
      <c r="F397">
        <v>0.43719999999999998</v>
      </c>
      <c r="G397" s="1">
        <v>45905</v>
      </c>
      <c r="H397">
        <v>2.4390900000000002</v>
      </c>
      <c r="I397" s="1">
        <v>45933</v>
      </c>
      <c r="J397">
        <v>63.617251160000002</v>
      </c>
      <c r="K397">
        <v>5.31</v>
      </c>
      <c r="L397">
        <v>1</v>
      </c>
      <c r="M397">
        <v>3.34782</v>
      </c>
      <c r="N397">
        <f>L397*F397</f>
        <v>0.43719999999999998</v>
      </c>
      <c r="O397">
        <f>L397*J397</f>
        <v>63.617251160000002</v>
      </c>
      <c r="P397">
        <f>M397-N397-H397</f>
        <v>0.47153</v>
      </c>
      <c r="Q397">
        <f>P397/O397</f>
        <v>7.4119832498591096E-3</v>
      </c>
      <c r="R397">
        <f>I397-G397</f>
        <v>28</v>
      </c>
      <c r="S397">
        <f>Q397/R397</f>
        <v>2.6471368749496821E-4</v>
      </c>
      <c r="T397">
        <f>S397*10000</f>
        <v>2.6471368749496822</v>
      </c>
    </row>
    <row r="398" spans="1:20" x14ac:dyDescent="0.3">
      <c r="A398" t="s">
        <v>54</v>
      </c>
      <c r="B398" t="s">
        <v>37</v>
      </c>
      <c r="C398">
        <v>2</v>
      </c>
      <c r="D398">
        <v>24</v>
      </c>
      <c r="E398" t="s">
        <v>22</v>
      </c>
      <c r="F398">
        <v>0.43392999999999998</v>
      </c>
      <c r="G398" s="1">
        <v>45905</v>
      </c>
      <c r="H398">
        <v>2.40463</v>
      </c>
      <c r="I398" s="1">
        <v>45933</v>
      </c>
      <c r="J398">
        <v>63.617251160000002</v>
      </c>
      <c r="K398">
        <v>5.31</v>
      </c>
      <c r="L398">
        <v>0.5</v>
      </c>
      <c r="M398">
        <v>3.1329600000000002</v>
      </c>
      <c r="N398">
        <f>L398*F398</f>
        <v>0.21696499999999999</v>
      </c>
      <c r="O398">
        <f>L398*J398</f>
        <v>31.808625580000001</v>
      </c>
      <c r="P398">
        <f>M398-N398-H398</f>
        <v>0.51136500000000007</v>
      </c>
      <c r="Q398">
        <f>P398/O398</f>
        <v>1.6076299766989179E-2</v>
      </c>
      <c r="R398">
        <f>I398-G398</f>
        <v>28</v>
      </c>
      <c r="S398">
        <f>Q398/R398</f>
        <v>5.7415356310675642E-4</v>
      </c>
      <c r="T398">
        <f>S398*10000</f>
        <v>5.7415356310675643</v>
      </c>
    </row>
    <row r="399" spans="1:20" x14ac:dyDescent="0.3">
      <c r="A399" t="s">
        <v>54</v>
      </c>
      <c r="B399" t="s">
        <v>37</v>
      </c>
      <c r="C399">
        <v>2</v>
      </c>
      <c r="D399">
        <v>24</v>
      </c>
      <c r="E399" t="s">
        <v>23</v>
      </c>
      <c r="F399">
        <v>0.45372000000000001</v>
      </c>
      <c r="G399" s="1">
        <v>45905</v>
      </c>
      <c r="H399">
        <v>2.4111500000000001</v>
      </c>
      <c r="I399" s="1">
        <v>45933</v>
      </c>
      <c r="J399">
        <v>63.617251160000002</v>
      </c>
      <c r="K399">
        <v>5.31</v>
      </c>
      <c r="L399">
        <v>1</v>
      </c>
      <c r="M399">
        <v>3.8592399999999998</v>
      </c>
      <c r="N399">
        <f>L399*F399</f>
        <v>0.45372000000000001</v>
      </c>
      <c r="O399">
        <f>L399*J399</f>
        <v>63.617251160000002</v>
      </c>
      <c r="P399">
        <f>M399-N399-H399</f>
        <v>0.99436999999999953</v>
      </c>
      <c r="Q399">
        <f>P399/O399</f>
        <v>1.5630508735737701E-2</v>
      </c>
      <c r="R399">
        <f>I399-G399</f>
        <v>28</v>
      </c>
      <c r="S399">
        <f>Q399/R399</f>
        <v>5.5823245484777509E-4</v>
      </c>
      <c r="T399">
        <f>S399*10000</f>
        <v>5.5823245484777511</v>
      </c>
    </row>
    <row r="400" spans="1:20" x14ac:dyDescent="0.3">
      <c r="A400" t="s">
        <v>54</v>
      </c>
      <c r="B400" t="s">
        <v>37</v>
      </c>
      <c r="C400">
        <v>2</v>
      </c>
      <c r="D400">
        <v>24</v>
      </c>
      <c r="E400" t="s">
        <v>24</v>
      </c>
      <c r="F400">
        <v>0.43352000000000002</v>
      </c>
      <c r="G400" s="1">
        <v>45905</v>
      </c>
      <c r="H400">
        <v>2.40666</v>
      </c>
      <c r="I400" s="1">
        <v>45933</v>
      </c>
      <c r="J400">
        <v>63.617251160000002</v>
      </c>
      <c r="K400">
        <v>5.31</v>
      </c>
      <c r="L400">
        <v>1</v>
      </c>
      <c r="M400">
        <v>4.1405399999999997</v>
      </c>
      <c r="N400">
        <f>L400*F400</f>
        <v>0.43352000000000002</v>
      </c>
      <c r="O400">
        <f>L400*J400</f>
        <v>63.617251160000002</v>
      </c>
      <c r="P400">
        <f>M400-N400-H400</f>
        <v>1.3003599999999995</v>
      </c>
      <c r="Q400">
        <f>P400/O400</f>
        <v>2.0440367609243924E-2</v>
      </c>
      <c r="R400">
        <f>I400-G400</f>
        <v>28</v>
      </c>
      <c r="S400">
        <f>Q400/R400</f>
        <v>7.3001312890156873E-4</v>
      </c>
      <c r="T400">
        <f>S400*10000</f>
        <v>7.3001312890156873</v>
      </c>
    </row>
    <row r="401" spans="1:20" x14ac:dyDescent="0.3">
      <c r="A401" t="s">
        <v>54</v>
      </c>
      <c r="B401" t="s">
        <v>37</v>
      </c>
      <c r="C401">
        <v>2</v>
      </c>
      <c r="D401">
        <v>48</v>
      </c>
      <c r="E401" t="s">
        <v>47</v>
      </c>
      <c r="F401">
        <v>0.45328000000000002</v>
      </c>
      <c r="G401" s="1">
        <v>45905</v>
      </c>
      <c r="H401">
        <v>2.4132899999999999</v>
      </c>
      <c r="I401" s="1">
        <v>45933</v>
      </c>
      <c r="J401">
        <v>63.617251160000002</v>
      </c>
      <c r="K401">
        <v>5.31</v>
      </c>
      <c r="L401">
        <v>1</v>
      </c>
      <c r="M401">
        <v>3.2330299999999998</v>
      </c>
      <c r="N401">
        <f>L401*F401</f>
        <v>0.45328000000000002</v>
      </c>
      <c r="O401">
        <f>L401*J401</f>
        <v>63.617251160000002</v>
      </c>
      <c r="P401">
        <f>M401-N401-H401</f>
        <v>0.36646000000000001</v>
      </c>
      <c r="Q401">
        <f>P401/O401</f>
        <v>5.760387211298049E-3</v>
      </c>
      <c r="R401">
        <f>I401-G401</f>
        <v>28</v>
      </c>
      <c r="S401">
        <f>Q401/R401</f>
        <v>2.0572811468921604E-4</v>
      </c>
      <c r="T401">
        <f>S401*10000</f>
        <v>2.0572811468921604</v>
      </c>
    </row>
    <row r="402" spans="1:20" x14ac:dyDescent="0.3">
      <c r="A402" t="s">
        <v>54</v>
      </c>
      <c r="B402" t="s">
        <v>37</v>
      </c>
      <c r="C402">
        <v>2</v>
      </c>
      <c r="D402">
        <v>48</v>
      </c>
      <c r="E402" t="s">
        <v>23</v>
      </c>
      <c r="F402">
        <v>0.43289</v>
      </c>
      <c r="G402" s="1">
        <v>45905</v>
      </c>
      <c r="H402">
        <v>2.42191</v>
      </c>
      <c r="I402" s="1">
        <v>45933</v>
      </c>
      <c r="J402">
        <v>63.617251160000002</v>
      </c>
      <c r="K402">
        <v>5.31</v>
      </c>
      <c r="L402">
        <v>1</v>
      </c>
      <c r="M402">
        <v>3.1108899999999999</v>
      </c>
      <c r="N402">
        <f>L402*F402</f>
        <v>0.43289</v>
      </c>
      <c r="O402">
        <f>L402*J402</f>
        <v>63.617251160000002</v>
      </c>
      <c r="P402">
        <f>M402-N402-H402</f>
        <v>0.25608999999999993</v>
      </c>
      <c r="Q402">
        <f>P402/O402</f>
        <v>4.0254804369953528E-3</v>
      </c>
      <c r="R402">
        <f>I402-G402</f>
        <v>28</v>
      </c>
      <c r="S402">
        <f>Q402/R402</f>
        <v>1.4376715846411975E-4</v>
      </c>
      <c r="T402">
        <f>S402*10000</f>
        <v>1.4376715846411976</v>
      </c>
    </row>
    <row r="403" spans="1:20" x14ac:dyDescent="0.3">
      <c r="A403" t="s">
        <v>54</v>
      </c>
      <c r="B403" t="s">
        <v>37</v>
      </c>
      <c r="C403">
        <v>2</v>
      </c>
      <c r="D403">
        <v>48</v>
      </c>
      <c r="E403" t="s">
        <v>24</v>
      </c>
      <c r="F403">
        <v>0.43335000000000001</v>
      </c>
      <c r="G403" s="1">
        <v>45905</v>
      </c>
      <c r="H403">
        <v>2.4221900000000001</v>
      </c>
      <c r="I403" s="1">
        <v>45933</v>
      </c>
      <c r="J403">
        <v>63.617251160000002</v>
      </c>
      <c r="K403">
        <v>5.31</v>
      </c>
      <c r="L403">
        <v>1</v>
      </c>
      <c r="M403">
        <v>3.27285</v>
      </c>
      <c r="N403">
        <f>L403*F403</f>
        <v>0.43335000000000001</v>
      </c>
      <c r="O403">
        <f>L403*J403</f>
        <v>63.617251160000002</v>
      </c>
      <c r="P403">
        <f>M403-N403-H403</f>
        <v>0.41731000000000007</v>
      </c>
      <c r="Q403">
        <f>P403/O403</f>
        <v>6.5596987042154378E-3</v>
      </c>
      <c r="R403">
        <f>I403-G403</f>
        <v>28</v>
      </c>
      <c r="S403">
        <f>Q403/R403</f>
        <v>2.3427495372197992E-4</v>
      </c>
      <c r="T403">
        <f>S403*10000</f>
        <v>2.3427495372197993</v>
      </c>
    </row>
    <row r="404" spans="1:20" x14ac:dyDescent="0.3">
      <c r="A404" t="s">
        <v>54</v>
      </c>
      <c r="B404" t="s">
        <v>37</v>
      </c>
      <c r="E404" t="s">
        <v>48</v>
      </c>
      <c r="F404">
        <v>0.45794000000000001</v>
      </c>
      <c r="G404" t="s">
        <v>27</v>
      </c>
      <c r="H404">
        <v>2.43723</v>
      </c>
      <c r="I404" t="s">
        <v>27</v>
      </c>
      <c r="J404">
        <v>63.617251160000002</v>
      </c>
      <c r="K404">
        <v>5.31</v>
      </c>
      <c r="L404" t="s">
        <v>27</v>
      </c>
      <c r="M404" t="s">
        <v>27</v>
      </c>
      <c r="N404" t="e">
        <f>L404*F404</f>
        <v>#VALUE!</v>
      </c>
      <c r="O404" t="e">
        <f>L404*J404</f>
        <v>#VALUE!</v>
      </c>
      <c r="P404" t="e">
        <f>M404-N404-H404</f>
        <v>#VALUE!</v>
      </c>
      <c r="Q404" t="e">
        <f>P404/O404</f>
        <v>#VALUE!</v>
      </c>
      <c r="R404" t="e">
        <f>I404-G404</f>
        <v>#VALUE!</v>
      </c>
      <c r="S404" t="e">
        <f>Q404/R404</f>
        <v>#VALUE!</v>
      </c>
      <c r="T404" t="e">
        <f>S404*10000</f>
        <v>#VALUE!</v>
      </c>
    </row>
    <row r="405" spans="1:20" x14ac:dyDescent="0.3">
      <c r="A405" t="s">
        <v>54</v>
      </c>
      <c r="B405" t="s">
        <v>37</v>
      </c>
      <c r="E405" t="s">
        <v>49</v>
      </c>
      <c r="F405">
        <v>0.4582</v>
      </c>
      <c r="G405" t="s">
        <v>27</v>
      </c>
      <c r="H405">
        <v>2.4147099999999999</v>
      </c>
      <c r="I405" t="s">
        <v>27</v>
      </c>
      <c r="J405">
        <v>63.617251160000002</v>
      </c>
      <c r="K405">
        <v>5.31</v>
      </c>
      <c r="L405" t="s">
        <v>27</v>
      </c>
      <c r="M405" t="s">
        <v>27</v>
      </c>
      <c r="N405" t="e">
        <f>L405*F405</f>
        <v>#VALUE!</v>
      </c>
      <c r="O405" t="e">
        <f>L405*J405</f>
        <v>#VALUE!</v>
      </c>
      <c r="P405" t="e">
        <f>M405-N405-H405</f>
        <v>#VALUE!</v>
      </c>
      <c r="Q405" t="e">
        <f>P405/O405</f>
        <v>#VALUE!</v>
      </c>
      <c r="R405" t="e">
        <f>I405-G405</f>
        <v>#VALUE!</v>
      </c>
      <c r="S405" t="e">
        <f>Q405/R405</f>
        <v>#VALUE!</v>
      </c>
      <c r="T405" t="e">
        <f>S405*10000</f>
        <v>#VALUE!</v>
      </c>
    </row>
    <row r="406" spans="1:20" x14ac:dyDescent="0.3">
      <c r="A406" t="s">
        <v>54</v>
      </c>
      <c r="B406" t="s">
        <v>37</v>
      </c>
      <c r="E406" t="s">
        <v>50</v>
      </c>
      <c r="F406">
        <v>0.43545</v>
      </c>
      <c r="G406" t="s">
        <v>27</v>
      </c>
      <c r="H406">
        <v>2.4487700000000001</v>
      </c>
      <c r="I406" t="s">
        <v>27</v>
      </c>
      <c r="J406">
        <v>63.617251160000002</v>
      </c>
      <c r="K406">
        <v>5.31</v>
      </c>
      <c r="L406" t="s">
        <v>27</v>
      </c>
      <c r="M406" t="s">
        <v>27</v>
      </c>
      <c r="N406" t="e">
        <f>L406*F406</f>
        <v>#VALUE!</v>
      </c>
      <c r="O406" t="e">
        <f>L406*J406</f>
        <v>#VALUE!</v>
      </c>
      <c r="P406" t="e">
        <f>M406-N406-H406</f>
        <v>#VALUE!</v>
      </c>
      <c r="Q406" t="e">
        <f>P406/O406</f>
        <v>#VALUE!</v>
      </c>
      <c r="R406" t="e">
        <f>I406-G406</f>
        <v>#VALUE!</v>
      </c>
      <c r="S406" t="e">
        <f>Q406/R406</f>
        <v>#VALUE!</v>
      </c>
      <c r="T406" t="e">
        <f>S406*10000</f>
        <v>#VALUE!</v>
      </c>
    </row>
    <row r="407" spans="1:20" x14ac:dyDescent="0.3">
      <c r="A407" t="s">
        <v>54</v>
      </c>
      <c r="B407" t="s">
        <v>37</v>
      </c>
      <c r="E407" t="s">
        <v>51</v>
      </c>
      <c r="F407">
        <v>0.45668999999999998</v>
      </c>
      <c r="G407" t="s">
        <v>27</v>
      </c>
      <c r="H407">
        <v>2.4319999999999999</v>
      </c>
      <c r="I407" t="s">
        <v>27</v>
      </c>
      <c r="J407">
        <v>63.617251160000002</v>
      </c>
      <c r="K407">
        <v>5.31</v>
      </c>
      <c r="L407" t="s">
        <v>27</v>
      </c>
      <c r="M407" t="s">
        <v>27</v>
      </c>
      <c r="N407" t="e">
        <f>L407*F407</f>
        <v>#VALUE!</v>
      </c>
      <c r="O407" t="e">
        <f>L407*J407</f>
        <v>#VALUE!</v>
      </c>
      <c r="P407" t="e">
        <f>M407-N407-H407</f>
        <v>#VALUE!</v>
      </c>
      <c r="Q407" t="e">
        <f>P407/O407</f>
        <v>#VALUE!</v>
      </c>
      <c r="R407" t="e">
        <f>I407-G407</f>
        <v>#VALUE!</v>
      </c>
      <c r="S407" t="e">
        <f>Q407/R407</f>
        <v>#VALUE!</v>
      </c>
      <c r="T407" t="e">
        <f>S407*10000</f>
        <v>#VALUE!</v>
      </c>
    </row>
    <row r="408" spans="1:20" x14ac:dyDescent="0.3">
      <c r="A408" t="s">
        <v>54</v>
      </c>
      <c r="B408" t="s">
        <v>36</v>
      </c>
      <c r="C408">
        <v>1</v>
      </c>
      <c r="D408">
        <v>0.5</v>
      </c>
      <c r="E408" t="s">
        <v>47</v>
      </c>
      <c r="F408">
        <v>0.45413999999999999</v>
      </c>
      <c r="G408" s="1">
        <v>45906</v>
      </c>
      <c r="H408">
        <v>2.4670800000000002</v>
      </c>
      <c r="I408" s="1">
        <v>45937</v>
      </c>
      <c r="J408">
        <v>63.617251160000002</v>
      </c>
      <c r="K408">
        <v>5.31</v>
      </c>
      <c r="L408">
        <v>1</v>
      </c>
      <c r="M408">
        <v>3.35554</v>
      </c>
      <c r="N408">
        <f>L408*F408</f>
        <v>0.45413999999999999</v>
      </c>
      <c r="O408">
        <f>L408*J408</f>
        <v>63.617251160000002</v>
      </c>
      <c r="P408">
        <f>M408-N408-H408</f>
        <v>0.4343199999999996</v>
      </c>
      <c r="Q408">
        <f>P408/O408</f>
        <v>6.8270790089258486E-3</v>
      </c>
      <c r="R408">
        <f>I408-G408</f>
        <v>31</v>
      </c>
      <c r="S408">
        <f>Q408/R408</f>
        <v>2.2022835512664027E-4</v>
      </c>
      <c r="T408">
        <f>S408*10000</f>
        <v>2.2022835512664027</v>
      </c>
    </row>
    <row r="409" spans="1:20" x14ac:dyDescent="0.3">
      <c r="A409" t="s">
        <v>54</v>
      </c>
      <c r="B409" t="s">
        <v>36</v>
      </c>
      <c r="C409">
        <v>1</v>
      </c>
      <c r="D409">
        <v>0.5</v>
      </c>
      <c r="E409" t="s">
        <v>23</v>
      </c>
      <c r="F409">
        <v>0.43461</v>
      </c>
      <c r="G409" s="1">
        <v>45906</v>
      </c>
      <c r="H409">
        <v>2.4953799999999999</v>
      </c>
      <c r="I409" s="1">
        <v>45937</v>
      </c>
      <c r="J409">
        <v>63.617251160000002</v>
      </c>
      <c r="K409">
        <v>2.6549999999999998</v>
      </c>
      <c r="L409">
        <v>1</v>
      </c>
      <c r="M409">
        <v>3.3584000000000001</v>
      </c>
      <c r="N409">
        <f>L409*F409</f>
        <v>0.43461</v>
      </c>
      <c r="O409">
        <f>L409*J409</f>
        <v>63.617251160000002</v>
      </c>
      <c r="P409">
        <f>M409-N409-H409</f>
        <v>0.42840999999999996</v>
      </c>
      <c r="Q409">
        <f>P409/O409</f>
        <v>6.7341796790705592E-3</v>
      </c>
      <c r="R409">
        <f>I409-G409</f>
        <v>31</v>
      </c>
      <c r="S409">
        <f>Q409/R409</f>
        <v>2.1723160255066319E-4</v>
      </c>
      <c r="T409">
        <f>S409*10000</f>
        <v>2.1723160255066318</v>
      </c>
    </row>
    <row r="410" spans="1:20" x14ac:dyDescent="0.3">
      <c r="A410" t="s">
        <v>54</v>
      </c>
      <c r="B410" t="s">
        <v>36</v>
      </c>
      <c r="C410">
        <v>1</v>
      </c>
      <c r="D410">
        <v>0.5</v>
      </c>
      <c r="E410" t="s">
        <v>24</v>
      </c>
      <c r="F410">
        <v>0.45561000000000001</v>
      </c>
      <c r="G410" s="1">
        <v>45906</v>
      </c>
      <c r="H410">
        <v>2.4341200000000001</v>
      </c>
      <c r="I410" s="1">
        <v>45937</v>
      </c>
      <c r="J410">
        <v>63.617251160000002</v>
      </c>
      <c r="K410">
        <v>5.31</v>
      </c>
      <c r="L410">
        <v>1</v>
      </c>
      <c r="M410">
        <v>3.33053</v>
      </c>
      <c r="N410">
        <f>L410*F410</f>
        <v>0.45561000000000001</v>
      </c>
      <c r="O410">
        <f>L410*J410</f>
        <v>63.617251160000002</v>
      </c>
      <c r="P410">
        <f>M410-N410-H410</f>
        <v>0.44079999999999986</v>
      </c>
      <c r="Q410">
        <f>P410/O410</f>
        <v>6.9289381726250591E-3</v>
      </c>
      <c r="R410">
        <f>I410-G410</f>
        <v>31</v>
      </c>
      <c r="S410">
        <f>Q410/R410</f>
        <v>2.2351413460080835E-4</v>
      </c>
      <c r="T410">
        <f>S410*10000</f>
        <v>2.2351413460080836</v>
      </c>
    </row>
    <row r="411" spans="1:20" x14ac:dyDescent="0.3">
      <c r="A411" t="s">
        <v>54</v>
      </c>
      <c r="B411" t="s">
        <v>36</v>
      </c>
      <c r="C411">
        <v>1</v>
      </c>
      <c r="D411">
        <v>2</v>
      </c>
      <c r="E411" t="s">
        <v>47</v>
      </c>
      <c r="F411">
        <v>0.4395</v>
      </c>
      <c r="G411" s="1">
        <v>45906</v>
      </c>
      <c r="H411">
        <v>2.4345500000000002</v>
      </c>
      <c r="I411" s="1">
        <v>45937</v>
      </c>
      <c r="J411">
        <v>63.617251160000002</v>
      </c>
      <c r="K411">
        <v>5.31</v>
      </c>
      <c r="L411">
        <v>1</v>
      </c>
      <c r="M411">
        <v>3.4335</v>
      </c>
      <c r="N411">
        <f>L411*F411</f>
        <v>0.4395</v>
      </c>
      <c r="O411">
        <f>L411*J411</f>
        <v>63.617251160000002</v>
      </c>
      <c r="P411">
        <f>M411-N411-H411</f>
        <v>0.55944999999999956</v>
      </c>
      <c r="Q411">
        <f>P411/O411</f>
        <v>8.7939983227656258E-3</v>
      </c>
      <c r="R411">
        <f>I411-G411</f>
        <v>31</v>
      </c>
      <c r="S411">
        <f>Q411/R411</f>
        <v>2.8367736525050408E-4</v>
      </c>
      <c r="T411">
        <f>S411*10000</f>
        <v>2.8367736525050407</v>
      </c>
    </row>
    <row r="412" spans="1:20" x14ac:dyDescent="0.3">
      <c r="A412" t="s">
        <v>54</v>
      </c>
      <c r="B412" t="s">
        <v>36</v>
      </c>
      <c r="C412">
        <v>1</v>
      </c>
      <c r="D412">
        <v>2</v>
      </c>
      <c r="E412" t="s">
        <v>23</v>
      </c>
      <c r="F412">
        <v>0.43519999999999998</v>
      </c>
      <c r="G412" s="1">
        <v>45906</v>
      </c>
      <c r="H412">
        <v>2.44313</v>
      </c>
      <c r="I412" s="1">
        <v>45937</v>
      </c>
      <c r="J412">
        <v>63.617251160000002</v>
      </c>
      <c r="K412">
        <v>5.31</v>
      </c>
      <c r="L412">
        <v>1</v>
      </c>
      <c r="M412">
        <v>9.0913000000000004</v>
      </c>
      <c r="N412">
        <f>L412*F412</f>
        <v>0.43519999999999998</v>
      </c>
      <c r="O412">
        <f>L412*J412</f>
        <v>63.617251160000002</v>
      </c>
      <c r="P412">
        <f>M412-N412-H412</f>
        <v>6.2129700000000003</v>
      </c>
      <c r="Q412">
        <f>P412/O412</f>
        <v>9.7661717328435413E-2</v>
      </c>
      <c r="R412">
        <f>I412-G412</f>
        <v>31</v>
      </c>
      <c r="S412">
        <f>Q412/R412</f>
        <v>3.1503779783366263E-3</v>
      </c>
      <c r="T412">
        <f>S412*10000</f>
        <v>31.503779783366262</v>
      </c>
    </row>
    <row r="413" spans="1:20" x14ac:dyDescent="0.3">
      <c r="A413" t="s">
        <v>54</v>
      </c>
      <c r="B413" t="s">
        <v>36</v>
      </c>
      <c r="C413">
        <v>1</v>
      </c>
      <c r="D413">
        <v>2</v>
      </c>
      <c r="E413" t="s">
        <v>24</v>
      </c>
      <c r="F413">
        <v>0.45428000000000002</v>
      </c>
      <c r="G413" s="1">
        <v>45906</v>
      </c>
      <c r="H413">
        <v>2.4623599999999999</v>
      </c>
      <c r="I413" s="1">
        <v>45937</v>
      </c>
      <c r="J413">
        <v>63.617251160000002</v>
      </c>
      <c r="K413">
        <v>5.31</v>
      </c>
      <c r="L413">
        <v>1</v>
      </c>
      <c r="M413">
        <v>15.1226</v>
      </c>
      <c r="N413">
        <f>L413*F413</f>
        <v>0.45428000000000002</v>
      </c>
      <c r="O413">
        <f>L413*J413</f>
        <v>63.617251160000002</v>
      </c>
      <c r="P413">
        <f>M413-N413-H413</f>
        <v>12.205959999999999</v>
      </c>
      <c r="Q413">
        <f>P413/O413</f>
        <v>0.19186556755339063</v>
      </c>
      <c r="R413">
        <f>I413-G413</f>
        <v>31</v>
      </c>
      <c r="S413">
        <f>Q413/R413</f>
        <v>6.189211856560988E-3</v>
      </c>
      <c r="T413">
        <f>S413*10000</f>
        <v>61.892118565609877</v>
      </c>
    </row>
    <row r="414" spans="1:20" x14ac:dyDescent="0.3">
      <c r="A414" t="s">
        <v>54</v>
      </c>
      <c r="B414" t="s">
        <v>36</v>
      </c>
      <c r="C414">
        <v>1</v>
      </c>
      <c r="D414">
        <v>6</v>
      </c>
      <c r="E414" t="s">
        <v>47</v>
      </c>
      <c r="F414">
        <v>0.43720999999999999</v>
      </c>
      <c r="G414" s="1">
        <v>45906</v>
      </c>
      <c r="H414">
        <v>2.4586000000000001</v>
      </c>
      <c r="I414" s="1">
        <v>45937</v>
      </c>
      <c r="J414">
        <v>63.617251160000002</v>
      </c>
      <c r="K414">
        <v>5.31</v>
      </c>
      <c r="L414">
        <v>1</v>
      </c>
      <c r="M414">
        <v>4.0481499999999997</v>
      </c>
      <c r="N414">
        <f>L414*F414</f>
        <v>0.43720999999999999</v>
      </c>
      <c r="O414">
        <f>L414*J414</f>
        <v>63.617251160000002</v>
      </c>
      <c r="P414">
        <f>M414-N414-H414</f>
        <v>1.1523399999999997</v>
      </c>
      <c r="Q414">
        <f>P414/O414</f>
        <v>1.8113640231040746E-2</v>
      </c>
      <c r="R414">
        <f>I414-G414</f>
        <v>31</v>
      </c>
      <c r="S414">
        <f>Q414/R414</f>
        <v>5.8431097519486279E-4</v>
      </c>
      <c r="T414">
        <f>S414*10000</f>
        <v>5.8431097519486279</v>
      </c>
    </row>
    <row r="415" spans="1:20" x14ac:dyDescent="0.3">
      <c r="A415" t="s">
        <v>54</v>
      </c>
      <c r="B415" t="s">
        <v>36</v>
      </c>
      <c r="C415">
        <v>1</v>
      </c>
      <c r="D415">
        <v>6</v>
      </c>
      <c r="E415" t="s">
        <v>23</v>
      </c>
      <c r="F415">
        <v>0.45524999999999999</v>
      </c>
      <c r="G415" s="1">
        <v>45906</v>
      </c>
      <c r="H415">
        <v>2.4733000000000001</v>
      </c>
      <c r="I415" s="1">
        <v>45937</v>
      </c>
      <c r="J415">
        <v>63.617251160000002</v>
      </c>
      <c r="K415">
        <v>5.31</v>
      </c>
      <c r="L415">
        <v>1</v>
      </c>
      <c r="M415">
        <v>4.2914399999999997</v>
      </c>
      <c r="N415">
        <f>L415*F415</f>
        <v>0.45524999999999999</v>
      </c>
      <c r="O415">
        <f>L415*J415</f>
        <v>63.617251160000002</v>
      </c>
      <c r="P415">
        <f>M415-N415-H415</f>
        <v>1.3628899999999997</v>
      </c>
      <c r="Q415">
        <f>P415/O415</f>
        <v>2.1423277100927788E-2</v>
      </c>
      <c r="R415">
        <f>I415-G415</f>
        <v>31</v>
      </c>
      <c r="S415">
        <f>Q415/R415</f>
        <v>6.9107345486863836E-4</v>
      </c>
      <c r="T415">
        <f>S415*10000</f>
        <v>6.910734548686384</v>
      </c>
    </row>
    <row r="416" spans="1:20" x14ac:dyDescent="0.3">
      <c r="A416" t="s">
        <v>54</v>
      </c>
      <c r="B416" t="s">
        <v>36</v>
      </c>
      <c r="C416">
        <v>1</v>
      </c>
      <c r="D416">
        <v>6</v>
      </c>
      <c r="E416" t="s">
        <v>24</v>
      </c>
      <c r="F416">
        <v>0.43357000000000001</v>
      </c>
      <c r="G416" s="1">
        <v>45906</v>
      </c>
      <c r="H416">
        <v>2.4745599999999999</v>
      </c>
      <c r="I416" s="1">
        <v>45937</v>
      </c>
      <c r="J416">
        <v>63.617251160000002</v>
      </c>
      <c r="K416">
        <v>5.31</v>
      </c>
      <c r="L416">
        <v>1</v>
      </c>
      <c r="M416">
        <v>4.1314500000000001</v>
      </c>
      <c r="N416">
        <f>L416*F416</f>
        <v>0.43357000000000001</v>
      </c>
      <c r="O416">
        <f>L416*J416</f>
        <v>63.617251160000002</v>
      </c>
      <c r="P416">
        <f>M416-N416-H416</f>
        <v>1.2233200000000002</v>
      </c>
      <c r="Q416">
        <f>P416/O416</f>
        <v>1.922937532970892E-2</v>
      </c>
      <c r="R416">
        <f>I416-G416</f>
        <v>31</v>
      </c>
      <c r="S416">
        <f>Q416/R416</f>
        <v>6.2030242999061027E-4</v>
      </c>
      <c r="T416">
        <f>S416*10000</f>
        <v>6.2030242999061027</v>
      </c>
    </row>
    <row r="417" spans="1:20" x14ac:dyDescent="0.3">
      <c r="A417" t="s">
        <v>54</v>
      </c>
      <c r="B417" t="s">
        <v>36</v>
      </c>
      <c r="C417">
        <v>1</v>
      </c>
      <c r="D417">
        <v>12</v>
      </c>
      <c r="E417" t="s">
        <v>47</v>
      </c>
      <c r="F417">
        <v>0.4577</v>
      </c>
      <c r="G417" s="1">
        <v>45906</v>
      </c>
      <c r="H417">
        <v>2.4755500000000001</v>
      </c>
      <c r="I417" s="1">
        <v>45937</v>
      </c>
      <c r="J417">
        <v>63.617251160000002</v>
      </c>
      <c r="K417">
        <v>5.31</v>
      </c>
      <c r="L417">
        <v>1</v>
      </c>
      <c r="M417">
        <v>3.7763300000000002</v>
      </c>
      <c r="N417">
        <f>L417*F417</f>
        <v>0.4577</v>
      </c>
      <c r="O417">
        <f>L417*J417</f>
        <v>63.617251160000002</v>
      </c>
      <c r="P417">
        <f>M417-N417-H417</f>
        <v>0.84308000000000005</v>
      </c>
      <c r="Q417">
        <f>P417/O417</f>
        <v>1.3252380205482616E-2</v>
      </c>
      <c r="R417">
        <f>I417-G417</f>
        <v>31</v>
      </c>
      <c r="S417">
        <f>Q417/R417</f>
        <v>4.2749613566072959E-4</v>
      </c>
      <c r="T417">
        <f>S417*10000</f>
        <v>4.2749613566072959</v>
      </c>
    </row>
    <row r="418" spans="1:20" x14ac:dyDescent="0.3">
      <c r="A418" t="s">
        <v>54</v>
      </c>
      <c r="B418" t="s">
        <v>36</v>
      </c>
      <c r="C418">
        <v>1</v>
      </c>
      <c r="D418">
        <v>12</v>
      </c>
      <c r="E418" t="s">
        <v>23</v>
      </c>
      <c r="F418">
        <v>0.43722</v>
      </c>
      <c r="G418" s="1">
        <v>45906</v>
      </c>
      <c r="H418">
        <v>2.4523600000000001</v>
      </c>
      <c r="I418" s="1">
        <v>45937</v>
      </c>
      <c r="J418">
        <v>63.617251160000002</v>
      </c>
      <c r="K418">
        <v>5.31</v>
      </c>
      <c r="L418">
        <v>1</v>
      </c>
      <c r="M418">
        <v>3.6657700000000002</v>
      </c>
      <c r="N418">
        <f>L418*F418</f>
        <v>0.43722</v>
      </c>
      <c r="O418">
        <f>L418*J418</f>
        <v>63.617251160000002</v>
      </c>
      <c r="P418">
        <f>M418-N418-H418</f>
        <v>0.77619000000000016</v>
      </c>
      <c r="Q418">
        <f>P418/O418</f>
        <v>1.2200935844396207E-2</v>
      </c>
      <c r="R418">
        <f>I418-G418</f>
        <v>31</v>
      </c>
      <c r="S418">
        <f>Q418/R418</f>
        <v>3.9357857562568411E-4</v>
      </c>
      <c r="T418">
        <f>S418*10000</f>
        <v>3.9357857562568412</v>
      </c>
    </row>
    <row r="419" spans="1:20" x14ac:dyDescent="0.3">
      <c r="A419" t="s">
        <v>54</v>
      </c>
      <c r="B419" t="s">
        <v>36</v>
      </c>
      <c r="C419">
        <v>1</v>
      </c>
      <c r="D419">
        <v>12</v>
      </c>
      <c r="E419" t="s">
        <v>24</v>
      </c>
      <c r="F419">
        <v>0.45766000000000001</v>
      </c>
      <c r="G419" s="1">
        <v>45906</v>
      </c>
      <c r="H419">
        <v>2.4576500000000001</v>
      </c>
      <c r="I419" s="1">
        <v>45937</v>
      </c>
      <c r="J419">
        <v>63.617251160000002</v>
      </c>
      <c r="K419">
        <v>5.31</v>
      </c>
      <c r="L419">
        <v>1</v>
      </c>
      <c r="M419">
        <v>3.59931</v>
      </c>
      <c r="N419">
        <f>L419*F419</f>
        <v>0.45766000000000001</v>
      </c>
      <c r="O419">
        <f>L419*J419</f>
        <v>63.617251160000002</v>
      </c>
      <c r="P419">
        <f>M419-N419-H419</f>
        <v>0.68399999999999972</v>
      </c>
      <c r="Q419">
        <f>P419/O419</f>
        <v>1.0751800612694058E-2</v>
      </c>
      <c r="R419">
        <f>I419-G419</f>
        <v>31</v>
      </c>
      <c r="S419">
        <f>Q419/R419</f>
        <v>3.4683227782884054E-4</v>
      </c>
      <c r="T419">
        <f>S419*10000</f>
        <v>3.4683227782884054</v>
      </c>
    </row>
    <row r="420" spans="1:20" x14ac:dyDescent="0.3">
      <c r="A420" t="s">
        <v>54</v>
      </c>
      <c r="B420" t="s">
        <v>36</v>
      </c>
      <c r="C420">
        <v>1</v>
      </c>
      <c r="D420">
        <v>24</v>
      </c>
      <c r="E420" t="s">
        <v>22</v>
      </c>
      <c r="F420">
        <v>0.43669000000000002</v>
      </c>
      <c r="G420" s="1">
        <v>45906</v>
      </c>
      <c r="H420">
        <v>2.45072</v>
      </c>
      <c r="I420" s="1">
        <v>45937</v>
      </c>
      <c r="J420">
        <v>63.617251160000002</v>
      </c>
      <c r="K420">
        <v>5.31</v>
      </c>
      <c r="L420">
        <v>1</v>
      </c>
      <c r="M420">
        <v>3.2377699999999998</v>
      </c>
      <c r="N420">
        <f>L420*F420</f>
        <v>0.43669000000000002</v>
      </c>
      <c r="O420">
        <f>L420*J420</f>
        <v>63.617251160000002</v>
      </c>
      <c r="P420">
        <f>M420-N420-H420</f>
        <v>0.35035999999999978</v>
      </c>
      <c r="Q420">
        <f>P420/O420</f>
        <v>5.5073112027243989E-3</v>
      </c>
      <c r="R420">
        <f>I420-G420</f>
        <v>31</v>
      </c>
      <c r="S420">
        <f>Q420/R420</f>
        <v>1.7765520008788382E-4</v>
      </c>
      <c r="T420">
        <f>S420*10000</f>
        <v>1.7765520008788382</v>
      </c>
    </row>
    <row r="421" spans="1:20" x14ac:dyDescent="0.3">
      <c r="A421" t="s">
        <v>54</v>
      </c>
      <c r="B421" t="s">
        <v>36</v>
      </c>
      <c r="C421">
        <v>1</v>
      </c>
      <c r="D421">
        <v>24</v>
      </c>
      <c r="E421" t="s">
        <v>23</v>
      </c>
      <c r="F421">
        <v>0.45968999999999999</v>
      </c>
      <c r="G421" s="1">
        <v>45906</v>
      </c>
      <c r="H421">
        <v>2.4687999999999999</v>
      </c>
      <c r="I421" s="1">
        <v>45937</v>
      </c>
      <c r="J421">
        <v>63.617251160000002</v>
      </c>
      <c r="K421">
        <v>5.31</v>
      </c>
      <c r="L421">
        <v>1</v>
      </c>
      <c r="M421">
        <v>3.2730700000000001</v>
      </c>
      <c r="N421">
        <f>L421*F421</f>
        <v>0.45968999999999999</v>
      </c>
      <c r="O421">
        <f>L421*J421</f>
        <v>63.617251160000002</v>
      </c>
      <c r="P421">
        <f>M421-N421-H421</f>
        <v>0.34458000000000011</v>
      </c>
      <c r="Q421">
        <f>P421/O421</f>
        <v>5.4164553437457902E-3</v>
      </c>
      <c r="R421">
        <f>I421-G421</f>
        <v>31</v>
      </c>
      <c r="S421">
        <f>Q421/R421</f>
        <v>1.7472436592728355E-4</v>
      </c>
      <c r="T421">
        <f>S421*10000</f>
        <v>1.7472436592728355</v>
      </c>
    </row>
    <row r="422" spans="1:20" x14ac:dyDescent="0.3">
      <c r="A422" t="s">
        <v>54</v>
      </c>
      <c r="B422" t="s">
        <v>36</v>
      </c>
      <c r="C422">
        <v>1</v>
      </c>
      <c r="D422">
        <v>24</v>
      </c>
      <c r="E422" t="s">
        <v>24</v>
      </c>
      <c r="F422">
        <v>0.43840000000000001</v>
      </c>
      <c r="G422" s="1">
        <v>45906</v>
      </c>
      <c r="H422">
        <v>2.4708399999999999</v>
      </c>
      <c r="I422" s="1">
        <v>45937</v>
      </c>
      <c r="J422">
        <v>63.617251160000002</v>
      </c>
      <c r="K422">
        <v>5.31</v>
      </c>
      <c r="L422">
        <v>1</v>
      </c>
      <c r="M422">
        <v>3.3436699999999999</v>
      </c>
      <c r="N422">
        <f>L422*F422</f>
        <v>0.43840000000000001</v>
      </c>
      <c r="O422">
        <f>L422*J422</f>
        <v>63.617251160000002</v>
      </c>
      <c r="P422">
        <f>M422-N422-H422</f>
        <v>0.43442999999999987</v>
      </c>
      <c r="Q422">
        <f>P422/O422</f>
        <v>6.82880809966766E-3</v>
      </c>
      <c r="R422">
        <f>I422-G422</f>
        <v>31</v>
      </c>
      <c r="S422">
        <f>Q422/R422</f>
        <v>2.2028413224734386E-4</v>
      </c>
      <c r="T422">
        <f>S422*10000</f>
        <v>2.2028413224734384</v>
      </c>
    </row>
    <row r="423" spans="1:20" x14ac:dyDescent="0.3">
      <c r="A423" t="s">
        <v>54</v>
      </c>
      <c r="B423" t="s">
        <v>36</v>
      </c>
      <c r="C423">
        <v>1</v>
      </c>
      <c r="D423">
        <v>48</v>
      </c>
      <c r="E423" t="s">
        <v>47</v>
      </c>
      <c r="F423">
        <v>0.45950000000000002</v>
      </c>
      <c r="G423" s="1">
        <v>45906</v>
      </c>
      <c r="H423">
        <v>2.4949300000000001</v>
      </c>
      <c r="I423" s="1">
        <v>45937</v>
      </c>
      <c r="J423">
        <v>63.617251160000002</v>
      </c>
      <c r="K423">
        <v>5.31</v>
      </c>
      <c r="L423">
        <v>1</v>
      </c>
      <c r="M423">
        <v>3.4466600000000001</v>
      </c>
      <c r="N423">
        <f>L423*F423</f>
        <v>0.45950000000000002</v>
      </c>
      <c r="O423">
        <f>L423*J423</f>
        <v>63.617251160000002</v>
      </c>
      <c r="P423">
        <f>M423-N423-H423</f>
        <v>0.49223000000000017</v>
      </c>
      <c r="Q423">
        <f>P423/O423</f>
        <v>7.7373666894538003E-3</v>
      </c>
      <c r="R423">
        <f>I423-G423</f>
        <v>31</v>
      </c>
      <c r="S423">
        <f>Q423/R423</f>
        <v>2.4959247385334841E-4</v>
      </c>
      <c r="T423">
        <f>S423*10000</f>
        <v>2.4959247385334842</v>
      </c>
    </row>
    <row r="424" spans="1:20" x14ac:dyDescent="0.3">
      <c r="A424" t="s">
        <v>54</v>
      </c>
      <c r="B424" t="s">
        <v>36</v>
      </c>
      <c r="C424">
        <v>1</v>
      </c>
      <c r="D424">
        <v>48</v>
      </c>
      <c r="E424" t="s">
        <v>23</v>
      </c>
      <c r="F424">
        <v>0.43685000000000002</v>
      </c>
      <c r="G424" s="1">
        <v>45906</v>
      </c>
      <c r="H424">
        <v>2.4762400000000002</v>
      </c>
      <c r="I424" s="1">
        <v>45937</v>
      </c>
      <c r="J424">
        <v>63.617251160000002</v>
      </c>
      <c r="K424">
        <v>5.31</v>
      </c>
      <c r="L424">
        <v>1</v>
      </c>
      <c r="M424">
        <v>3.3707799999999999</v>
      </c>
      <c r="N424">
        <f>L424*F424</f>
        <v>0.43685000000000002</v>
      </c>
      <c r="O424">
        <f>L424*J424</f>
        <v>63.617251160000002</v>
      </c>
      <c r="P424">
        <f>M424-N424-H424</f>
        <v>0.45768999999999949</v>
      </c>
      <c r="Q424">
        <f>P424/O424</f>
        <v>7.1944321965262273E-3</v>
      </c>
      <c r="R424">
        <f>I424-G424</f>
        <v>31</v>
      </c>
      <c r="S424">
        <f>Q424/R424</f>
        <v>2.3207845795245895E-4</v>
      </c>
      <c r="T424">
        <f>S424*10000</f>
        <v>2.3207845795245894</v>
      </c>
    </row>
    <row r="425" spans="1:20" x14ac:dyDescent="0.3">
      <c r="A425" t="s">
        <v>54</v>
      </c>
      <c r="B425" t="s">
        <v>36</v>
      </c>
      <c r="C425">
        <v>1</v>
      </c>
      <c r="D425">
        <v>48</v>
      </c>
      <c r="E425" t="s">
        <v>24</v>
      </c>
      <c r="F425">
        <v>0.45734000000000002</v>
      </c>
      <c r="G425" s="1">
        <v>45906</v>
      </c>
      <c r="H425">
        <v>2.4639500000000001</v>
      </c>
      <c r="I425" s="1">
        <v>45937</v>
      </c>
      <c r="J425">
        <v>63.617251160000002</v>
      </c>
      <c r="K425">
        <v>5.31</v>
      </c>
      <c r="L425">
        <v>1</v>
      </c>
      <c r="M425">
        <v>3.3154599999999999</v>
      </c>
      <c r="N425">
        <f>L425*F425</f>
        <v>0.45734000000000002</v>
      </c>
      <c r="O425">
        <f>L425*J425</f>
        <v>63.617251160000002</v>
      </c>
      <c r="P425">
        <f>M425-N425-H425</f>
        <v>0.39416999999999991</v>
      </c>
      <c r="Q425">
        <f>P425/O425</f>
        <v>6.195960888166107E-3</v>
      </c>
      <c r="R425">
        <f>I425-G425</f>
        <v>31</v>
      </c>
      <c r="S425">
        <f>Q425/R425</f>
        <v>1.9986970606987442E-4</v>
      </c>
      <c r="T425">
        <f>S425*10000</f>
        <v>1.9986970606987442</v>
      </c>
    </row>
    <row r="426" spans="1:20" x14ac:dyDescent="0.3">
      <c r="A426" t="s">
        <v>54</v>
      </c>
      <c r="B426" t="s">
        <v>36</v>
      </c>
      <c r="C426">
        <v>2</v>
      </c>
      <c r="D426">
        <v>0.5</v>
      </c>
      <c r="E426" t="s">
        <v>47</v>
      </c>
      <c r="F426">
        <v>0.43841000000000002</v>
      </c>
      <c r="G426" s="1">
        <v>45906</v>
      </c>
      <c r="H426">
        <v>2.4251</v>
      </c>
      <c r="I426" s="1">
        <v>45937</v>
      </c>
      <c r="J426">
        <v>63.617251160000002</v>
      </c>
      <c r="K426">
        <v>5.31</v>
      </c>
      <c r="L426">
        <v>1</v>
      </c>
      <c r="M426">
        <v>123.42</v>
      </c>
      <c r="N426">
        <f>L426*F426</f>
        <v>0.43841000000000002</v>
      </c>
      <c r="O426">
        <f>L426*J426</f>
        <v>63.617251160000002</v>
      </c>
      <c r="P426">
        <f>M426-N426-H426</f>
        <v>120.55649</v>
      </c>
      <c r="Q426">
        <f>P426/O426</f>
        <v>1.8950282793073763</v>
      </c>
      <c r="R426">
        <f>I426-G426</f>
        <v>31</v>
      </c>
      <c r="S426">
        <f>Q426/R426</f>
        <v>6.112994449378633E-2</v>
      </c>
      <c r="T426">
        <f>S426*10000</f>
        <v>611.29944493786331</v>
      </c>
    </row>
    <row r="427" spans="1:20" x14ac:dyDescent="0.3">
      <c r="A427" t="s">
        <v>54</v>
      </c>
      <c r="B427" t="s">
        <v>36</v>
      </c>
      <c r="C427">
        <v>2</v>
      </c>
      <c r="D427">
        <v>0.5</v>
      </c>
      <c r="E427" t="s">
        <v>23</v>
      </c>
      <c r="F427">
        <v>0.45817000000000002</v>
      </c>
      <c r="G427" s="1">
        <v>45906</v>
      </c>
      <c r="H427">
        <v>2.43913</v>
      </c>
      <c r="I427" s="1">
        <v>45937</v>
      </c>
      <c r="J427">
        <v>63.617251160000002</v>
      </c>
      <c r="K427">
        <v>5.31</v>
      </c>
      <c r="L427">
        <v>1</v>
      </c>
      <c r="M427">
        <v>246.34</v>
      </c>
      <c r="N427">
        <f>L427*F427</f>
        <v>0.45817000000000002</v>
      </c>
      <c r="O427">
        <f>L427*J427</f>
        <v>63.617251160000002</v>
      </c>
      <c r="P427">
        <f>M427-N427-H427</f>
        <v>243.4427</v>
      </c>
      <c r="Q427">
        <f>P427/O427</f>
        <v>3.8266774430056967</v>
      </c>
      <c r="R427">
        <f>I427-G427</f>
        <v>31</v>
      </c>
      <c r="S427">
        <f>Q427/R427</f>
        <v>0.12344120783889344</v>
      </c>
      <c r="T427">
        <f>S427*10000</f>
        <v>1234.4120783889343</v>
      </c>
    </row>
    <row r="428" spans="1:20" x14ac:dyDescent="0.3">
      <c r="A428" t="s">
        <v>54</v>
      </c>
      <c r="B428" t="s">
        <v>36</v>
      </c>
      <c r="C428">
        <v>2</v>
      </c>
      <c r="D428">
        <v>0.5</v>
      </c>
      <c r="E428" t="s">
        <v>24</v>
      </c>
      <c r="F428">
        <v>0.46037</v>
      </c>
      <c r="G428" s="1">
        <v>45906</v>
      </c>
      <c r="H428">
        <v>2.4081399999999999</v>
      </c>
      <c r="I428" s="1">
        <v>45937</v>
      </c>
      <c r="J428">
        <v>63.617251160000002</v>
      </c>
      <c r="K428">
        <v>5.31</v>
      </c>
      <c r="L428">
        <v>1</v>
      </c>
      <c r="M428">
        <v>195.79</v>
      </c>
      <c r="N428">
        <f>L428*F428</f>
        <v>0.46037</v>
      </c>
      <c r="O428">
        <f>L428*J428</f>
        <v>63.617251160000002</v>
      </c>
      <c r="P428">
        <f>M428-N428-H428</f>
        <v>192.92148999999998</v>
      </c>
      <c r="Q428">
        <f>P428/O428</f>
        <v>3.0325342023155715</v>
      </c>
      <c r="R428">
        <f>I428-G428</f>
        <v>31</v>
      </c>
      <c r="S428">
        <f>Q428/R428</f>
        <v>9.7823683945663598E-2</v>
      </c>
      <c r="T428">
        <f>S428*10000</f>
        <v>978.23683945663595</v>
      </c>
    </row>
    <row r="429" spans="1:20" x14ac:dyDescent="0.3">
      <c r="A429" t="s">
        <v>54</v>
      </c>
      <c r="B429" t="s">
        <v>36</v>
      </c>
      <c r="C429">
        <v>2</v>
      </c>
      <c r="D429">
        <v>2</v>
      </c>
      <c r="E429" t="s">
        <v>47</v>
      </c>
      <c r="F429">
        <v>0.43545</v>
      </c>
      <c r="G429" s="1">
        <v>45906</v>
      </c>
      <c r="H429">
        <v>2.45052</v>
      </c>
      <c r="I429" s="1">
        <v>45937</v>
      </c>
      <c r="J429">
        <v>63.617251160000002</v>
      </c>
      <c r="K429">
        <v>5.31</v>
      </c>
      <c r="L429">
        <v>1</v>
      </c>
      <c r="M429">
        <v>12.283340000000001</v>
      </c>
      <c r="N429">
        <f>L429*F429</f>
        <v>0.43545</v>
      </c>
      <c r="O429">
        <f>L429*J429</f>
        <v>63.617251160000002</v>
      </c>
      <c r="P429">
        <f>M429-N429-H429</f>
        <v>9.3973700000000022</v>
      </c>
      <c r="Q429">
        <f>P429/O429</f>
        <v>0.14771732240308891</v>
      </c>
      <c r="R429">
        <f>I429-G429</f>
        <v>31</v>
      </c>
      <c r="S429">
        <f>Q429/R429</f>
        <v>4.7650749162286747E-3</v>
      </c>
      <c r="T429">
        <f>S429*10000</f>
        <v>47.650749162286751</v>
      </c>
    </row>
    <row r="430" spans="1:20" x14ac:dyDescent="0.3">
      <c r="A430" t="s">
        <v>54</v>
      </c>
      <c r="B430" t="s">
        <v>36</v>
      </c>
      <c r="C430">
        <v>2</v>
      </c>
      <c r="D430">
        <v>2</v>
      </c>
      <c r="E430" t="s">
        <v>23</v>
      </c>
      <c r="F430">
        <v>0.45130999999999999</v>
      </c>
      <c r="G430" s="1">
        <v>45906</v>
      </c>
      <c r="H430">
        <v>2.4134899999999999</v>
      </c>
      <c r="I430" s="1">
        <v>45937</v>
      </c>
      <c r="J430">
        <v>63.617251160000002</v>
      </c>
      <c r="K430">
        <v>5.31</v>
      </c>
      <c r="L430">
        <v>1</v>
      </c>
      <c r="M430">
        <v>38.1526</v>
      </c>
      <c r="N430">
        <f>L430*F430</f>
        <v>0.45130999999999999</v>
      </c>
      <c r="O430">
        <f>L430*J430</f>
        <v>63.617251160000002</v>
      </c>
      <c r="P430">
        <f>M430-N430-H430</f>
        <v>35.287799999999997</v>
      </c>
      <c r="Q430">
        <f>P430/O430</f>
        <v>0.55468916617050501</v>
      </c>
      <c r="R430">
        <f>I430-G430</f>
        <v>31</v>
      </c>
      <c r="S430">
        <f>Q430/R430</f>
        <v>1.7893198908725969E-2</v>
      </c>
      <c r="T430">
        <f>S430*10000</f>
        <v>178.93198908725969</v>
      </c>
    </row>
    <row r="431" spans="1:20" x14ac:dyDescent="0.3">
      <c r="A431" t="s">
        <v>54</v>
      </c>
      <c r="B431" t="s">
        <v>36</v>
      </c>
      <c r="C431">
        <v>2</v>
      </c>
      <c r="D431">
        <v>2</v>
      </c>
      <c r="E431" t="s">
        <v>24</v>
      </c>
      <c r="F431">
        <v>0.43336999999999998</v>
      </c>
      <c r="G431" s="1">
        <v>45906</v>
      </c>
      <c r="H431">
        <v>2.48638</v>
      </c>
      <c r="I431" s="1">
        <v>45937</v>
      </c>
      <c r="J431">
        <v>63.617251160000002</v>
      </c>
      <c r="K431">
        <v>5.31</v>
      </c>
      <c r="L431">
        <v>1</v>
      </c>
      <c r="M431">
        <v>6.1873399999999998</v>
      </c>
      <c r="N431">
        <f>L431*F431</f>
        <v>0.43336999999999998</v>
      </c>
      <c r="O431">
        <f>L431*J431</f>
        <v>63.617251160000002</v>
      </c>
      <c r="P431">
        <f>M431-N431-H431</f>
        <v>3.2675899999999998</v>
      </c>
      <c r="Q431">
        <f>P431/O431</f>
        <v>5.1363269245662257E-2</v>
      </c>
      <c r="R431">
        <f>I431-G431</f>
        <v>31</v>
      </c>
      <c r="S431">
        <f>Q431/R431</f>
        <v>1.6568796530858792E-3</v>
      </c>
      <c r="T431">
        <f>S431*10000</f>
        <v>16.568796530858791</v>
      </c>
    </row>
    <row r="432" spans="1:20" x14ac:dyDescent="0.3">
      <c r="A432" t="s">
        <v>54</v>
      </c>
      <c r="B432" t="s">
        <v>36</v>
      </c>
      <c r="C432">
        <v>2</v>
      </c>
      <c r="D432">
        <v>6</v>
      </c>
      <c r="E432" t="s">
        <v>47</v>
      </c>
      <c r="F432">
        <v>0.4385</v>
      </c>
      <c r="G432" s="1">
        <v>45906</v>
      </c>
      <c r="H432">
        <v>2.4178999999999999</v>
      </c>
      <c r="I432" s="1">
        <v>45937</v>
      </c>
      <c r="J432">
        <v>63.617251160000002</v>
      </c>
      <c r="K432">
        <v>5.31</v>
      </c>
      <c r="L432">
        <v>1</v>
      </c>
      <c r="M432">
        <v>4.1268500000000001</v>
      </c>
      <c r="N432">
        <f>L432*F432</f>
        <v>0.4385</v>
      </c>
      <c r="O432">
        <f>L432*J432</f>
        <v>63.617251160000002</v>
      </c>
      <c r="P432">
        <f>M432-N432-H432</f>
        <v>1.2704500000000003</v>
      </c>
      <c r="Q432">
        <f>P432/O432</f>
        <v>1.9970212117539726E-2</v>
      </c>
      <c r="R432">
        <f>I432-G432</f>
        <v>31</v>
      </c>
      <c r="S432">
        <f>Q432/R432</f>
        <v>6.4420039088837824E-4</v>
      </c>
      <c r="T432">
        <f>S432*10000</f>
        <v>6.4420039088837822</v>
      </c>
    </row>
    <row r="433" spans="1:20" x14ac:dyDescent="0.3">
      <c r="A433" t="s">
        <v>54</v>
      </c>
      <c r="B433" t="s">
        <v>36</v>
      </c>
      <c r="C433">
        <v>2</v>
      </c>
      <c r="D433">
        <v>6</v>
      </c>
      <c r="E433" t="s">
        <v>23</v>
      </c>
      <c r="F433">
        <v>0.45848</v>
      </c>
      <c r="G433" s="1">
        <v>45906</v>
      </c>
      <c r="H433">
        <v>2.4028999999999998</v>
      </c>
      <c r="I433" s="1">
        <v>45937</v>
      </c>
      <c r="J433">
        <v>63.617251160000002</v>
      </c>
      <c r="K433">
        <v>5.31</v>
      </c>
      <c r="L433">
        <v>1</v>
      </c>
      <c r="M433">
        <v>4.2587099999999998</v>
      </c>
      <c r="N433">
        <f>L433*F433</f>
        <v>0.45848</v>
      </c>
      <c r="O433">
        <f>L433*J433</f>
        <v>63.617251160000002</v>
      </c>
      <c r="P433">
        <f>M433-N433-H433</f>
        <v>1.3973300000000002</v>
      </c>
      <c r="Q433">
        <f>P433/O433</f>
        <v>2.1964639693180986E-2</v>
      </c>
      <c r="R433">
        <f>I433-G433</f>
        <v>31</v>
      </c>
      <c r="S433">
        <f>Q433/R433</f>
        <v>7.0853676429616082E-4</v>
      </c>
      <c r="T433">
        <f>S433*10000</f>
        <v>7.0853676429616081</v>
      </c>
    </row>
    <row r="434" spans="1:20" x14ac:dyDescent="0.3">
      <c r="A434" t="s">
        <v>54</v>
      </c>
      <c r="B434" t="s">
        <v>36</v>
      </c>
      <c r="C434">
        <v>2</v>
      </c>
      <c r="D434">
        <v>6</v>
      </c>
      <c r="E434" t="s">
        <v>24</v>
      </c>
      <c r="F434">
        <v>0.43640000000000001</v>
      </c>
      <c r="G434" s="1">
        <v>45906</v>
      </c>
      <c r="H434">
        <v>2.4212500000000001</v>
      </c>
      <c r="I434" s="1">
        <v>45937</v>
      </c>
      <c r="J434">
        <v>63.617251160000002</v>
      </c>
      <c r="K434">
        <v>5.31</v>
      </c>
      <c r="L434">
        <v>1</v>
      </c>
      <c r="M434">
        <v>4.4890499999999998</v>
      </c>
      <c r="N434">
        <f>L434*F434</f>
        <v>0.43640000000000001</v>
      </c>
      <c r="O434">
        <f>L434*J434</f>
        <v>63.617251160000002</v>
      </c>
      <c r="P434">
        <f>M434-N434-H434</f>
        <v>1.6313999999999997</v>
      </c>
      <c r="Q434">
        <f>P434/O434</f>
        <v>2.5643987601679956E-2</v>
      </c>
      <c r="R434">
        <f>I434-G434</f>
        <v>31</v>
      </c>
      <c r="S434">
        <f>Q434/R434</f>
        <v>8.2722540650580505E-4</v>
      </c>
      <c r="T434">
        <f>S434*10000</f>
        <v>8.2722540650580498</v>
      </c>
    </row>
    <row r="435" spans="1:20" x14ac:dyDescent="0.3">
      <c r="A435" t="s">
        <v>54</v>
      </c>
      <c r="B435" t="s">
        <v>36</v>
      </c>
      <c r="C435">
        <v>2</v>
      </c>
      <c r="D435">
        <v>12</v>
      </c>
      <c r="E435" t="s">
        <v>47</v>
      </c>
      <c r="F435">
        <v>0.45319999999999999</v>
      </c>
      <c r="G435" s="1">
        <v>45906</v>
      </c>
      <c r="H435">
        <v>2.40815</v>
      </c>
      <c r="I435" s="1">
        <v>45937</v>
      </c>
      <c r="J435">
        <v>63.617251160000002</v>
      </c>
      <c r="K435">
        <v>5.31</v>
      </c>
      <c r="L435">
        <v>1</v>
      </c>
      <c r="M435">
        <v>3.47723</v>
      </c>
      <c r="N435">
        <f>L435*F435</f>
        <v>0.45319999999999999</v>
      </c>
      <c r="O435">
        <f>L435*J435</f>
        <v>63.617251160000002</v>
      </c>
      <c r="P435">
        <f>M435-N435-H435</f>
        <v>0.61588000000000021</v>
      </c>
      <c r="Q435">
        <f>P435/O435</f>
        <v>9.6810218733128957E-3</v>
      </c>
      <c r="R435">
        <f>I435-G435</f>
        <v>31</v>
      </c>
      <c r="S435">
        <f>Q435/R435</f>
        <v>3.1229102817138371E-4</v>
      </c>
      <c r="T435">
        <f>S435*10000</f>
        <v>3.1229102817138372</v>
      </c>
    </row>
    <row r="436" spans="1:20" x14ac:dyDescent="0.3">
      <c r="A436" t="s">
        <v>54</v>
      </c>
      <c r="B436" t="s">
        <v>36</v>
      </c>
      <c r="C436">
        <v>2</v>
      </c>
      <c r="D436">
        <v>12</v>
      </c>
      <c r="E436" t="s">
        <v>23</v>
      </c>
      <c r="F436">
        <v>0.43784000000000001</v>
      </c>
      <c r="G436" s="1">
        <v>45906</v>
      </c>
      <c r="H436">
        <v>2.42035</v>
      </c>
      <c r="I436" s="1">
        <v>45937</v>
      </c>
      <c r="J436">
        <v>63.617251160000002</v>
      </c>
      <c r="K436">
        <v>5.31</v>
      </c>
      <c r="L436">
        <v>1</v>
      </c>
      <c r="M436">
        <v>3.41052</v>
      </c>
      <c r="N436">
        <f>L436*F436</f>
        <v>0.43784000000000001</v>
      </c>
      <c r="O436">
        <f>L436*J436</f>
        <v>63.617251160000002</v>
      </c>
      <c r="P436">
        <f>M436-N436-H436</f>
        <v>0.55232999999999999</v>
      </c>
      <c r="Q436">
        <f>P436/O436</f>
        <v>8.6820789947504549E-3</v>
      </c>
      <c r="R436">
        <f>I436-G436</f>
        <v>31</v>
      </c>
      <c r="S436">
        <f>Q436/R436</f>
        <v>2.8006706434678886E-4</v>
      </c>
      <c r="T436">
        <f>S436*10000</f>
        <v>2.8006706434678885</v>
      </c>
    </row>
    <row r="437" spans="1:20" x14ac:dyDescent="0.3">
      <c r="A437" t="s">
        <v>54</v>
      </c>
      <c r="B437" t="s">
        <v>36</v>
      </c>
      <c r="C437">
        <v>2</v>
      </c>
      <c r="D437">
        <v>12</v>
      </c>
      <c r="E437" t="s">
        <v>24</v>
      </c>
      <c r="F437">
        <v>0.43517</v>
      </c>
      <c r="G437" s="1">
        <v>45906</v>
      </c>
      <c r="H437">
        <v>2.41303</v>
      </c>
      <c r="I437" s="1">
        <v>45937</v>
      </c>
      <c r="J437">
        <v>63.617251160000002</v>
      </c>
      <c r="K437">
        <v>5.31</v>
      </c>
      <c r="L437">
        <v>1</v>
      </c>
      <c r="M437">
        <v>3.4226200000000002</v>
      </c>
      <c r="N437">
        <f>L437*F437</f>
        <v>0.43517</v>
      </c>
      <c r="O437">
        <f>L437*J437</f>
        <v>63.617251160000002</v>
      </c>
      <c r="P437">
        <f>M437-N437-H437</f>
        <v>0.57442000000000037</v>
      </c>
      <c r="Q437">
        <f>P437/O437</f>
        <v>9.0293118537188993E-3</v>
      </c>
      <c r="R437">
        <f>I437-G437</f>
        <v>31</v>
      </c>
      <c r="S437">
        <f>Q437/R437</f>
        <v>2.912681243135129E-4</v>
      </c>
      <c r="T437">
        <f>S437*10000</f>
        <v>2.912681243135129</v>
      </c>
    </row>
    <row r="438" spans="1:20" x14ac:dyDescent="0.3">
      <c r="A438" t="s">
        <v>54</v>
      </c>
      <c r="B438" t="s">
        <v>36</v>
      </c>
      <c r="C438">
        <v>2</v>
      </c>
      <c r="D438">
        <v>24</v>
      </c>
      <c r="E438" t="s">
        <v>22</v>
      </c>
      <c r="F438">
        <v>0.43680999999999998</v>
      </c>
      <c r="G438" s="1">
        <v>45906</v>
      </c>
      <c r="H438">
        <v>2.46671</v>
      </c>
      <c r="I438" s="1">
        <v>45937</v>
      </c>
      <c r="J438">
        <v>63.617251160000002</v>
      </c>
      <c r="K438">
        <v>5.31</v>
      </c>
      <c r="L438">
        <v>1</v>
      </c>
      <c r="M438">
        <v>3.09083</v>
      </c>
      <c r="N438">
        <f>L438*F438</f>
        <v>0.43680999999999998</v>
      </c>
      <c r="O438">
        <f>L438*J438</f>
        <v>63.617251160000002</v>
      </c>
      <c r="P438">
        <f>M438-N438-H438</f>
        <v>0.18731000000000009</v>
      </c>
      <c r="Q438">
        <f>P438/O438</f>
        <v>2.9443271531633414E-3</v>
      </c>
      <c r="R438">
        <f>I438-G438</f>
        <v>31</v>
      </c>
      <c r="S438">
        <f>Q438/R438</f>
        <v>9.4978295263333597E-5</v>
      </c>
      <c r="T438">
        <f>S438*10000</f>
        <v>0.94978295263333601</v>
      </c>
    </row>
    <row r="439" spans="1:20" x14ac:dyDescent="0.3">
      <c r="A439" t="s">
        <v>54</v>
      </c>
      <c r="B439" t="s">
        <v>36</v>
      </c>
      <c r="C439">
        <v>2</v>
      </c>
      <c r="D439">
        <v>24</v>
      </c>
      <c r="E439" t="s">
        <v>23</v>
      </c>
      <c r="F439">
        <v>0.43917</v>
      </c>
      <c r="G439" s="1">
        <v>45906</v>
      </c>
      <c r="H439">
        <v>2.4723000000000002</v>
      </c>
      <c r="I439" s="1">
        <v>45937</v>
      </c>
      <c r="J439">
        <v>63.617251160000002</v>
      </c>
      <c r="K439">
        <v>5.31</v>
      </c>
      <c r="L439">
        <v>1</v>
      </c>
      <c r="M439">
        <v>3.1102799999999999</v>
      </c>
      <c r="N439">
        <f>L439*F439</f>
        <v>0.43917</v>
      </c>
      <c r="O439">
        <f>L439*J439</f>
        <v>63.617251160000002</v>
      </c>
      <c r="P439">
        <f>M439-N439-H439</f>
        <v>0.19880999999999993</v>
      </c>
      <c r="Q439">
        <f>P439/O439</f>
        <v>3.125095730715944E-3</v>
      </c>
      <c r="R439">
        <f>I439-G439</f>
        <v>31</v>
      </c>
      <c r="S439">
        <f>Q439/R439</f>
        <v>1.0080953970051432E-4</v>
      </c>
      <c r="T439">
        <f>S439*10000</f>
        <v>1.0080953970051432</v>
      </c>
    </row>
    <row r="440" spans="1:20" x14ac:dyDescent="0.3">
      <c r="A440" t="s">
        <v>54</v>
      </c>
      <c r="B440" t="s">
        <v>36</v>
      </c>
      <c r="C440">
        <v>2</v>
      </c>
      <c r="D440">
        <v>24</v>
      </c>
      <c r="E440" t="s">
        <v>24</v>
      </c>
      <c r="F440">
        <v>0.45537</v>
      </c>
      <c r="G440" s="1">
        <v>45906</v>
      </c>
      <c r="H440">
        <v>2.4693999999999998</v>
      </c>
      <c r="I440" s="1">
        <v>45937</v>
      </c>
      <c r="J440">
        <v>63.617251160000002</v>
      </c>
      <c r="K440">
        <v>5.31</v>
      </c>
      <c r="L440">
        <v>1</v>
      </c>
      <c r="M440">
        <v>3.1198399999999999</v>
      </c>
      <c r="N440">
        <f>L440*F440</f>
        <v>0.45537</v>
      </c>
      <c r="O440">
        <f>L440*J440</f>
        <v>63.617251160000002</v>
      </c>
      <c r="P440">
        <f>M440-N440-H440</f>
        <v>0.1950700000000003</v>
      </c>
      <c r="Q440">
        <f>P440/O440</f>
        <v>3.0663066454944938E-3</v>
      </c>
      <c r="R440">
        <f>I440-G440</f>
        <v>31</v>
      </c>
      <c r="S440">
        <f>Q440/R440</f>
        <v>9.891311759659657E-5</v>
      </c>
      <c r="T440">
        <f>S440*10000</f>
        <v>0.98913117596596567</v>
      </c>
    </row>
    <row r="441" spans="1:20" x14ac:dyDescent="0.3">
      <c r="A441" t="s">
        <v>54</v>
      </c>
      <c r="B441" t="s">
        <v>36</v>
      </c>
      <c r="C441">
        <v>2</v>
      </c>
      <c r="D441">
        <v>48</v>
      </c>
      <c r="E441" t="s">
        <v>47</v>
      </c>
      <c r="F441">
        <v>0.43724000000000002</v>
      </c>
      <c r="G441" s="1">
        <v>45906</v>
      </c>
      <c r="H441">
        <v>2.4821</v>
      </c>
      <c r="I441" s="1">
        <v>45937</v>
      </c>
      <c r="J441">
        <v>63.617251160000002</v>
      </c>
      <c r="K441">
        <v>5.31</v>
      </c>
      <c r="L441">
        <v>1</v>
      </c>
      <c r="M441">
        <v>3.2595900000000002</v>
      </c>
      <c r="N441">
        <f>L441*F441</f>
        <v>0.43724000000000002</v>
      </c>
      <c r="O441">
        <f>L441*J441</f>
        <v>63.617251160000002</v>
      </c>
      <c r="P441">
        <f>M441-N441-H441</f>
        <v>0.34025000000000016</v>
      </c>
      <c r="Q441">
        <f>P441/O441</f>
        <v>5.34839204454555E-3</v>
      </c>
      <c r="R441">
        <f>I441-G441</f>
        <v>31</v>
      </c>
      <c r="S441">
        <f>Q441/R441</f>
        <v>1.7252877563050161E-4</v>
      </c>
      <c r="T441">
        <f>S441*10000</f>
        <v>1.7252877563050162</v>
      </c>
    </row>
    <row r="442" spans="1:20" x14ac:dyDescent="0.3">
      <c r="A442" t="s">
        <v>54</v>
      </c>
      <c r="B442" t="s">
        <v>36</v>
      </c>
      <c r="C442">
        <v>2</v>
      </c>
      <c r="D442">
        <v>48</v>
      </c>
      <c r="E442" t="s">
        <v>23</v>
      </c>
      <c r="F442">
        <v>0.45623000000000002</v>
      </c>
      <c r="G442" s="1">
        <v>45906</v>
      </c>
      <c r="H442">
        <v>2.4476</v>
      </c>
      <c r="I442" s="1">
        <v>45937</v>
      </c>
      <c r="J442">
        <v>63.617251160000002</v>
      </c>
      <c r="K442">
        <v>5.31</v>
      </c>
      <c r="L442">
        <v>1</v>
      </c>
      <c r="M442">
        <v>3.13354</v>
      </c>
      <c r="N442">
        <f>L442*F442</f>
        <v>0.45623000000000002</v>
      </c>
      <c r="O442">
        <f>L442*J442</f>
        <v>63.617251160000002</v>
      </c>
      <c r="P442">
        <f>M442-N442-H442</f>
        <v>0.22970999999999986</v>
      </c>
      <c r="Q442">
        <f>P442/O442</f>
        <v>3.6108130390964202E-3</v>
      </c>
      <c r="R442">
        <f>I442-G442</f>
        <v>31</v>
      </c>
      <c r="S442">
        <f>Q442/R442</f>
        <v>1.1647783997085226E-4</v>
      </c>
      <c r="T442">
        <f>S442*10000</f>
        <v>1.1647783997085226</v>
      </c>
    </row>
    <row r="443" spans="1:20" x14ac:dyDescent="0.3">
      <c r="A443" t="s">
        <v>54</v>
      </c>
      <c r="B443" t="s">
        <v>36</v>
      </c>
      <c r="C443">
        <v>2</v>
      </c>
      <c r="D443">
        <v>48</v>
      </c>
      <c r="E443" t="s">
        <v>24</v>
      </c>
      <c r="F443">
        <v>0.43474000000000002</v>
      </c>
      <c r="G443" s="1">
        <v>45906</v>
      </c>
      <c r="H443">
        <v>2.4428999999999998</v>
      </c>
      <c r="I443" s="1">
        <v>45937</v>
      </c>
      <c r="J443">
        <v>63.617251160000002</v>
      </c>
      <c r="K443">
        <v>5.31</v>
      </c>
      <c r="L443">
        <v>1</v>
      </c>
      <c r="M443">
        <v>3.15036</v>
      </c>
      <c r="N443">
        <f>L443*F443</f>
        <v>0.43474000000000002</v>
      </c>
      <c r="O443">
        <f>L443*J443</f>
        <v>63.617251160000002</v>
      </c>
      <c r="P443">
        <f>M443-N443-H443</f>
        <v>0.27272000000000007</v>
      </c>
      <c r="Q443">
        <f>P443/O443</f>
        <v>4.2868875191431656E-3</v>
      </c>
      <c r="R443">
        <f>I443-G443</f>
        <v>31</v>
      </c>
      <c r="S443">
        <f>Q443/R443</f>
        <v>1.3828669416590856E-4</v>
      </c>
      <c r="T443">
        <f>S443*10000</f>
        <v>1.3828669416590855</v>
      </c>
    </row>
    <row r="444" spans="1:20" x14ac:dyDescent="0.3">
      <c r="A444" t="s">
        <v>54</v>
      </c>
      <c r="B444" t="s">
        <v>36</v>
      </c>
      <c r="E444" t="s">
        <v>48</v>
      </c>
      <c r="F444">
        <v>0.45140999999999998</v>
      </c>
      <c r="G444" t="s">
        <v>27</v>
      </c>
      <c r="H444">
        <v>2.4503200000000001</v>
      </c>
      <c r="I444" t="s">
        <v>27</v>
      </c>
      <c r="J444">
        <v>63.617251160000002</v>
      </c>
      <c r="K444">
        <v>5.31</v>
      </c>
      <c r="L444" t="s">
        <v>27</v>
      </c>
      <c r="M444">
        <v>2.44767</v>
      </c>
      <c r="N444" t="e">
        <f>L444*F444</f>
        <v>#VALUE!</v>
      </c>
      <c r="O444" t="e">
        <f>L444*J444</f>
        <v>#VALUE!</v>
      </c>
      <c r="P444" t="e">
        <f>M444-N444-H444</f>
        <v>#VALUE!</v>
      </c>
      <c r="Q444" t="e">
        <f>P444/O444</f>
        <v>#VALUE!</v>
      </c>
      <c r="R444" t="e">
        <f>I444-G444</f>
        <v>#VALUE!</v>
      </c>
      <c r="S444" t="e">
        <f>Q444/R444</f>
        <v>#VALUE!</v>
      </c>
      <c r="T444" t="e">
        <f>S444*10000</f>
        <v>#VALUE!</v>
      </c>
    </row>
    <row r="445" spans="1:20" x14ac:dyDescent="0.3">
      <c r="A445" t="s">
        <v>54</v>
      </c>
      <c r="B445" t="s">
        <v>36</v>
      </c>
      <c r="E445" t="s">
        <v>49</v>
      </c>
      <c r="F445">
        <v>0.45340999999999998</v>
      </c>
      <c r="G445" t="s">
        <v>27</v>
      </c>
      <c r="H445">
        <v>2.4520900000000001</v>
      </c>
      <c r="I445" t="s">
        <v>27</v>
      </c>
      <c r="J445">
        <v>63.617251160000002</v>
      </c>
      <c r="K445">
        <v>5.31</v>
      </c>
      <c r="L445" t="s">
        <v>27</v>
      </c>
      <c r="M445">
        <v>2.44916</v>
      </c>
      <c r="N445" t="e">
        <f>L445*F445</f>
        <v>#VALUE!</v>
      </c>
      <c r="O445" t="e">
        <f>L445*J445</f>
        <v>#VALUE!</v>
      </c>
      <c r="P445" t="e">
        <f>M445-N445-H445</f>
        <v>#VALUE!</v>
      </c>
      <c r="Q445" t="e">
        <f>P445/O445</f>
        <v>#VALUE!</v>
      </c>
      <c r="R445" t="e">
        <f>I445-G445</f>
        <v>#VALUE!</v>
      </c>
      <c r="S445" t="e">
        <f>Q445/R445</f>
        <v>#VALUE!</v>
      </c>
      <c r="T445" t="e">
        <f>S445*10000</f>
        <v>#VALUE!</v>
      </c>
    </row>
    <row r="446" spans="1:20" x14ac:dyDescent="0.3">
      <c r="A446" t="s">
        <v>54</v>
      </c>
      <c r="B446" t="s">
        <v>36</v>
      </c>
      <c r="E446" t="s">
        <v>50</v>
      </c>
      <c r="F446">
        <v>0.45300000000000001</v>
      </c>
      <c r="G446" t="s">
        <v>27</v>
      </c>
      <c r="H446">
        <v>2.4392399999999999</v>
      </c>
      <c r="I446" t="s">
        <v>27</v>
      </c>
      <c r="J446">
        <v>63.617251160000002</v>
      </c>
      <c r="K446">
        <v>5.31</v>
      </c>
      <c r="L446" t="s">
        <v>27</v>
      </c>
      <c r="M446">
        <v>2.43669</v>
      </c>
      <c r="N446" t="e">
        <f>L446*F446</f>
        <v>#VALUE!</v>
      </c>
      <c r="O446" t="e">
        <f>L446*J446</f>
        <v>#VALUE!</v>
      </c>
      <c r="P446" t="e">
        <f>M446-N446-H446</f>
        <v>#VALUE!</v>
      </c>
      <c r="Q446" t="e">
        <f>P446/O446</f>
        <v>#VALUE!</v>
      </c>
      <c r="R446" t="e">
        <f>I446-G446</f>
        <v>#VALUE!</v>
      </c>
      <c r="S446" t="e">
        <f>Q446/R446</f>
        <v>#VALUE!</v>
      </c>
      <c r="T446" t="e">
        <f>S446*10000</f>
        <v>#VALUE!</v>
      </c>
    </row>
    <row r="447" spans="1:20" x14ac:dyDescent="0.3">
      <c r="A447" t="s">
        <v>54</v>
      </c>
      <c r="B447" t="s">
        <v>36</v>
      </c>
      <c r="E447" t="s">
        <v>51</v>
      </c>
      <c r="F447">
        <v>0.45191999999999999</v>
      </c>
      <c r="G447" t="s">
        <v>27</v>
      </c>
      <c r="H447">
        <v>2.4328099999999999</v>
      </c>
      <c r="I447" t="s">
        <v>27</v>
      </c>
      <c r="J447">
        <v>63.617251160000002</v>
      </c>
      <c r="K447">
        <v>5.31</v>
      </c>
      <c r="L447" t="s">
        <v>27</v>
      </c>
      <c r="M447">
        <v>2.4316800000000001</v>
      </c>
      <c r="N447" t="e">
        <f>L447*F447</f>
        <v>#VALUE!</v>
      </c>
      <c r="O447" t="e">
        <f>L447*J447</f>
        <v>#VALUE!</v>
      </c>
      <c r="P447" t="e">
        <f>M447-N447-H447</f>
        <v>#VALUE!</v>
      </c>
      <c r="Q447" t="e">
        <f>P447/O447</f>
        <v>#VALUE!</v>
      </c>
      <c r="R447" t="e">
        <f>I447-G447</f>
        <v>#VALUE!</v>
      </c>
      <c r="S447" t="e">
        <f>Q447/R447</f>
        <v>#VALUE!</v>
      </c>
      <c r="T447" t="e">
        <f>S447*10000</f>
        <v>#VALUE!</v>
      </c>
    </row>
    <row r="448" spans="1:20" x14ac:dyDescent="0.3">
      <c r="A448" t="s">
        <v>54</v>
      </c>
      <c r="B448" t="s">
        <v>40</v>
      </c>
      <c r="C448">
        <v>1</v>
      </c>
      <c r="D448">
        <v>0.5</v>
      </c>
      <c r="E448" t="s">
        <v>47</v>
      </c>
      <c r="F448">
        <v>0.45638000000000001</v>
      </c>
      <c r="G448" s="1">
        <v>45908</v>
      </c>
      <c r="H448">
        <v>2.48332</v>
      </c>
      <c r="I448" s="1">
        <v>45936</v>
      </c>
      <c r="J448">
        <v>63.617251160000002</v>
      </c>
      <c r="K448">
        <v>5.31</v>
      </c>
      <c r="L448">
        <v>1</v>
      </c>
      <c r="M448">
        <v>8.3560400000000001</v>
      </c>
      <c r="N448">
        <f>L448*F448</f>
        <v>0.45638000000000001</v>
      </c>
      <c r="O448">
        <f>L448*J448</f>
        <v>63.617251160000002</v>
      </c>
      <c r="P448">
        <f>M448-N448-H448</f>
        <v>5.4163399999999999</v>
      </c>
      <c r="Q448">
        <f>P448/O448</f>
        <v>8.5139484986197875E-2</v>
      </c>
      <c r="R448">
        <f>I448-G448</f>
        <v>28</v>
      </c>
      <c r="S448">
        <f>Q448/R448</f>
        <v>3.0406958923642098E-3</v>
      </c>
      <c r="T448">
        <f>S448*10000</f>
        <v>30.406958923642097</v>
      </c>
    </row>
    <row r="449" spans="1:20" x14ac:dyDescent="0.3">
      <c r="A449" t="s">
        <v>54</v>
      </c>
      <c r="B449" t="s">
        <v>40</v>
      </c>
      <c r="C449">
        <v>1</v>
      </c>
      <c r="D449">
        <v>0.5</v>
      </c>
      <c r="E449" t="s">
        <v>23</v>
      </c>
      <c r="F449">
        <v>0.43569999999999998</v>
      </c>
      <c r="G449" s="1">
        <v>45908</v>
      </c>
      <c r="H449">
        <v>2.4904999999999999</v>
      </c>
      <c r="I449" s="1">
        <v>45936</v>
      </c>
      <c r="J449">
        <v>63.617251160000002</v>
      </c>
      <c r="K449">
        <v>5.31</v>
      </c>
      <c r="L449">
        <v>1</v>
      </c>
      <c r="M449">
        <v>7.3779500000000002</v>
      </c>
      <c r="N449">
        <f>L449*F449</f>
        <v>0.43569999999999998</v>
      </c>
      <c r="O449">
        <f>L449*J449</f>
        <v>63.617251160000002</v>
      </c>
      <c r="P449">
        <f>M449-N449-H449</f>
        <v>4.4517500000000005</v>
      </c>
      <c r="Q449">
        <f>P449/O449</f>
        <v>6.9977088271287707E-2</v>
      </c>
      <c r="R449">
        <f>I449-G449</f>
        <v>28</v>
      </c>
      <c r="S449">
        <f>Q449/R449</f>
        <v>2.4991817239745609E-3</v>
      </c>
      <c r="T449">
        <f>S449*10000</f>
        <v>24.991817239745608</v>
      </c>
    </row>
    <row r="450" spans="1:20" x14ac:dyDescent="0.3">
      <c r="A450" t="s">
        <v>54</v>
      </c>
      <c r="B450" t="s">
        <v>40</v>
      </c>
      <c r="C450">
        <v>1</v>
      </c>
      <c r="D450">
        <v>0.5</v>
      </c>
      <c r="E450" t="s">
        <v>24</v>
      </c>
      <c r="F450">
        <v>0.45856000000000002</v>
      </c>
      <c r="G450" s="1">
        <v>45908</v>
      </c>
      <c r="H450">
        <v>2.48245</v>
      </c>
      <c r="I450" s="1">
        <v>45936</v>
      </c>
      <c r="J450">
        <v>63.617251160000002</v>
      </c>
      <c r="K450">
        <v>5.31</v>
      </c>
      <c r="L450">
        <v>1</v>
      </c>
      <c r="M450">
        <v>7.58765</v>
      </c>
      <c r="N450">
        <f>L450*F450</f>
        <v>0.45856000000000002</v>
      </c>
      <c r="O450">
        <f>L450*J450</f>
        <v>63.617251160000002</v>
      </c>
      <c r="P450">
        <f>M450-N450-H450</f>
        <v>4.6466399999999997</v>
      </c>
      <c r="Q450">
        <f>P450/O450</f>
        <v>7.304056549556831E-2</v>
      </c>
      <c r="R450">
        <f>I450-G450</f>
        <v>28</v>
      </c>
      <c r="S450">
        <f>Q450/R450</f>
        <v>2.6085916248417252E-3</v>
      </c>
      <c r="T450">
        <f>S450*10000</f>
        <v>26.085916248417252</v>
      </c>
    </row>
    <row r="451" spans="1:20" x14ac:dyDescent="0.3">
      <c r="A451" t="s">
        <v>54</v>
      </c>
      <c r="B451" t="s">
        <v>40</v>
      </c>
      <c r="C451">
        <v>1</v>
      </c>
      <c r="D451">
        <v>2</v>
      </c>
      <c r="E451" t="s">
        <v>47</v>
      </c>
      <c r="F451">
        <v>0.43729000000000001</v>
      </c>
      <c r="G451" s="1">
        <v>45908</v>
      </c>
      <c r="H451">
        <v>2.4649999999999999</v>
      </c>
      <c r="I451" s="1">
        <v>45936</v>
      </c>
      <c r="J451">
        <v>63.617251160000002</v>
      </c>
      <c r="K451">
        <v>5.31</v>
      </c>
      <c r="L451">
        <v>0.75</v>
      </c>
      <c r="M451">
        <v>6.8226399999999998</v>
      </c>
      <c r="N451">
        <f>L451*F451</f>
        <v>0.32796750000000002</v>
      </c>
      <c r="O451">
        <f>L451*J451</f>
        <v>47.712938370000003</v>
      </c>
      <c r="P451">
        <f>M451-N451-H451</f>
        <v>4.0296725000000002</v>
      </c>
      <c r="Q451">
        <f>P451/O451</f>
        <v>8.4456598936562197E-2</v>
      </c>
      <c r="R451">
        <f>I451-G451</f>
        <v>28</v>
      </c>
      <c r="S451">
        <f>Q451/R451</f>
        <v>3.0163071048772212E-3</v>
      </c>
      <c r="T451">
        <f>S451*10000</f>
        <v>30.163071048772213</v>
      </c>
    </row>
    <row r="452" spans="1:20" x14ac:dyDescent="0.3">
      <c r="A452" t="s">
        <v>54</v>
      </c>
      <c r="B452" t="s">
        <v>40</v>
      </c>
      <c r="C452">
        <v>1</v>
      </c>
      <c r="D452">
        <v>2</v>
      </c>
      <c r="E452" t="s">
        <v>23</v>
      </c>
      <c r="F452">
        <v>0.45965</v>
      </c>
      <c r="G452" s="1">
        <v>45908</v>
      </c>
      <c r="H452">
        <v>2.4313799999999999</v>
      </c>
      <c r="I452" s="1">
        <v>45936</v>
      </c>
      <c r="J452">
        <v>63.617251160000002</v>
      </c>
      <c r="K452">
        <v>5.31</v>
      </c>
      <c r="L452">
        <v>1</v>
      </c>
      <c r="M452">
        <v>9.0316299999999998</v>
      </c>
      <c r="N452">
        <f>L452*F452</f>
        <v>0.45965</v>
      </c>
      <c r="O452">
        <f>L452*J452</f>
        <v>63.617251160000002</v>
      </c>
      <c r="P452">
        <f>M452-N452-H452</f>
        <v>6.1406000000000001</v>
      </c>
      <c r="Q452">
        <f>P452/O452</f>
        <v>9.6524132810393501E-2</v>
      </c>
      <c r="R452">
        <f>I452-G452</f>
        <v>28</v>
      </c>
      <c r="S452">
        <f>Q452/R452</f>
        <v>3.4472904575140535E-3</v>
      </c>
      <c r="T452">
        <f>S452*10000</f>
        <v>34.472904575140532</v>
      </c>
    </row>
    <row r="453" spans="1:20" x14ac:dyDescent="0.3">
      <c r="A453" t="s">
        <v>54</v>
      </c>
      <c r="B453" t="s">
        <v>40</v>
      </c>
      <c r="C453">
        <v>1</v>
      </c>
      <c r="D453">
        <v>2</v>
      </c>
      <c r="E453" t="s">
        <v>24</v>
      </c>
      <c r="F453">
        <v>0.43591000000000002</v>
      </c>
      <c r="G453" s="1">
        <v>45908</v>
      </c>
      <c r="H453">
        <v>2.45736</v>
      </c>
      <c r="I453" s="1">
        <v>45936</v>
      </c>
      <c r="J453">
        <v>63.617251160000002</v>
      </c>
      <c r="K453">
        <v>5.31</v>
      </c>
      <c r="L453">
        <v>1</v>
      </c>
      <c r="M453">
        <v>3.7397499999999999</v>
      </c>
      <c r="N453">
        <f>L453*F453</f>
        <v>0.43591000000000002</v>
      </c>
      <c r="O453">
        <f>L453*J453</f>
        <v>63.617251160000002</v>
      </c>
      <c r="P453">
        <f>M453-N453-H453</f>
        <v>0.84648000000000012</v>
      </c>
      <c r="Q453">
        <f>P453/O453</f>
        <v>1.3305824828411214E-2</v>
      </c>
      <c r="R453">
        <f>I453-G453</f>
        <v>28</v>
      </c>
      <c r="S453">
        <f>Q453/R453</f>
        <v>4.7520802958611478E-4</v>
      </c>
      <c r="T453">
        <f>S453*10000</f>
        <v>4.7520802958611474</v>
      </c>
    </row>
    <row r="454" spans="1:20" x14ac:dyDescent="0.3">
      <c r="A454" t="s">
        <v>54</v>
      </c>
      <c r="B454" t="s">
        <v>40</v>
      </c>
      <c r="C454">
        <v>1</v>
      </c>
      <c r="D454">
        <v>6</v>
      </c>
      <c r="E454" t="s">
        <v>47</v>
      </c>
      <c r="F454">
        <v>0.46034999999999998</v>
      </c>
      <c r="G454" s="1">
        <v>45908</v>
      </c>
      <c r="H454">
        <v>2.4439099999999998</v>
      </c>
      <c r="I454" s="1">
        <v>45936</v>
      </c>
      <c r="J454">
        <v>63.617251160000002</v>
      </c>
      <c r="K454">
        <v>5.31</v>
      </c>
      <c r="L454">
        <v>0.75</v>
      </c>
      <c r="M454">
        <v>3.7246000000000001</v>
      </c>
      <c r="N454">
        <f>L454*F454</f>
        <v>0.34526249999999997</v>
      </c>
      <c r="O454">
        <f>L454*J454</f>
        <v>47.712938370000003</v>
      </c>
      <c r="P454">
        <f>M454-N454-H454</f>
        <v>0.9354275000000003</v>
      </c>
      <c r="Q454">
        <f>P454/O454</f>
        <v>1.9605321574329194E-2</v>
      </c>
      <c r="R454">
        <f>I454-G454</f>
        <v>28</v>
      </c>
      <c r="S454">
        <f>Q454/R454</f>
        <v>7.0019005622604265E-4</v>
      </c>
      <c r="T454">
        <f>S454*10000</f>
        <v>7.0019005622604267</v>
      </c>
    </row>
    <row r="455" spans="1:20" x14ac:dyDescent="0.3">
      <c r="A455" t="s">
        <v>54</v>
      </c>
      <c r="B455" t="s">
        <v>40</v>
      </c>
      <c r="C455">
        <v>1</v>
      </c>
      <c r="D455">
        <v>6</v>
      </c>
      <c r="E455" t="s">
        <v>23</v>
      </c>
      <c r="F455">
        <v>0.43824999999999997</v>
      </c>
      <c r="G455" s="1">
        <v>45908</v>
      </c>
      <c r="H455">
        <v>2.4502100000000002</v>
      </c>
      <c r="I455" s="1">
        <v>45936</v>
      </c>
      <c r="J455">
        <v>63.617251160000002</v>
      </c>
      <c r="K455">
        <v>5.31</v>
      </c>
      <c r="L455">
        <v>1</v>
      </c>
      <c r="M455">
        <v>3.5650300000000001</v>
      </c>
      <c r="N455">
        <f>L455*F455</f>
        <v>0.43824999999999997</v>
      </c>
      <c r="O455">
        <f>L455*J455</f>
        <v>63.617251160000002</v>
      </c>
      <c r="P455">
        <f>M455-N455-H455</f>
        <v>0.67656999999999989</v>
      </c>
      <c r="Q455">
        <f>P455/O455</f>
        <v>1.0635008392588333E-2</v>
      </c>
      <c r="R455">
        <f>I455-G455</f>
        <v>28</v>
      </c>
      <c r="S455">
        <f>Q455/R455</f>
        <v>3.798217283067262E-4</v>
      </c>
      <c r="T455">
        <f>S455*10000</f>
        <v>3.7982172830672618</v>
      </c>
    </row>
    <row r="456" spans="1:20" x14ac:dyDescent="0.3">
      <c r="A456" t="s">
        <v>54</v>
      </c>
      <c r="B456" t="s">
        <v>40</v>
      </c>
      <c r="C456">
        <v>1</v>
      </c>
      <c r="D456">
        <v>6</v>
      </c>
      <c r="E456" t="s">
        <v>24</v>
      </c>
      <c r="F456">
        <v>0.43597999999999998</v>
      </c>
      <c r="G456" s="1">
        <v>45908</v>
      </c>
      <c r="H456">
        <v>2.4658099999999998</v>
      </c>
      <c r="I456" s="1">
        <v>45936</v>
      </c>
      <c r="J456">
        <v>63.617251160000002</v>
      </c>
      <c r="K456">
        <v>5.31</v>
      </c>
      <c r="L456">
        <v>1</v>
      </c>
      <c r="M456">
        <v>3.0964299999999998</v>
      </c>
      <c r="N456">
        <f>L456*F456</f>
        <v>0.43597999999999998</v>
      </c>
      <c r="O456">
        <f>L456*J456</f>
        <v>63.617251160000002</v>
      </c>
      <c r="P456">
        <f>M456-N456-H456</f>
        <v>0.19464000000000015</v>
      </c>
      <c r="Q456">
        <f>P456/O456</f>
        <v>3.0595474725946983E-3</v>
      </c>
      <c r="R456">
        <f>I456-G456</f>
        <v>28</v>
      </c>
      <c r="S456">
        <f>Q456/R456</f>
        <v>1.0926955259266779E-4</v>
      </c>
      <c r="T456">
        <f>S456*10000</f>
        <v>1.092695525926678</v>
      </c>
    </row>
    <row r="457" spans="1:20" x14ac:dyDescent="0.3">
      <c r="A457" t="s">
        <v>54</v>
      </c>
      <c r="B457" t="s">
        <v>40</v>
      </c>
      <c r="C457">
        <v>1</v>
      </c>
      <c r="D457">
        <v>12</v>
      </c>
      <c r="E457" t="s">
        <v>47</v>
      </c>
      <c r="F457">
        <v>0.46009</v>
      </c>
      <c r="G457" s="1">
        <v>45908</v>
      </c>
      <c r="H457">
        <v>2.4605100000000002</v>
      </c>
      <c r="I457" s="1">
        <v>45936</v>
      </c>
      <c r="J457">
        <v>63.617251160000002</v>
      </c>
      <c r="K457">
        <v>5.31</v>
      </c>
      <c r="L457">
        <v>1</v>
      </c>
      <c r="M457">
        <v>3.1860900000000001</v>
      </c>
      <c r="N457">
        <f>L457*F457</f>
        <v>0.46009</v>
      </c>
      <c r="O457">
        <f>L457*J457</f>
        <v>63.617251160000002</v>
      </c>
      <c r="P457">
        <f>M457-N457-H457</f>
        <v>0.26548999999999978</v>
      </c>
      <c r="Q457">
        <f>P457/O457</f>
        <v>4.1732391003861755E-3</v>
      </c>
      <c r="R457">
        <f>I457-G457</f>
        <v>28</v>
      </c>
      <c r="S457">
        <f>Q457/R457</f>
        <v>1.4904425358522056E-4</v>
      </c>
      <c r="T457">
        <f>S457*10000</f>
        <v>1.4904425358522055</v>
      </c>
    </row>
    <row r="458" spans="1:20" x14ac:dyDescent="0.3">
      <c r="A458" t="s">
        <v>54</v>
      </c>
      <c r="B458" t="s">
        <v>40</v>
      </c>
      <c r="C458">
        <v>1</v>
      </c>
      <c r="D458">
        <v>12</v>
      </c>
      <c r="E458" t="s">
        <v>23</v>
      </c>
      <c r="F458">
        <v>0.45949000000000001</v>
      </c>
      <c r="G458" s="1">
        <v>45908</v>
      </c>
      <c r="H458">
        <v>2.4682200000000001</v>
      </c>
      <c r="I458" s="1">
        <v>45936</v>
      </c>
      <c r="J458">
        <v>63.617251160000002</v>
      </c>
      <c r="K458">
        <v>5.31</v>
      </c>
      <c r="L458">
        <v>1</v>
      </c>
      <c r="M458">
        <v>4.2985800000000003</v>
      </c>
      <c r="N458">
        <f>L458*F458</f>
        <v>0.45949000000000001</v>
      </c>
      <c r="O458">
        <f>L458*J458</f>
        <v>63.617251160000002</v>
      </c>
      <c r="P458">
        <f>M458-N458-H458</f>
        <v>1.37087</v>
      </c>
      <c r="Q458">
        <f>P458/O458</f>
        <v>2.1548714774742555E-2</v>
      </c>
      <c r="R458">
        <f>I458-G458</f>
        <v>28</v>
      </c>
      <c r="S458">
        <f>Q458/R458</f>
        <v>7.695969562408055E-4</v>
      </c>
      <c r="T458">
        <f>S458*10000</f>
        <v>7.6959695624080551</v>
      </c>
    </row>
    <row r="459" spans="1:20" x14ac:dyDescent="0.3">
      <c r="A459" t="s">
        <v>54</v>
      </c>
      <c r="B459" t="s">
        <v>40</v>
      </c>
      <c r="C459">
        <v>1</v>
      </c>
      <c r="D459">
        <v>12</v>
      </c>
      <c r="E459" t="s">
        <v>24</v>
      </c>
      <c r="F459">
        <v>0.43479000000000001</v>
      </c>
      <c r="G459" s="1">
        <v>45908</v>
      </c>
      <c r="H459">
        <v>2.4852500000000002</v>
      </c>
      <c r="I459" s="1">
        <v>45936</v>
      </c>
      <c r="J459">
        <v>63.617251160000002</v>
      </c>
      <c r="K459">
        <v>5.31</v>
      </c>
      <c r="L459">
        <v>1</v>
      </c>
      <c r="M459">
        <v>4.3055099999999999</v>
      </c>
      <c r="N459">
        <f>L459*F459</f>
        <v>0.43479000000000001</v>
      </c>
      <c r="O459">
        <f>L459*J459</f>
        <v>63.617251160000002</v>
      </c>
      <c r="P459">
        <f>M459-N459-H459</f>
        <v>1.3854699999999998</v>
      </c>
      <c r="Q459">
        <f>P459/O459</f>
        <v>2.1778212273200641E-2</v>
      </c>
      <c r="R459">
        <f>I459-G459</f>
        <v>28</v>
      </c>
      <c r="S459">
        <f>Q459/R459</f>
        <v>7.7779329547145149E-4</v>
      </c>
      <c r="T459">
        <f>S459*10000</f>
        <v>7.7779329547145153</v>
      </c>
    </row>
    <row r="460" spans="1:20" x14ac:dyDescent="0.3">
      <c r="A460" t="s">
        <v>54</v>
      </c>
      <c r="B460" t="s">
        <v>40</v>
      </c>
      <c r="C460">
        <v>1</v>
      </c>
      <c r="D460">
        <v>24</v>
      </c>
      <c r="E460" t="s">
        <v>22</v>
      </c>
      <c r="F460">
        <v>0.43619000000000002</v>
      </c>
      <c r="G460" s="1">
        <v>45908</v>
      </c>
      <c r="H460">
        <v>2.4660099999999998</v>
      </c>
      <c r="I460" s="1">
        <v>45936</v>
      </c>
      <c r="J460">
        <v>63.617251160000002</v>
      </c>
      <c r="K460">
        <v>5.31</v>
      </c>
      <c r="L460">
        <v>1</v>
      </c>
      <c r="M460">
        <v>3.5366300000000002</v>
      </c>
      <c r="N460">
        <f>L460*F460</f>
        <v>0.43619000000000002</v>
      </c>
      <c r="O460">
        <f>L460*J460</f>
        <v>63.617251160000002</v>
      </c>
      <c r="P460">
        <f>M460-N460-H460</f>
        <v>0.63443000000000049</v>
      </c>
      <c r="Q460">
        <f>P460/O460</f>
        <v>9.9726094484086231E-3</v>
      </c>
      <c r="R460">
        <f>I460-G460</f>
        <v>28</v>
      </c>
      <c r="S460">
        <f>Q460/R460</f>
        <v>3.5616462315745084E-4</v>
      </c>
      <c r="T460">
        <f>S460*10000</f>
        <v>3.5616462315745085</v>
      </c>
    </row>
    <row r="461" spans="1:20" x14ac:dyDescent="0.3">
      <c r="A461" t="s">
        <v>54</v>
      </c>
      <c r="B461" t="s">
        <v>40</v>
      </c>
      <c r="C461">
        <v>1</v>
      </c>
      <c r="D461">
        <v>24</v>
      </c>
      <c r="E461" t="s">
        <v>23</v>
      </c>
      <c r="F461">
        <v>0.45974999999999999</v>
      </c>
      <c r="G461" s="1">
        <v>45908</v>
      </c>
      <c r="H461">
        <v>2.4889199999999998</v>
      </c>
      <c r="I461" s="1">
        <v>45936</v>
      </c>
      <c r="J461">
        <v>63.617251160000002</v>
      </c>
      <c r="K461">
        <v>5.31</v>
      </c>
      <c r="L461">
        <v>1</v>
      </c>
      <c r="M461">
        <v>3.8040600000000002</v>
      </c>
      <c r="N461">
        <f>L461*F461</f>
        <v>0.45974999999999999</v>
      </c>
      <c r="O461">
        <f>L461*J461</f>
        <v>63.617251160000002</v>
      </c>
      <c r="P461">
        <f>M461-N461-H461</f>
        <v>0.85539000000000032</v>
      </c>
      <c r="Q461">
        <f>P461/O461</f>
        <v>1.3445881178497626E-2</v>
      </c>
      <c r="R461">
        <f>I461-G461</f>
        <v>28</v>
      </c>
      <c r="S461">
        <f>Q461/R461</f>
        <v>4.8021004208920095E-4</v>
      </c>
      <c r="T461">
        <f>S461*10000</f>
        <v>4.8021004208920095</v>
      </c>
    </row>
    <row r="462" spans="1:20" x14ac:dyDescent="0.3">
      <c r="A462" t="s">
        <v>54</v>
      </c>
      <c r="B462" t="s">
        <v>40</v>
      </c>
      <c r="C462">
        <v>1</v>
      </c>
      <c r="D462">
        <v>24</v>
      </c>
      <c r="E462" t="s">
        <v>24</v>
      </c>
      <c r="F462">
        <v>0.43651000000000001</v>
      </c>
      <c r="G462" s="1">
        <v>45908</v>
      </c>
      <c r="H462">
        <v>2.44468</v>
      </c>
      <c r="I462" s="1">
        <v>45936</v>
      </c>
      <c r="J462">
        <v>63.617251160000002</v>
      </c>
      <c r="K462">
        <v>5.31</v>
      </c>
      <c r="L462">
        <v>1</v>
      </c>
      <c r="M462">
        <v>3.6337799999999998</v>
      </c>
      <c r="N462">
        <f>L462*F462</f>
        <v>0.43651000000000001</v>
      </c>
      <c r="O462">
        <f>L462*J462</f>
        <v>63.617251160000002</v>
      </c>
      <c r="P462">
        <f>M462-N462-H462</f>
        <v>0.75258999999999965</v>
      </c>
      <c r="Q462">
        <f>P462/O462</f>
        <v>1.1829967285244766E-2</v>
      </c>
      <c r="R462">
        <f>I462-G462</f>
        <v>28</v>
      </c>
      <c r="S462">
        <f>Q462/R462</f>
        <v>4.2249883161588449E-4</v>
      </c>
      <c r="T462">
        <f>S462*10000</f>
        <v>4.2249883161588446</v>
      </c>
    </row>
    <row r="463" spans="1:20" x14ac:dyDescent="0.3">
      <c r="A463" t="s">
        <v>54</v>
      </c>
      <c r="B463" t="s">
        <v>40</v>
      </c>
      <c r="C463">
        <v>1</v>
      </c>
      <c r="D463">
        <v>48</v>
      </c>
      <c r="E463" t="s">
        <v>47</v>
      </c>
      <c r="F463">
        <v>0.43687999999999999</v>
      </c>
      <c r="G463" s="1">
        <v>45908</v>
      </c>
      <c r="H463">
        <v>2.40638</v>
      </c>
      <c r="I463" s="1">
        <v>45936</v>
      </c>
      <c r="J463">
        <v>63.617251160000002</v>
      </c>
      <c r="K463">
        <v>5.31</v>
      </c>
      <c r="L463">
        <v>1</v>
      </c>
      <c r="M463">
        <v>2.9544000000000001</v>
      </c>
      <c r="N463">
        <f>L463*F463</f>
        <v>0.43687999999999999</v>
      </c>
      <c r="O463">
        <f>L463*J463</f>
        <v>63.617251160000002</v>
      </c>
      <c r="P463">
        <f>M463-N463-H463</f>
        <v>0.11114000000000024</v>
      </c>
      <c r="Q463">
        <f>P463/O463</f>
        <v>1.7470104094953517E-3</v>
      </c>
      <c r="R463">
        <f>I463-G463</f>
        <v>28</v>
      </c>
      <c r="S463">
        <f>Q463/R463</f>
        <v>6.2393228910548269E-5</v>
      </c>
      <c r="T463">
        <f>S463*10000</f>
        <v>0.62393228910548271</v>
      </c>
    </row>
    <row r="464" spans="1:20" x14ac:dyDescent="0.3">
      <c r="A464" t="s">
        <v>54</v>
      </c>
      <c r="B464" t="s">
        <v>40</v>
      </c>
      <c r="C464">
        <v>1</v>
      </c>
      <c r="D464">
        <v>48</v>
      </c>
      <c r="E464" t="s">
        <v>23</v>
      </c>
      <c r="F464">
        <v>0.45906999999999998</v>
      </c>
      <c r="G464" s="1">
        <v>45908</v>
      </c>
      <c r="H464">
        <v>2.4207900000000002</v>
      </c>
      <c r="I464" s="1">
        <v>45936</v>
      </c>
      <c r="J464">
        <v>63.617251160000002</v>
      </c>
      <c r="K464">
        <v>5.31</v>
      </c>
      <c r="L464">
        <v>1</v>
      </c>
      <c r="M464">
        <v>3.25874</v>
      </c>
      <c r="N464">
        <f>L464*F464</f>
        <v>0.45906999999999998</v>
      </c>
      <c r="O464">
        <f>L464*J464</f>
        <v>63.617251160000002</v>
      </c>
      <c r="P464">
        <f>M464-N464-H464</f>
        <v>0.37887999999999966</v>
      </c>
      <c r="Q464">
        <f>P464/O464</f>
        <v>5.9556172750548572E-3</v>
      </c>
      <c r="R464">
        <f>I464-G464</f>
        <v>28</v>
      </c>
      <c r="S464">
        <f>Q464/R464</f>
        <v>2.127006169662449E-4</v>
      </c>
      <c r="T464">
        <f>S464*10000</f>
        <v>2.1270061696624492</v>
      </c>
    </row>
    <row r="465" spans="1:20" x14ac:dyDescent="0.3">
      <c r="A465" t="s">
        <v>54</v>
      </c>
      <c r="B465" t="s">
        <v>40</v>
      </c>
      <c r="C465">
        <v>1</v>
      </c>
      <c r="D465">
        <v>48</v>
      </c>
      <c r="E465" t="s">
        <v>24</v>
      </c>
      <c r="F465">
        <v>0.43625000000000003</v>
      </c>
      <c r="G465" s="1">
        <v>45908</v>
      </c>
      <c r="H465">
        <v>2.4408599999999998</v>
      </c>
      <c r="I465" s="1">
        <v>45936</v>
      </c>
      <c r="J465">
        <v>63.617251160000002</v>
      </c>
      <c r="K465">
        <v>5.31</v>
      </c>
      <c r="L465">
        <v>1</v>
      </c>
      <c r="M465">
        <v>3.1399499999999998</v>
      </c>
      <c r="N465">
        <f>L465*F465</f>
        <v>0.43625000000000003</v>
      </c>
      <c r="O465">
        <f>L465*J465</f>
        <v>63.617251160000002</v>
      </c>
      <c r="P465">
        <f>M465-N465-H465</f>
        <v>0.26283999999999974</v>
      </c>
      <c r="Q465">
        <f>P465/O465</f>
        <v>4.1315837325153568E-3</v>
      </c>
      <c r="R465">
        <f>I465-G465</f>
        <v>28</v>
      </c>
      <c r="S465">
        <f>Q465/R465</f>
        <v>1.4755656187554847E-4</v>
      </c>
      <c r="T465">
        <f>S465*10000</f>
        <v>1.4755656187554846</v>
      </c>
    </row>
    <row r="466" spans="1:20" x14ac:dyDescent="0.3">
      <c r="A466" t="s">
        <v>54</v>
      </c>
      <c r="B466" t="s">
        <v>40</v>
      </c>
      <c r="C466">
        <v>2</v>
      </c>
      <c r="D466">
        <v>0.5</v>
      </c>
      <c r="E466" t="s">
        <v>47</v>
      </c>
      <c r="F466">
        <v>0.45652999999999999</v>
      </c>
      <c r="G466" s="1">
        <v>45908</v>
      </c>
      <c r="H466">
        <v>2.4346999999999999</v>
      </c>
      <c r="I466" s="1">
        <v>45936</v>
      </c>
      <c r="J466">
        <v>63.617251160000002</v>
      </c>
      <c r="K466">
        <v>5.31</v>
      </c>
      <c r="L466">
        <v>1</v>
      </c>
      <c r="M466">
        <v>5.11585</v>
      </c>
      <c r="N466">
        <f>L466*F466</f>
        <v>0.45652999999999999</v>
      </c>
      <c r="O466">
        <f>L466*J466</f>
        <v>63.617251160000002</v>
      </c>
      <c r="P466">
        <f>M466-N466-H466</f>
        <v>2.2246200000000003</v>
      </c>
      <c r="Q466">
        <f>P466/O466</f>
        <v>3.4968816782180508E-2</v>
      </c>
      <c r="R466">
        <f>I466-G466</f>
        <v>28</v>
      </c>
      <c r="S466">
        <f>Q466/R466</f>
        <v>1.2488863136493038E-3</v>
      </c>
      <c r="T466">
        <f>S466*10000</f>
        <v>12.488863136493038</v>
      </c>
    </row>
    <row r="467" spans="1:20" x14ac:dyDescent="0.3">
      <c r="A467" t="s">
        <v>54</v>
      </c>
      <c r="B467" t="s">
        <v>40</v>
      </c>
      <c r="C467">
        <v>2</v>
      </c>
      <c r="D467">
        <v>0.5</v>
      </c>
      <c r="E467" t="s">
        <v>23</v>
      </c>
      <c r="F467">
        <v>0.43720999999999999</v>
      </c>
      <c r="G467" s="1">
        <v>45908</v>
      </c>
      <c r="H467">
        <v>2.4411</v>
      </c>
      <c r="I467" s="1">
        <v>45936</v>
      </c>
      <c r="J467">
        <v>63.617251160000002</v>
      </c>
      <c r="K467">
        <v>5.31</v>
      </c>
      <c r="L467">
        <v>1</v>
      </c>
      <c r="M467">
        <v>7.2110300000000001</v>
      </c>
      <c r="N467">
        <f>L467*F467</f>
        <v>0.43720999999999999</v>
      </c>
      <c r="O467">
        <f>L467*J467</f>
        <v>63.617251160000002</v>
      </c>
      <c r="P467">
        <f>M467-N467-H467</f>
        <v>4.3327200000000001</v>
      </c>
      <c r="Q467">
        <f>P467/O467</f>
        <v>6.8106054898584525E-2</v>
      </c>
      <c r="R467">
        <f>I467-G467</f>
        <v>28</v>
      </c>
      <c r="S467">
        <f>Q467/R467</f>
        <v>2.4323591035208757E-3</v>
      </c>
      <c r="T467">
        <f>S467*10000</f>
        <v>24.323591035208757</v>
      </c>
    </row>
    <row r="468" spans="1:20" x14ac:dyDescent="0.3">
      <c r="A468" t="s">
        <v>54</v>
      </c>
      <c r="B468" t="s">
        <v>40</v>
      </c>
      <c r="C468">
        <v>2</v>
      </c>
      <c r="D468">
        <v>0.5</v>
      </c>
      <c r="E468" t="s">
        <v>24</v>
      </c>
      <c r="F468">
        <v>0.45818999999999999</v>
      </c>
      <c r="G468" s="1">
        <v>45908</v>
      </c>
      <c r="H468">
        <v>2.44157</v>
      </c>
      <c r="I468" s="1">
        <v>45936</v>
      </c>
      <c r="J468">
        <v>63.617251160000002</v>
      </c>
      <c r="K468">
        <v>5.31</v>
      </c>
      <c r="L468">
        <v>1</v>
      </c>
      <c r="M468">
        <v>14.876519999999999</v>
      </c>
      <c r="N468">
        <f>L468*F468</f>
        <v>0.45818999999999999</v>
      </c>
      <c r="O468">
        <f>L468*J468</f>
        <v>63.617251160000002</v>
      </c>
      <c r="P468">
        <f>M468-N468-H468</f>
        <v>11.976759999999999</v>
      </c>
      <c r="Q468">
        <f>P468/O468</f>
        <v>0.18826277120773349</v>
      </c>
      <c r="R468">
        <f>I468-G468</f>
        <v>28</v>
      </c>
      <c r="S468">
        <f>Q468/R468</f>
        <v>6.723670400276196E-3</v>
      </c>
      <c r="T468">
        <f>S468*10000</f>
        <v>67.236704002761954</v>
      </c>
    </row>
    <row r="469" spans="1:20" x14ac:dyDescent="0.3">
      <c r="A469" t="s">
        <v>54</v>
      </c>
      <c r="B469" t="s">
        <v>40</v>
      </c>
      <c r="C469">
        <v>2</v>
      </c>
      <c r="D469">
        <v>2</v>
      </c>
      <c r="E469" t="s">
        <v>47</v>
      </c>
      <c r="F469">
        <v>0.43648999999999999</v>
      </c>
      <c r="G469" s="1">
        <v>45908</v>
      </c>
      <c r="H469">
        <v>2.4470700000000001</v>
      </c>
      <c r="I469" s="1">
        <v>45936</v>
      </c>
      <c r="J469">
        <v>63.617251160000002</v>
      </c>
      <c r="K469">
        <v>5.31</v>
      </c>
      <c r="L469">
        <v>1</v>
      </c>
      <c r="M469">
        <v>5.90937</v>
      </c>
      <c r="N469">
        <f>L469*F469</f>
        <v>0.43648999999999999</v>
      </c>
      <c r="O469">
        <f>L469*J469</f>
        <v>63.617251160000002</v>
      </c>
      <c r="P469">
        <f>M469-N469-H469</f>
        <v>3.0258099999999999</v>
      </c>
      <c r="Q469">
        <f>P469/O469</f>
        <v>4.7562727795169325E-2</v>
      </c>
      <c r="R469">
        <f>I469-G469</f>
        <v>28</v>
      </c>
      <c r="S469">
        <f>Q469/R469</f>
        <v>1.6986688498274759E-3</v>
      </c>
      <c r="T469">
        <f>S469*10000</f>
        <v>16.986688498274759</v>
      </c>
    </row>
    <row r="470" spans="1:20" x14ac:dyDescent="0.3">
      <c r="A470" t="s">
        <v>54</v>
      </c>
      <c r="B470" t="s">
        <v>40</v>
      </c>
      <c r="C470">
        <v>2</v>
      </c>
      <c r="D470">
        <v>2</v>
      </c>
      <c r="E470" t="s">
        <v>23</v>
      </c>
      <c r="F470">
        <v>0.43575000000000003</v>
      </c>
      <c r="G470" s="1">
        <v>45908</v>
      </c>
      <c r="H470">
        <v>2.4607600000000001</v>
      </c>
      <c r="I470" s="1">
        <v>45936</v>
      </c>
      <c r="J470">
        <v>63.617251160000002</v>
      </c>
      <c r="K470">
        <v>5.31</v>
      </c>
      <c r="L470">
        <v>1</v>
      </c>
      <c r="M470">
        <v>9.9659200000000006</v>
      </c>
      <c r="N470">
        <f>L470*F470</f>
        <v>0.43575000000000003</v>
      </c>
      <c r="O470">
        <f>L470*J470</f>
        <v>63.617251160000002</v>
      </c>
      <c r="P470">
        <f>M470-N470-H470</f>
        <v>7.0694099999999995</v>
      </c>
      <c r="Q470">
        <f>P470/O470</f>
        <v>0.11112410346401391</v>
      </c>
      <c r="R470">
        <f>I470-G470</f>
        <v>28</v>
      </c>
      <c r="S470">
        <f>Q470/R470</f>
        <v>3.96871798085764E-3</v>
      </c>
      <c r="T470">
        <f>S470*10000</f>
        <v>39.687179808576403</v>
      </c>
    </row>
    <row r="471" spans="1:20" x14ac:dyDescent="0.3">
      <c r="A471" t="s">
        <v>54</v>
      </c>
      <c r="B471" t="s">
        <v>40</v>
      </c>
      <c r="C471">
        <v>2</v>
      </c>
      <c r="D471">
        <v>2</v>
      </c>
      <c r="E471" t="s">
        <v>24</v>
      </c>
      <c r="F471">
        <v>0.45723999999999998</v>
      </c>
      <c r="G471" s="1">
        <v>45908</v>
      </c>
      <c r="H471">
        <v>2.4638399999999998</v>
      </c>
      <c r="I471" s="1">
        <v>45936</v>
      </c>
      <c r="J471">
        <v>63.617251160000002</v>
      </c>
      <c r="K471">
        <v>5.31</v>
      </c>
      <c r="L471">
        <v>1</v>
      </c>
      <c r="M471">
        <v>7.7533300000000001</v>
      </c>
      <c r="N471">
        <f>L471*F471</f>
        <v>0.45723999999999998</v>
      </c>
      <c r="O471">
        <f>L471*J471</f>
        <v>63.617251160000002</v>
      </c>
      <c r="P471">
        <f>M471-N471-H471</f>
        <v>4.8322500000000002</v>
      </c>
      <c r="Q471">
        <f>P471/O471</f>
        <v>7.5958170337267372E-2</v>
      </c>
      <c r="R471">
        <f>I471-G471</f>
        <v>28</v>
      </c>
      <c r="S471">
        <f>Q471/R471</f>
        <v>2.7127917977595489E-3</v>
      </c>
      <c r="T471">
        <f>S471*10000</f>
        <v>27.127917977595491</v>
      </c>
    </row>
    <row r="472" spans="1:20" x14ac:dyDescent="0.3">
      <c r="A472" t="s">
        <v>54</v>
      </c>
      <c r="B472" t="s">
        <v>40</v>
      </c>
      <c r="C472">
        <v>2</v>
      </c>
      <c r="D472">
        <v>6</v>
      </c>
      <c r="E472" t="s">
        <v>47</v>
      </c>
      <c r="F472">
        <v>0.43630999999999998</v>
      </c>
      <c r="G472" s="1">
        <v>45908</v>
      </c>
      <c r="H472">
        <v>2.4348100000000001</v>
      </c>
      <c r="I472" s="1">
        <v>45936</v>
      </c>
      <c r="J472">
        <v>63.617251160000002</v>
      </c>
      <c r="K472">
        <v>5.31</v>
      </c>
      <c r="L472">
        <v>0.75</v>
      </c>
      <c r="M472">
        <v>3.0214699999999999</v>
      </c>
      <c r="N472">
        <f>L472*F472</f>
        <v>0.32723249999999998</v>
      </c>
      <c r="O472">
        <f>L472*J472</f>
        <v>47.712938370000003</v>
      </c>
      <c r="P472">
        <f>M472-N472-H472</f>
        <v>0.2594274999999997</v>
      </c>
      <c r="Q472">
        <f>P472/O472</f>
        <v>5.4372568293366182E-3</v>
      </c>
      <c r="R472">
        <f>I472-G472</f>
        <v>28</v>
      </c>
      <c r="S472">
        <f>Q472/R472</f>
        <v>1.9418774390487923E-4</v>
      </c>
      <c r="T472">
        <f>S472*10000</f>
        <v>1.9418774390487923</v>
      </c>
    </row>
    <row r="473" spans="1:20" x14ac:dyDescent="0.3">
      <c r="A473" t="s">
        <v>54</v>
      </c>
      <c r="B473" t="s">
        <v>40</v>
      </c>
      <c r="C473">
        <v>2</v>
      </c>
      <c r="D473">
        <v>6</v>
      </c>
      <c r="E473" t="s">
        <v>23</v>
      </c>
      <c r="F473">
        <v>0.45621</v>
      </c>
      <c r="G473" s="1">
        <v>45908</v>
      </c>
      <c r="H473">
        <v>2.46061</v>
      </c>
      <c r="I473" s="1">
        <v>45936</v>
      </c>
      <c r="J473">
        <v>63.617251160000002</v>
      </c>
      <c r="K473">
        <v>5.31</v>
      </c>
      <c r="L473">
        <v>1</v>
      </c>
      <c r="M473">
        <v>4.3304799999999997</v>
      </c>
      <c r="N473">
        <f>L473*F473</f>
        <v>0.45621</v>
      </c>
      <c r="O473">
        <f>L473*J473</f>
        <v>63.617251160000002</v>
      </c>
      <c r="P473">
        <f>M473-N473-H473</f>
        <v>1.4136599999999997</v>
      </c>
      <c r="Q473">
        <f>P473/O473</f>
        <v>2.2221331073305678E-2</v>
      </c>
      <c r="R473">
        <f>I473-G473</f>
        <v>28</v>
      </c>
      <c r="S473">
        <f>Q473/R473</f>
        <v>7.9361896690377423E-4</v>
      </c>
      <c r="T473">
        <f>S473*10000</f>
        <v>7.9361896690377423</v>
      </c>
    </row>
    <row r="474" spans="1:20" x14ac:dyDescent="0.3">
      <c r="A474" t="s">
        <v>54</v>
      </c>
      <c r="B474" t="s">
        <v>40</v>
      </c>
      <c r="C474">
        <v>2</v>
      </c>
      <c r="D474">
        <v>6</v>
      </c>
      <c r="E474" t="s">
        <v>24</v>
      </c>
      <c r="F474">
        <v>0.43669999999999998</v>
      </c>
      <c r="G474" s="1">
        <v>45908</v>
      </c>
      <c r="H474">
        <v>2.4768400000000002</v>
      </c>
      <c r="I474" s="1">
        <v>45936</v>
      </c>
      <c r="J474">
        <v>63.617251160000002</v>
      </c>
      <c r="K474">
        <v>5.31</v>
      </c>
      <c r="L474">
        <v>1</v>
      </c>
      <c r="M474">
        <v>4.3020800000000001</v>
      </c>
      <c r="N474">
        <f>L474*F474</f>
        <v>0.43669999999999998</v>
      </c>
      <c r="O474">
        <f>L474*J474</f>
        <v>63.617251160000002</v>
      </c>
      <c r="P474">
        <f>M474-N474-H474</f>
        <v>1.3885399999999999</v>
      </c>
      <c r="Q474">
        <f>P474/O474</f>
        <v>2.1826469623903815E-2</v>
      </c>
      <c r="R474">
        <f>I474-G474</f>
        <v>28</v>
      </c>
      <c r="S474">
        <f>Q474/R474</f>
        <v>7.795167722822791E-4</v>
      </c>
      <c r="T474">
        <f>S474*10000</f>
        <v>7.7951677228227911</v>
      </c>
    </row>
    <row r="475" spans="1:20" x14ac:dyDescent="0.3">
      <c r="A475" t="s">
        <v>54</v>
      </c>
      <c r="B475" t="s">
        <v>40</v>
      </c>
      <c r="C475">
        <v>2</v>
      </c>
      <c r="D475">
        <v>12</v>
      </c>
      <c r="E475" t="s">
        <v>47</v>
      </c>
      <c r="F475">
        <v>0.45790999999999998</v>
      </c>
      <c r="G475" s="1">
        <v>45908</v>
      </c>
      <c r="H475">
        <v>2.4500000000000002</v>
      </c>
      <c r="I475" s="1">
        <v>45936</v>
      </c>
      <c r="J475">
        <v>63.617251160000002</v>
      </c>
      <c r="K475">
        <v>5.31</v>
      </c>
      <c r="L475">
        <v>1</v>
      </c>
      <c r="M475">
        <v>4.6510899999999999</v>
      </c>
      <c r="N475">
        <f>L475*F475</f>
        <v>0.45790999999999998</v>
      </c>
      <c r="O475">
        <f>L475*J475</f>
        <v>63.617251160000002</v>
      </c>
      <c r="P475">
        <f>M475-N475-H475</f>
        <v>1.7431799999999997</v>
      </c>
      <c r="Q475">
        <f>P475/O475</f>
        <v>2.7401058175491273E-2</v>
      </c>
      <c r="R475">
        <f>I475-G475</f>
        <v>28</v>
      </c>
      <c r="S475">
        <f>Q475/R475</f>
        <v>9.7860922055325976E-4</v>
      </c>
      <c r="T475">
        <f>S475*10000</f>
        <v>9.7860922055325972</v>
      </c>
    </row>
    <row r="476" spans="1:20" x14ac:dyDescent="0.3">
      <c r="A476" t="s">
        <v>54</v>
      </c>
      <c r="B476" t="s">
        <v>40</v>
      </c>
      <c r="C476">
        <v>2</v>
      </c>
      <c r="D476">
        <v>12</v>
      </c>
      <c r="E476" t="s">
        <v>23</v>
      </c>
      <c r="F476">
        <v>0.43702000000000002</v>
      </c>
      <c r="G476" s="1">
        <v>45908</v>
      </c>
      <c r="H476">
        <v>2.4540199999999999</v>
      </c>
      <c r="I476" s="1">
        <v>45936</v>
      </c>
      <c r="J476">
        <v>63.617251160000002</v>
      </c>
      <c r="K476">
        <v>5.31</v>
      </c>
      <c r="L476">
        <v>1</v>
      </c>
      <c r="M476">
        <v>4.6985000000000001</v>
      </c>
      <c r="N476">
        <f>L476*F476</f>
        <v>0.43702000000000002</v>
      </c>
      <c r="O476">
        <f>L476*J476</f>
        <v>63.617251160000002</v>
      </c>
      <c r="P476">
        <f>M476-N476-H476</f>
        <v>1.8074599999999998</v>
      </c>
      <c r="Q476">
        <f>P476/O476</f>
        <v>2.8411475928976616E-2</v>
      </c>
      <c r="R476">
        <f>I476-G476</f>
        <v>28</v>
      </c>
      <c r="S476">
        <f>Q476/R476</f>
        <v>1.014695568892022E-3</v>
      </c>
      <c r="T476">
        <f>S476*10000</f>
        <v>10.146955688920219</v>
      </c>
    </row>
    <row r="477" spans="1:20" x14ac:dyDescent="0.3">
      <c r="A477" t="s">
        <v>54</v>
      </c>
      <c r="B477" t="s">
        <v>40</v>
      </c>
      <c r="C477">
        <v>2</v>
      </c>
      <c r="D477">
        <v>12</v>
      </c>
      <c r="E477" t="s">
        <v>24</v>
      </c>
      <c r="F477">
        <v>0.43669000000000002</v>
      </c>
      <c r="G477" s="1">
        <v>45908</v>
      </c>
      <c r="H477">
        <v>2.46184</v>
      </c>
      <c r="I477" s="1">
        <v>45936</v>
      </c>
      <c r="J477">
        <v>63.617251160000002</v>
      </c>
      <c r="K477">
        <v>5.31</v>
      </c>
      <c r="L477">
        <v>1</v>
      </c>
      <c r="M477">
        <v>4.8505099999999999</v>
      </c>
      <c r="N477">
        <f>L477*F477</f>
        <v>0.43669000000000002</v>
      </c>
      <c r="O477">
        <f>L477*J477</f>
        <v>63.617251160000002</v>
      </c>
      <c r="P477">
        <f>M477-N477-H477</f>
        <v>1.9519799999999994</v>
      </c>
      <c r="Q477">
        <f>P477/O477</f>
        <v>3.0683186783576823E-2</v>
      </c>
      <c r="R477">
        <f>I477-G477</f>
        <v>28</v>
      </c>
      <c r="S477">
        <f>Q477/R477</f>
        <v>1.095828099413458E-3</v>
      </c>
      <c r="T477">
        <f>S477*10000</f>
        <v>10.958280994134579</v>
      </c>
    </row>
    <row r="478" spans="1:20" x14ac:dyDescent="0.3">
      <c r="A478" t="s">
        <v>54</v>
      </c>
      <c r="B478" t="s">
        <v>40</v>
      </c>
      <c r="C478">
        <v>2</v>
      </c>
      <c r="D478">
        <v>24</v>
      </c>
      <c r="E478" t="s">
        <v>22</v>
      </c>
      <c r="F478">
        <v>0.45950000000000002</v>
      </c>
      <c r="G478" s="1">
        <v>45908</v>
      </c>
      <c r="H478">
        <v>2.4365700000000001</v>
      </c>
      <c r="I478" s="1">
        <v>45936</v>
      </c>
      <c r="J478">
        <v>63.617251160000002</v>
      </c>
      <c r="K478">
        <v>5.31</v>
      </c>
      <c r="L478">
        <v>1</v>
      </c>
      <c r="M478">
        <v>3.4483199999999998</v>
      </c>
      <c r="N478">
        <f>L478*F478</f>
        <v>0.45950000000000002</v>
      </c>
      <c r="O478">
        <f>L478*J478</f>
        <v>63.617251160000002</v>
      </c>
      <c r="P478">
        <f>M478-N478-H478</f>
        <v>0.55224999999999946</v>
      </c>
      <c r="Q478">
        <f>P478/O478</f>
        <v>8.68082147421095E-3</v>
      </c>
      <c r="R478">
        <f>I478-G478</f>
        <v>28</v>
      </c>
      <c r="S478">
        <f>Q478/R478</f>
        <v>3.100293383646768E-4</v>
      </c>
      <c r="T478">
        <f>S478*10000</f>
        <v>3.1002933836467679</v>
      </c>
    </row>
    <row r="479" spans="1:20" x14ac:dyDescent="0.3">
      <c r="A479" t="s">
        <v>54</v>
      </c>
      <c r="B479" t="s">
        <v>40</v>
      </c>
      <c r="C479">
        <v>2</v>
      </c>
      <c r="D479">
        <v>24</v>
      </c>
      <c r="E479" t="s">
        <v>23</v>
      </c>
      <c r="F479">
        <v>0.43645</v>
      </c>
      <c r="G479" s="1">
        <v>45908</v>
      </c>
      <c r="H479">
        <v>2.4407999999999999</v>
      </c>
      <c r="I479" s="1">
        <v>45936</v>
      </c>
      <c r="J479">
        <v>63.617251160000002</v>
      </c>
      <c r="K479">
        <v>5.31</v>
      </c>
      <c r="L479">
        <v>1</v>
      </c>
      <c r="M479">
        <v>3.2407599999999999</v>
      </c>
      <c r="N479">
        <f>L479*F479</f>
        <v>0.43645</v>
      </c>
      <c r="O479">
        <f>L479*J479</f>
        <v>63.617251160000002</v>
      </c>
      <c r="P479">
        <f>M479-N479-H479</f>
        <v>0.36351000000000022</v>
      </c>
      <c r="Q479">
        <f>P479/O479</f>
        <v>5.7140161414041234E-3</v>
      </c>
      <c r="R479">
        <f>I479-G479</f>
        <v>28</v>
      </c>
      <c r="S479">
        <f>Q479/R479</f>
        <v>2.0407200505014725E-4</v>
      </c>
      <c r="T479">
        <f>S479*10000</f>
        <v>2.0407200505014726</v>
      </c>
    </row>
    <row r="480" spans="1:20" x14ac:dyDescent="0.3">
      <c r="A480" t="s">
        <v>54</v>
      </c>
      <c r="B480" t="s">
        <v>40</v>
      </c>
      <c r="C480">
        <v>2</v>
      </c>
      <c r="D480">
        <v>24</v>
      </c>
      <c r="E480" t="s">
        <v>24</v>
      </c>
      <c r="F480">
        <v>0.45905000000000001</v>
      </c>
      <c r="G480" s="1">
        <v>45908</v>
      </c>
      <c r="H480">
        <v>2.44191</v>
      </c>
      <c r="I480" s="1">
        <v>45936</v>
      </c>
      <c r="J480">
        <v>63.617251160000002</v>
      </c>
      <c r="K480">
        <v>5.31</v>
      </c>
      <c r="L480">
        <v>1</v>
      </c>
      <c r="M480">
        <v>3.4685100000000002</v>
      </c>
      <c r="N480">
        <f>L480*F480</f>
        <v>0.45905000000000001</v>
      </c>
      <c r="O480">
        <f>L480*J480</f>
        <v>63.617251160000002</v>
      </c>
      <c r="P480">
        <f>M480-N480-H480</f>
        <v>0.56755000000000022</v>
      </c>
      <c r="Q480">
        <f>P480/O480</f>
        <v>8.9213222773896449E-3</v>
      </c>
      <c r="R480">
        <f>I480-G480</f>
        <v>28</v>
      </c>
      <c r="S480">
        <f>Q480/R480</f>
        <v>3.186186527639159E-4</v>
      </c>
      <c r="T480">
        <f>S480*10000</f>
        <v>3.1861865276391588</v>
      </c>
    </row>
    <row r="481" spans="1:20" x14ac:dyDescent="0.3">
      <c r="A481" t="s">
        <v>54</v>
      </c>
      <c r="B481" t="s">
        <v>40</v>
      </c>
      <c r="C481">
        <v>2</v>
      </c>
      <c r="D481">
        <v>48</v>
      </c>
      <c r="E481" t="s">
        <v>47</v>
      </c>
      <c r="F481">
        <v>0.45722000000000002</v>
      </c>
      <c r="G481" s="1">
        <v>45908</v>
      </c>
      <c r="H481">
        <v>2.4424299999999999</v>
      </c>
      <c r="I481" s="1">
        <v>45936</v>
      </c>
      <c r="J481">
        <v>63.617251160000002</v>
      </c>
      <c r="K481">
        <v>5.31</v>
      </c>
      <c r="L481">
        <v>1</v>
      </c>
      <c r="M481">
        <v>3.3843200000000002</v>
      </c>
      <c r="N481">
        <f>L481*F481</f>
        <v>0.45722000000000002</v>
      </c>
      <c r="O481">
        <f>L481*J481</f>
        <v>63.617251160000002</v>
      </c>
      <c r="P481">
        <f>M481-N481-H481</f>
        <v>0.48467000000000038</v>
      </c>
      <c r="Q481">
        <f>P481/O481</f>
        <v>7.6185309984713959E-3</v>
      </c>
      <c r="R481">
        <f>I481-G481</f>
        <v>28</v>
      </c>
      <c r="S481">
        <f>Q481/R481</f>
        <v>2.7209039280254988E-4</v>
      </c>
      <c r="T481">
        <f>S481*10000</f>
        <v>2.720903928025499</v>
      </c>
    </row>
    <row r="482" spans="1:20" x14ac:dyDescent="0.3">
      <c r="A482" t="s">
        <v>54</v>
      </c>
      <c r="B482" t="s">
        <v>40</v>
      </c>
      <c r="C482">
        <v>2</v>
      </c>
      <c r="D482">
        <v>48</v>
      </c>
      <c r="E482" t="s">
        <v>23</v>
      </c>
      <c r="F482">
        <v>0.43615999999999999</v>
      </c>
      <c r="G482" s="1">
        <v>45908</v>
      </c>
      <c r="H482">
        <v>2.4626800000000002</v>
      </c>
      <c r="I482" s="1">
        <v>45936</v>
      </c>
      <c r="J482">
        <v>63.617251160000002</v>
      </c>
      <c r="K482">
        <v>5.31</v>
      </c>
      <c r="L482">
        <v>1</v>
      </c>
      <c r="M482">
        <v>3.3628100000000001</v>
      </c>
      <c r="N482">
        <f>L482*F482</f>
        <v>0.43615999999999999</v>
      </c>
      <c r="O482">
        <f>L482*J482</f>
        <v>63.617251160000002</v>
      </c>
      <c r="P482">
        <f>M482-N482-H482</f>
        <v>0.46396999999999977</v>
      </c>
      <c r="Q482">
        <f>P482/O482</f>
        <v>7.2931475588766973E-3</v>
      </c>
      <c r="R482">
        <f>I482-G482</f>
        <v>28</v>
      </c>
      <c r="S482">
        <f>Q482/R482</f>
        <v>2.6046955567416775E-4</v>
      </c>
      <c r="T482">
        <f>S482*10000</f>
        <v>2.6046955567416776</v>
      </c>
    </row>
    <row r="483" spans="1:20" x14ac:dyDescent="0.3">
      <c r="A483" t="s">
        <v>54</v>
      </c>
      <c r="B483" t="s">
        <v>40</v>
      </c>
      <c r="C483">
        <v>2</v>
      </c>
      <c r="D483">
        <v>48</v>
      </c>
      <c r="E483" t="s">
        <v>24</v>
      </c>
      <c r="F483">
        <v>0.43680000000000002</v>
      </c>
      <c r="G483" s="1">
        <v>45908</v>
      </c>
      <c r="H483">
        <v>2.4510299999999998</v>
      </c>
      <c r="I483" s="1">
        <v>45936</v>
      </c>
      <c r="J483">
        <v>63.617251160000002</v>
      </c>
      <c r="K483">
        <v>5.31</v>
      </c>
      <c r="L483">
        <v>1</v>
      </c>
      <c r="M483">
        <v>3.2804500000000001</v>
      </c>
      <c r="N483">
        <f>L483*F483</f>
        <v>0.43680000000000002</v>
      </c>
      <c r="O483">
        <f>L483*J483</f>
        <v>63.617251160000002</v>
      </c>
      <c r="P483">
        <f>M483-N483-H483</f>
        <v>0.39262000000000041</v>
      </c>
      <c r="Q483">
        <f>P483/O483</f>
        <v>6.1715964277133722E-3</v>
      </c>
      <c r="R483">
        <f>I483-G483</f>
        <v>28</v>
      </c>
      <c r="S483">
        <f>Q483/R483</f>
        <v>2.2041415813262044E-4</v>
      </c>
      <c r="T483">
        <f>S483*10000</f>
        <v>2.2041415813262044</v>
      </c>
    </row>
    <row r="484" spans="1:20" x14ac:dyDescent="0.3">
      <c r="A484" t="s">
        <v>54</v>
      </c>
      <c r="B484" t="s">
        <v>40</v>
      </c>
      <c r="E484" t="s">
        <v>48</v>
      </c>
      <c r="F484">
        <v>0.45113999999999999</v>
      </c>
      <c r="G484" t="s">
        <v>27</v>
      </c>
      <c r="H484">
        <v>2.4588399999999999</v>
      </c>
      <c r="I484" t="s">
        <v>27</v>
      </c>
      <c r="J484">
        <v>63.617251160000002</v>
      </c>
      <c r="K484">
        <v>5.31</v>
      </c>
      <c r="L484" t="s">
        <v>27</v>
      </c>
      <c r="N484" t="e">
        <f>L484*F484</f>
        <v>#VALUE!</v>
      </c>
      <c r="O484" t="e">
        <f>L484*J484</f>
        <v>#VALUE!</v>
      </c>
      <c r="P484" t="e">
        <f>M484-N484-H484</f>
        <v>#VALUE!</v>
      </c>
      <c r="Q484" t="e">
        <f>P484/O484</f>
        <v>#VALUE!</v>
      </c>
      <c r="R484" t="e">
        <f>I484-G484</f>
        <v>#VALUE!</v>
      </c>
      <c r="S484" t="e">
        <f>Q484/R484</f>
        <v>#VALUE!</v>
      </c>
      <c r="T484" t="e">
        <f>S484*10000</f>
        <v>#VALUE!</v>
      </c>
    </row>
    <row r="485" spans="1:20" x14ac:dyDescent="0.3">
      <c r="A485" t="s">
        <v>54</v>
      </c>
      <c r="B485" t="s">
        <v>40</v>
      </c>
      <c r="E485" t="s">
        <v>49</v>
      </c>
      <c r="F485">
        <v>0.43278</v>
      </c>
      <c r="G485" t="s">
        <v>27</v>
      </c>
      <c r="H485">
        <v>2.4506299999999999</v>
      </c>
      <c r="I485" t="s">
        <v>27</v>
      </c>
      <c r="J485">
        <v>63.617251160000002</v>
      </c>
      <c r="K485">
        <v>5.31</v>
      </c>
      <c r="L485" t="s">
        <v>27</v>
      </c>
      <c r="N485" t="e">
        <f>L485*F485</f>
        <v>#VALUE!</v>
      </c>
      <c r="O485" t="e">
        <f>L485*J485</f>
        <v>#VALUE!</v>
      </c>
      <c r="P485" t="e">
        <f>M485-N485-H485</f>
        <v>#VALUE!</v>
      </c>
      <c r="Q485" t="e">
        <f>P485/O485</f>
        <v>#VALUE!</v>
      </c>
      <c r="R485" t="e">
        <f>I485-G485</f>
        <v>#VALUE!</v>
      </c>
      <c r="S485" t="e">
        <f>Q485/R485</f>
        <v>#VALUE!</v>
      </c>
      <c r="T485" t="e">
        <f>S485*10000</f>
        <v>#VALUE!</v>
      </c>
    </row>
    <row r="486" spans="1:20" x14ac:dyDescent="0.3">
      <c r="A486" t="s">
        <v>54</v>
      </c>
      <c r="B486" t="s">
        <v>40</v>
      </c>
      <c r="E486" t="s">
        <v>50</v>
      </c>
      <c r="F486">
        <v>0.434</v>
      </c>
      <c r="G486" t="s">
        <v>27</v>
      </c>
      <c r="H486">
        <v>2.4481600000000001</v>
      </c>
      <c r="I486" t="s">
        <v>27</v>
      </c>
      <c r="J486">
        <v>63.617251160000002</v>
      </c>
      <c r="K486">
        <v>5.31</v>
      </c>
      <c r="L486" t="s">
        <v>27</v>
      </c>
      <c r="N486" t="e">
        <f>L486*F486</f>
        <v>#VALUE!</v>
      </c>
      <c r="O486" t="e">
        <f>L486*J486</f>
        <v>#VALUE!</v>
      </c>
      <c r="P486" t="e">
        <f>M486-N486-H486</f>
        <v>#VALUE!</v>
      </c>
      <c r="Q486" t="e">
        <f>P486/O486</f>
        <v>#VALUE!</v>
      </c>
      <c r="R486" t="e">
        <f>I486-G486</f>
        <v>#VALUE!</v>
      </c>
      <c r="S486" t="e">
        <f>Q486/R486</f>
        <v>#VALUE!</v>
      </c>
      <c r="T486" t="e">
        <f>S486*10000</f>
        <v>#VALUE!</v>
      </c>
    </row>
    <row r="487" spans="1:20" x14ac:dyDescent="0.3">
      <c r="A487" t="s">
        <v>54</v>
      </c>
      <c r="B487" t="s">
        <v>40</v>
      </c>
      <c r="E487" t="s">
        <v>51</v>
      </c>
      <c r="F487">
        <v>0.45544000000000001</v>
      </c>
      <c r="G487" t="s">
        <v>27</v>
      </c>
      <c r="H487">
        <v>2.4471099999999999</v>
      </c>
      <c r="I487" t="s">
        <v>27</v>
      </c>
      <c r="J487">
        <v>63.617251160000002</v>
      </c>
      <c r="K487">
        <v>5.31</v>
      </c>
      <c r="L487" t="s">
        <v>27</v>
      </c>
      <c r="N487" t="e">
        <f>L487*F487</f>
        <v>#VALUE!</v>
      </c>
      <c r="O487" t="e">
        <f>L487*J487</f>
        <v>#VALUE!</v>
      </c>
      <c r="P487" t="e">
        <f>M487-N487-H487</f>
        <v>#VALUE!</v>
      </c>
      <c r="Q487" t="e">
        <f>P487/O487</f>
        <v>#VALUE!</v>
      </c>
      <c r="R487" t="e">
        <f>I487-G487</f>
        <v>#VALUE!</v>
      </c>
      <c r="S487" t="e">
        <f>Q487/R487</f>
        <v>#VALUE!</v>
      </c>
      <c r="T487" t="e">
        <f>S487*10000</f>
        <v>#VALUE!</v>
      </c>
    </row>
    <row r="488" spans="1:20" x14ac:dyDescent="0.3">
      <c r="A488" t="s">
        <v>55</v>
      </c>
      <c r="B488" t="s">
        <v>44</v>
      </c>
      <c r="C488">
        <v>1</v>
      </c>
      <c r="D488">
        <v>0.5</v>
      </c>
      <c r="E488" t="s">
        <v>22</v>
      </c>
      <c r="F488">
        <v>4.4278700000000004</v>
      </c>
      <c r="G488" s="1">
        <v>45938</v>
      </c>
      <c r="H488">
        <v>2.7170399999999999</v>
      </c>
      <c r="I488" s="1">
        <v>45976</v>
      </c>
      <c r="J488">
        <v>63.617251160000002</v>
      </c>
      <c r="K488">
        <v>5.31</v>
      </c>
      <c r="L488">
        <v>1</v>
      </c>
      <c r="M488">
        <v>8.4070499999999999</v>
      </c>
      <c r="N488">
        <f>L488*F488</f>
        <v>4.4278700000000004</v>
      </c>
      <c r="O488">
        <f>L488*J488</f>
        <v>63.617251160000002</v>
      </c>
      <c r="P488">
        <f>M488-N488-H488</f>
        <v>1.2621399999999996</v>
      </c>
      <c r="Q488">
        <f>P488/O488</f>
        <v>1.9839587171499529E-2</v>
      </c>
      <c r="R488">
        <f>I488-G488</f>
        <v>38</v>
      </c>
      <c r="S488">
        <f>Q488/R488</f>
        <v>5.2209439924998764E-4</v>
      </c>
      <c r="T488">
        <f>S488*10000</f>
        <v>5.2209439924998762</v>
      </c>
    </row>
    <row r="489" spans="1:20" x14ac:dyDescent="0.3">
      <c r="A489" t="s">
        <v>55</v>
      </c>
      <c r="B489" t="s">
        <v>44</v>
      </c>
      <c r="C489">
        <v>1</v>
      </c>
      <c r="D489">
        <v>0.5</v>
      </c>
      <c r="E489" t="s">
        <v>23</v>
      </c>
      <c r="F489">
        <v>4.2207699999999999</v>
      </c>
      <c r="G489" s="1">
        <v>45938</v>
      </c>
      <c r="H489">
        <v>2.7169400000000001</v>
      </c>
      <c r="I489" s="1">
        <v>45976</v>
      </c>
      <c r="J489">
        <v>63.617251160000002</v>
      </c>
      <c r="K489">
        <v>5.31</v>
      </c>
      <c r="L489">
        <v>1</v>
      </c>
      <c r="M489">
        <v>7.4628500000000004</v>
      </c>
      <c r="N489">
        <f>L489*F489</f>
        <v>4.2207699999999999</v>
      </c>
      <c r="O489">
        <f>L489*J489</f>
        <v>63.617251160000002</v>
      </c>
      <c r="P489">
        <f>M489-N489-H489</f>
        <v>0.52514000000000038</v>
      </c>
      <c r="Q489">
        <f>P489/O489</f>
        <v>8.2546792013891285E-3</v>
      </c>
      <c r="R489">
        <f>I489-G489</f>
        <v>38</v>
      </c>
      <c r="S489">
        <f>Q489/R489</f>
        <v>2.1722840003655602E-4</v>
      </c>
      <c r="T489">
        <f>S489*10000</f>
        <v>2.1722840003655604</v>
      </c>
    </row>
    <row r="490" spans="1:20" x14ac:dyDescent="0.3">
      <c r="A490" t="s">
        <v>55</v>
      </c>
      <c r="B490" t="s">
        <v>44</v>
      </c>
      <c r="C490">
        <v>1</v>
      </c>
      <c r="D490">
        <v>0.5</v>
      </c>
      <c r="E490" t="s">
        <v>24</v>
      </c>
      <c r="F490">
        <v>4.4951400000000001</v>
      </c>
      <c r="G490" s="1">
        <v>45938</v>
      </c>
      <c r="H490">
        <v>2.7175500000000001</v>
      </c>
      <c r="I490" s="1">
        <v>45976</v>
      </c>
      <c r="J490">
        <v>63.617251160000002</v>
      </c>
      <c r="K490">
        <v>5.31</v>
      </c>
      <c r="L490">
        <v>1</v>
      </c>
      <c r="M490">
        <v>8.0141299999999998</v>
      </c>
      <c r="N490">
        <f>L490*F490</f>
        <v>4.4951400000000001</v>
      </c>
      <c r="O490">
        <f>L490*J490</f>
        <v>63.617251160000002</v>
      </c>
      <c r="P490">
        <f>M490-N490-H490</f>
        <v>0.80143999999999949</v>
      </c>
      <c r="Q490">
        <f>P490/O490</f>
        <v>1.2597840764674741E-2</v>
      </c>
      <c r="R490">
        <f>I490-G490</f>
        <v>38</v>
      </c>
      <c r="S490">
        <f>Q490/R490</f>
        <v>3.3152212538617741E-4</v>
      </c>
      <c r="T490">
        <f>S490*10000</f>
        <v>3.315221253861774</v>
      </c>
    </row>
    <row r="491" spans="1:20" x14ac:dyDescent="0.3">
      <c r="A491" t="s">
        <v>55</v>
      </c>
      <c r="B491" t="s">
        <v>44</v>
      </c>
      <c r="C491">
        <v>1</v>
      </c>
      <c r="D491">
        <v>2</v>
      </c>
      <c r="E491" t="s">
        <v>22</v>
      </c>
      <c r="F491">
        <v>4.3671600000000002</v>
      </c>
      <c r="G491" s="1">
        <v>45938</v>
      </c>
      <c r="H491">
        <v>2.7254200000000002</v>
      </c>
      <c r="I491" s="1">
        <v>45976</v>
      </c>
      <c r="J491">
        <v>63.617251160000002</v>
      </c>
      <c r="K491">
        <v>5.31</v>
      </c>
      <c r="L491">
        <v>1</v>
      </c>
      <c r="M491">
        <v>7.1604400000000004</v>
      </c>
      <c r="N491">
        <f>L491*F491</f>
        <v>4.3671600000000002</v>
      </c>
      <c r="O491">
        <f>L491*J491</f>
        <v>63.617251160000002</v>
      </c>
      <c r="P491">
        <f>M491-N491-H491</f>
        <v>6.7860000000000031E-2</v>
      </c>
      <c r="Q491">
        <f>P491/O491</f>
        <v>1.0666917976278061E-3</v>
      </c>
      <c r="R491">
        <f>I491-G491</f>
        <v>38</v>
      </c>
      <c r="S491">
        <f>Q491/R491</f>
        <v>2.8070836779679107E-5</v>
      </c>
      <c r="T491">
        <f>S491*10000</f>
        <v>0.28070836779679109</v>
      </c>
    </row>
    <row r="492" spans="1:20" x14ac:dyDescent="0.3">
      <c r="A492" t="s">
        <v>55</v>
      </c>
      <c r="B492" t="s">
        <v>44</v>
      </c>
      <c r="C492">
        <v>1</v>
      </c>
      <c r="D492">
        <v>2</v>
      </c>
      <c r="E492" t="s">
        <v>23</v>
      </c>
      <c r="F492">
        <v>4.3652499999999996</v>
      </c>
      <c r="G492" s="1">
        <v>45938</v>
      </c>
      <c r="H492">
        <v>2.6895500000000001</v>
      </c>
      <c r="I492" s="1">
        <v>45976</v>
      </c>
      <c r="J492">
        <v>63.617251160000002</v>
      </c>
      <c r="K492">
        <v>5.31</v>
      </c>
      <c r="L492">
        <v>1</v>
      </c>
      <c r="M492">
        <v>7.5975200000000003</v>
      </c>
      <c r="N492">
        <f>L492*F492</f>
        <v>4.3652499999999996</v>
      </c>
      <c r="O492">
        <f>L492*J492</f>
        <v>63.617251160000002</v>
      </c>
      <c r="P492">
        <f>M492-N492-H492</f>
        <v>0.54272000000000054</v>
      </c>
      <c r="Q492">
        <f>P492/O492</f>
        <v>8.5310193399434596E-3</v>
      </c>
      <c r="R492">
        <f>I492-G492</f>
        <v>38</v>
      </c>
      <c r="S492">
        <f>Q492/R492</f>
        <v>2.2450050894588051E-4</v>
      </c>
      <c r="T492">
        <f>S492*10000</f>
        <v>2.2450050894588052</v>
      </c>
    </row>
    <row r="493" spans="1:20" x14ac:dyDescent="0.3">
      <c r="A493" t="s">
        <v>55</v>
      </c>
      <c r="B493" t="s">
        <v>44</v>
      </c>
      <c r="C493">
        <v>1</v>
      </c>
      <c r="D493">
        <v>2</v>
      </c>
      <c r="E493" t="s">
        <v>24</v>
      </c>
      <c r="F493">
        <v>4.4164899999999996</v>
      </c>
      <c r="G493" s="1">
        <v>45938</v>
      </c>
      <c r="H493">
        <v>2.7192500000000002</v>
      </c>
      <c r="I493" s="1">
        <v>45976</v>
      </c>
      <c r="J493">
        <v>63.617251160000002</v>
      </c>
      <c r="K493">
        <v>5.31</v>
      </c>
      <c r="L493">
        <v>1</v>
      </c>
      <c r="M493">
        <v>7.4785300000000001</v>
      </c>
      <c r="N493">
        <f>L493*F493</f>
        <v>4.4164899999999996</v>
      </c>
      <c r="O493">
        <f>L493*J493</f>
        <v>63.617251160000002</v>
      </c>
      <c r="P493">
        <f>M493-N493-H493</f>
        <v>0.34279000000000037</v>
      </c>
      <c r="Q493">
        <f>P493/O493</f>
        <v>5.3883183216745633E-3</v>
      </c>
      <c r="R493">
        <f>I493-G493</f>
        <v>38</v>
      </c>
      <c r="S493">
        <f>Q493/R493</f>
        <v>1.4179785057038323E-4</v>
      </c>
      <c r="T493">
        <f>S493*10000</f>
        <v>1.4179785057038323</v>
      </c>
    </row>
    <row r="494" spans="1:20" x14ac:dyDescent="0.3">
      <c r="A494" t="s">
        <v>55</v>
      </c>
      <c r="B494" t="s">
        <v>44</v>
      </c>
      <c r="C494">
        <v>1</v>
      </c>
      <c r="D494">
        <v>6</v>
      </c>
      <c r="E494" t="s">
        <v>22</v>
      </c>
      <c r="F494">
        <v>0.45577000000000001</v>
      </c>
      <c r="G494" s="1">
        <v>45938</v>
      </c>
      <c r="H494">
        <v>2.4397899999999999</v>
      </c>
      <c r="I494" s="1">
        <v>45976</v>
      </c>
      <c r="J494">
        <v>63.617251160000002</v>
      </c>
      <c r="K494">
        <v>5.31</v>
      </c>
      <c r="L494">
        <v>1</v>
      </c>
      <c r="M494">
        <v>3.52732</v>
      </c>
      <c r="N494">
        <f>L494*F494</f>
        <v>0.45577000000000001</v>
      </c>
      <c r="O494">
        <f>L494*J494</f>
        <v>63.617251160000002</v>
      </c>
      <c r="P494">
        <f>M494-N494-H494</f>
        <v>0.63176000000000032</v>
      </c>
      <c r="Q494">
        <f>P494/O494</f>
        <v>9.9306397004029299E-3</v>
      </c>
      <c r="R494">
        <f>I494-G494</f>
        <v>38</v>
      </c>
      <c r="S494">
        <f>Q494/R494</f>
        <v>2.6133262369481392E-4</v>
      </c>
      <c r="T494">
        <f>S494*10000</f>
        <v>2.6133262369481391</v>
      </c>
    </row>
    <row r="495" spans="1:20" x14ac:dyDescent="0.3">
      <c r="A495" t="s">
        <v>55</v>
      </c>
      <c r="B495" t="s">
        <v>44</v>
      </c>
      <c r="C495">
        <v>1</v>
      </c>
      <c r="D495">
        <v>6</v>
      </c>
      <c r="E495" t="s">
        <v>23</v>
      </c>
      <c r="F495">
        <v>0.45435999999999999</v>
      </c>
      <c r="G495" s="1">
        <v>45938</v>
      </c>
      <c r="H495">
        <v>2.4500799999999998</v>
      </c>
      <c r="I495" s="1">
        <v>45976</v>
      </c>
      <c r="J495">
        <v>63.617251160000002</v>
      </c>
      <c r="K495">
        <v>5.31</v>
      </c>
      <c r="L495">
        <v>1</v>
      </c>
      <c r="M495">
        <v>3.11619</v>
      </c>
      <c r="N495">
        <f>L495*F495</f>
        <v>0.45435999999999999</v>
      </c>
      <c r="O495">
        <f>L495*J495</f>
        <v>63.617251160000002</v>
      </c>
      <c r="P495">
        <f>M495-N495-H495</f>
        <v>0.21175000000000033</v>
      </c>
      <c r="Q495">
        <f>P495/O495</f>
        <v>3.3284996779794898E-3</v>
      </c>
      <c r="R495">
        <f>I495-G495</f>
        <v>38</v>
      </c>
      <c r="S495">
        <f>Q495/R495</f>
        <v>8.7592096788933948E-5</v>
      </c>
      <c r="T495">
        <f>S495*10000</f>
        <v>0.87592096788933949</v>
      </c>
    </row>
    <row r="496" spans="1:20" x14ac:dyDescent="0.3">
      <c r="A496" t="s">
        <v>55</v>
      </c>
      <c r="B496" t="s">
        <v>44</v>
      </c>
      <c r="C496">
        <v>1</v>
      </c>
      <c r="D496">
        <v>6</v>
      </c>
      <c r="E496" t="s">
        <v>24</v>
      </c>
      <c r="F496">
        <v>0.45732</v>
      </c>
      <c r="G496" s="1">
        <v>45938</v>
      </c>
      <c r="H496">
        <v>2.4192900000000002</v>
      </c>
      <c r="I496" s="1">
        <v>45976</v>
      </c>
      <c r="J496">
        <v>63.617251160000002</v>
      </c>
      <c r="K496">
        <v>5.31</v>
      </c>
      <c r="L496">
        <v>1</v>
      </c>
      <c r="M496">
        <v>3.1067999999999998</v>
      </c>
      <c r="N496">
        <f>L496*F496</f>
        <v>0.45732</v>
      </c>
      <c r="O496">
        <f>L496*J496</f>
        <v>63.617251160000002</v>
      </c>
      <c r="P496">
        <f>M496-N496-H496</f>
        <v>0.23018999999999945</v>
      </c>
      <c r="Q496">
        <f>P496/O496</f>
        <v>3.6183581623333919E-3</v>
      </c>
      <c r="R496">
        <f>I496-G496</f>
        <v>38</v>
      </c>
      <c r="S496">
        <f>Q496/R496</f>
        <v>9.5219951640352414E-5</v>
      </c>
      <c r="T496">
        <f>S496*10000</f>
        <v>0.95219951640352418</v>
      </c>
    </row>
    <row r="497" spans="1:20" x14ac:dyDescent="0.3">
      <c r="A497" t="s">
        <v>55</v>
      </c>
      <c r="B497" t="s">
        <v>44</v>
      </c>
      <c r="C497">
        <v>1</v>
      </c>
      <c r="D497">
        <v>12</v>
      </c>
      <c r="E497" t="s">
        <v>22</v>
      </c>
      <c r="F497">
        <v>0.45534999999999998</v>
      </c>
      <c r="G497" s="1">
        <v>45938</v>
      </c>
      <c r="H497">
        <v>2.4369100000000001</v>
      </c>
      <c r="I497" s="1">
        <v>45976</v>
      </c>
      <c r="J497">
        <v>63.617251160000002</v>
      </c>
      <c r="K497">
        <v>5.31</v>
      </c>
      <c r="L497">
        <v>1</v>
      </c>
      <c r="M497">
        <v>3.0703999999999998</v>
      </c>
      <c r="N497">
        <f>L497*F497</f>
        <v>0.45534999999999998</v>
      </c>
      <c r="O497">
        <f>L497*J497</f>
        <v>63.617251160000002</v>
      </c>
      <c r="P497">
        <f>M497-N497-H497</f>
        <v>0.17813999999999952</v>
      </c>
      <c r="Q497">
        <f>P497/O497</f>
        <v>2.8001838613235597E-3</v>
      </c>
      <c r="R497">
        <f>I497-G497</f>
        <v>38</v>
      </c>
      <c r="S497">
        <f>Q497/R497</f>
        <v>7.3689048982198945E-5</v>
      </c>
      <c r="T497">
        <f>S497*10000</f>
        <v>0.73689048982198946</v>
      </c>
    </row>
    <row r="498" spans="1:20" x14ac:dyDescent="0.3">
      <c r="A498" t="s">
        <v>55</v>
      </c>
      <c r="B498" t="s">
        <v>44</v>
      </c>
      <c r="C498">
        <v>1</v>
      </c>
      <c r="D498">
        <v>12</v>
      </c>
      <c r="E498" t="s">
        <v>23</v>
      </c>
      <c r="F498">
        <v>0.45771000000000001</v>
      </c>
      <c r="G498" s="1">
        <v>45938</v>
      </c>
      <c r="H498">
        <v>2.42781</v>
      </c>
      <c r="I498" s="1">
        <v>45976</v>
      </c>
      <c r="J498">
        <v>63.617251160000002</v>
      </c>
      <c r="K498">
        <v>5.31</v>
      </c>
      <c r="L498">
        <v>1</v>
      </c>
      <c r="M498">
        <v>3.1840700000000002</v>
      </c>
      <c r="N498">
        <f>L498*F498</f>
        <v>0.45771000000000001</v>
      </c>
      <c r="O498">
        <f>L498*J498</f>
        <v>63.617251160000002</v>
      </c>
      <c r="P498">
        <f>M498-N498-H498</f>
        <v>0.29855000000000009</v>
      </c>
      <c r="Q498">
        <f>P498/O498</f>
        <v>4.6929094633330597E-3</v>
      </c>
      <c r="R498">
        <f>I498-G498</f>
        <v>38</v>
      </c>
      <c r="S498">
        <f>Q498/R498</f>
        <v>1.2349761745613315E-4</v>
      </c>
      <c r="T498">
        <f>S498*10000</f>
        <v>1.2349761745613315</v>
      </c>
    </row>
    <row r="499" spans="1:20" x14ac:dyDescent="0.3">
      <c r="A499" t="s">
        <v>55</v>
      </c>
      <c r="B499" t="s">
        <v>44</v>
      </c>
      <c r="C499">
        <v>1</v>
      </c>
      <c r="D499">
        <v>12</v>
      </c>
      <c r="E499" t="s">
        <v>24</v>
      </c>
      <c r="F499">
        <v>0.45378000000000002</v>
      </c>
      <c r="G499" s="1">
        <v>45938</v>
      </c>
      <c r="H499">
        <v>2.4292199999999999</v>
      </c>
      <c r="I499" s="1">
        <v>45976</v>
      </c>
      <c r="J499">
        <v>63.617251160000002</v>
      </c>
      <c r="K499">
        <v>5.31</v>
      </c>
      <c r="L499">
        <v>1</v>
      </c>
      <c r="M499">
        <v>3.1236899999999999</v>
      </c>
      <c r="N499">
        <f>L499*F499</f>
        <v>0.45378000000000002</v>
      </c>
      <c r="O499">
        <f>L499*J499</f>
        <v>63.617251160000002</v>
      </c>
      <c r="P499">
        <f>M499-N499-H499</f>
        <v>0.24068999999999985</v>
      </c>
      <c r="Q499">
        <f>P499/O499</f>
        <v>3.7834077331422981E-3</v>
      </c>
      <c r="R499">
        <f>I499-G499</f>
        <v>38</v>
      </c>
      <c r="S499">
        <f>Q499/R499</f>
        <v>9.956336139848153E-5</v>
      </c>
      <c r="T499">
        <f>S499*10000</f>
        <v>0.99563361398481531</v>
      </c>
    </row>
    <row r="500" spans="1:20" x14ac:dyDescent="0.3">
      <c r="A500" t="s">
        <v>55</v>
      </c>
      <c r="B500" t="s">
        <v>44</v>
      </c>
      <c r="C500">
        <v>1</v>
      </c>
      <c r="D500">
        <v>18</v>
      </c>
      <c r="E500" t="s">
        <v>22</v>
      </c>
      <c r="F500">
        <v>0.45476</v>
      </c>
      <c r="G500" s="1">
        <v>45938</v>
      </c>
      <c r="H500">
        <v>2.4130500000000001</v>
      </c>
      <c r="I500" s="1">
        <v>45976</v>
      </c>
      <c r="J500">
        <v>63.617251160000002</v>
      </c>
      <c r="K500">
        <v>5.31</v>
      </c>
      <c r="L500">
        <v>1</v>
      </c>
      <c r="M500">
        <v>3.1943700000000002</v>
      </c>
      <c r="N500">
        <f>L500*F500</f>
        <v>0.45476</v>
      </c>
      <c r="O500">
        <f>L500*J500</f>
        <v>63.617251160000002</v>
      </c>
      <c r="P500">
        <f>M500-N500-H500</f>
        <v>0.32656000000000018</v>
      </c>
      <c r="Q500">
        <f>P500/O500</f>
        <v>5.1331988422242316E-3</v>
      </c>
      <c r="R500">
        <f>I500-G500</f>
        <v>38</v>
      </c>
      <c r="S500">
        <f>Q500/R500</f>
        <v>1.350841800585324E-4</v>
      </c>
      <c r="T500">
        <f>S500*10000</f>
        <v>1.350841800585324</v>
      </c>
    </row>
    <row r="501" spans="1:20" x14ac:dyDescent="0.3">
      <c r="A501" t="s">
        <v>55</v>
      </c>
      <c r="B501" t="s">
        <v>44</v>
      </c>
      <c r="C501">
        <v>1</v>
      </c>
      <c r="D501">
        <v>18</v>
      </c>
      <c r="E501" t="s">
        <v>23</v>
      </c>
      <c r="F501">
        <v>0.45583000000000001</v>
      </c>
      <c r="G501" s="1">
        <v>45938</v>
      </c>
      <c r="H501">
        <v>2.4559199999999999</v>
      </c>
      <c r="I501" s="1">
        <v>45976</v>
      </c>
      <c r="J501">
        <v>63.617251160000002</v>
      </c>
      <c r="K501">
        <v>5.31</v>
      </c>
      <c r="L501">
        <v>1</v>
      </c>
      <c r="M501">
        <v>3.1307999999999998</v>
      </c>
      <c r="N501">
        <f>L501*F501</f>
        <v>0.45583000000000001</v>
      </c>
      <c r="O501">
        <f>L501*J501</f>
        <v>63.617251160000002</v>
      </c>
      <c r="P501">
        <f>M501-N501-H501</f>
        <v>0.21904999999999974</v>
      </c>
      <c r="Q501">
        <f>P501/O501</f>
        <v>3.4432484272085254E-3</v>
      </c>
      <c r="R501">
        <f>I501-G501</f>
        <v>38</v>
      </c>
      <c r="S501">
        <f>Q501/R501</f>
        <v>9.0611800716013829E-5</v>
      </c>
      <c r="T501">
        <f>S501*10000</f>
        <v>0.90611800716013824</v>
      </c>
    </row>
    <row r="502" spans="1:20" x14ac:dyDescent="0.3">
      <c r="A502" t="s">
        <v>55</v>
      </c>
      <c r="B502" t="s">
        <v>44</v>
      </c>
      <c r="C502">
        <v>1</v>
      </c>
      <c r="D502">
        <v>18</v>
      </c>
      <c r="E502" t="s">
        <v>45</v>
      </c>
      <c r="F502">
        <v>0.45507999999999998</v>
      </c>
      <c r="G502" s="1">
        <v>45938</v>
      </c>
      <c r="H502">
        <v>2.44306</v>
      </c>
      <c r="I502" s="1">
        <v>45976</v>
      </c>
      <c r="J502">
        <v>63.617251160000002</v>
      </c>
      <c r="K502">
        <v>5.31</v>
      </c>
      <c r="L502">
        <v>1</v>
      </c>
      <c r="M502">
        <v>3.0432600000000001</v>
      </c>
      <c r="N502">
        <f>L502*F502</f>
        <v>0.45507999999999998</v>
      </c>
      <c r="O502">
        <f>L502*J502</f>
        <v>63.617251160000002</v>
      </c>
      <c r="P502">
        <f>M502-N502-H502</f>
        <v>0.14511999999999992</v>
      </c>
      <c r="Q502">
        <f>P502/O502</f>
        <v>2.2811422586464345E-3</v>
      </c>
      <c r="R502">
        <f>I502-G502</f>
        <v>38</v>
      </c>
      <c r="S502">
        <f>Q502/R502</f>
        <v>6.0030059438064062E-5</v>
      </c>
      <c r="T502">
        <f>S502*10000</f>
        <v>0.60030059438064065</v>
      </c>
    </row>
    <row r="503" spans="1:20" x14ac:dyDescent="0.3">
      <c r="A503" t="s">
        <v>55</v>
      </c>
      <c r="B503" t="s">
        <v>44</v>
      </c>
      <c r="C503">
        <v>1</v>
      </c>
      <c r="D503">
        <v>24</v>
      </c>
      <c r="E503" t="s">
        <v>22</v>
      </c>
      <c r="F503">
        <v>0.45684000000000002</v>
      </c>
      <c r="G503" s="1">
        <v>45938</v>
      </c>
      <c r="H503">
        <v>2.4358399999999998</v>
      </c>
      <c r="I503" s="1">
        <v>45976</v>
      </c>
      <c r="J503">
        <v>63.617251160000002</v>
      </c>
      <c r="K503">
        <v>5.31</v>
      </c>
      <c r="L503">
        <v>0.5</v>
      </c>
      <c r="M503">
        <v>2.8502299999999998</v>
      </c>
      <c r="N503">
        <f>L503*F503</f>
        <v>0.22842000000000001</v>
      </c>
      <c r="O503">
        <f>L503*J503</f>
        <v>31.808625580000001</v>
      </c>
      <c r="P503">
        <f>M503-N503-H503</f>
        <v>0.18597000000000019</v>
      </c>
      <c r="Q503">
        <f>P503/O503</f>
        <v>5.8465273682535577E-3</v>
      </c>
      <c r="R503">
        <f>I503-G503</f>
        <v>38</v>
      </c>
      <c r="S503">
        <f>Q503/R503</f>
        <v>1.5385598337509362E-4</v>
      </c>
      <c r="T503">
        <f>S503*10000</f>
        <v>1.5385598337509361</v>
      </c>
    </row>
    <row r="504" spans="1:20" x14ac:dyDescent="0.3">
      <c r="A504" t="s">
        <v>55</v>
      </c>
      <c r="B504" t="s">
        <v>44</v>
      </c>
      <c r="C504">
        <v>1</v>
      </c>
      <c r="D504">
        <v>24</v>
      </c>
      <c r="E504" t="s">
        <v>23</v>
      </c>
      <c r="F504">
        <v>0.45456999999999997</v>
      </c>
      <c r="G504" s="1">
        <v>45938</v>
      </c>
      <c r="H504">
        <v>2.4474399999999998</v>
      </c>
      <c r="I504" s="1">
        <v>45976</v>
      </c>
      <c r="J504">
        <v>63.617251160000002</v>
      </c>
      <c r="K504">
        <v>5.31</v>
      </c>
      <c r="L504">
        <v>1</v>
      </c>
      <c r="M504">
        <v>2.9678399999999998</v>
      </c>
      <c r="N504">
        <f>L504*F504</f>
        <v>0.45456999999999997</v>
      </c>
      <c r="O504">
        <f>L504*J504</f>
        <v>63.617251160000002</v>
      </c>
      <c r="P504">
        <f>M504-N504-H504</f>
        <v>6.5830000000000055E-2</v>
      </c>
      <c r="Q504">
        <f>P504/O504</f>
        <v>1.0347822139380857E-3</v>
      </c>
      <c r="R504">
        <f>I504-G504</f>
        <v>38</v>
      </c>
      <c r="S504">
        <f>Q504/R504</f>
        <v>2.7231110893107519E-5</v>
      </c>
      <c r="T504">
        <f>S504*10000</f>
        <v>0.27231110893107519</v>
      </c>
    </row>
    <row r="505" spans="1:20" x14ac:dyDescent="0.3">
      <c r="A505" t="s">
        <v>55</v>
      </c>
      <c r="B505" t="s">
        <v>44</v>
      </c>
      <c r="C505">
        <v>1</v>
      </c>
      <c r="D505">
        <v>24</v>
      </c>
      <c r="E505" t="s">
        <v>24</v>
      </c>
      <c r="F505">
        <v>0.45632</v>
      </c>
      <c r="G505" s="1">
        <v>45938</v>
      </c>
      <c r="H505">
        <v>2.4263400000000002</v>
      </c>
      <c r="I505" s="1">
        <v>45976</v>
      </c>
      <c r="J505">
        <v>63.617251160000002</v>
      </c>
      <c r="K505">
        <v>5.31</v>
      </c>
      <c r="L505">
        <v>1</v>
      </c>
      <c r="M505">
        <v>2.9439799999999998</v>
      </c>
      <c r="N505">
        <f>L505*F505</f>
        <v>0.45632</v>
      </c>
      <c r="O505">
        <f>L505*J505</f>
        <v>63.617251160000002</v>
      </c>
      <c r="P505">
        <f>M505-N505-H505</f>
        <v>6.1319999999999819E-2</v>
      </c>
      <c r="Q505">
        <f>P505/O505</f>
        <v>9.6388949352397353E-4</v>
      </c>
      <c r="R505">
        <f>I505-G505</f>
        <v>38</v>
      </c>
      <c r="S505">
        <f>Q505/R505</f>
        <v>2.5365512987472988E-5</v>
      </c>
      <c r="T505">
        <f>S505*10000</f>
        <v>0.25365512987472988</v>
      </c>
    </row>
    <row r="506" spans="1:20" x14ac:dyDescent="0.3">
      <c r="A506" t="s">
        <v>55</v>
      </c>
      <c r="B506" t="s">
        <v>44</v>
      </c>
      <c r="C506">
        <v>1</v>
      </c>
      <c r="D506">
        <v>48</v>
      </c>
      <c r="E506" t="s">
        <v>22</v>
      </c>
      <c r="F506">
        <v>0.45357999999999998</v>
      </c>
      <c r="G506" s="1">
        <v>45938</v>
      </c>
      <c r="H506">
        <v>2.4484499999999998</v>
      </c>
      <c r="I506" s="1">
        <v>45976</v>
      </c>
      <c r="J506">
        <v>63.617251160000002</v>
      </c>
      <c r="K506">
        <v>5.31</v>
      </c>
      <c r="L506">
        <v>1</v>
      </c>
      <c r="M506">
        <v>3.03423</v>
      </c>
      <c r="N506">
        <f>L506*F506</f>
        <v>0.45357999999999998</v>
      </c>
      <c r="O506">
        <f>L506*J506</f>
        <v>63.617251160000002</v>
      </c>
      <c r="P506">
        <f>M506-N506-H506</f>
        <v>0.1322000000000001</v>
      </c>
      <c r="Q506">
        <f>P506/O506</f>
        <v>2.0780526915177718E-3</v>
      </c>
      <c r="R506">
        <f>I506-G506</f>
        <v>38</v>
      </c>
      <c r="S506">
        <f>Q506/R506</f>
        <v>5.4685597145204523E-5</v>
      </c>
      <c r="T506">
        <f>S506*10000</f>
        <v>0.54685597145204523</v>
      </c>
    </row>
    <row r="507" spans="1:20" x14ac:dyDescent="0.3">
      <c r="A507" t="s">
        <v>55</v>
      </c>
      <c r="B507" t="s">
        <v>44</v>
      </c>
      <c r="C507">
        <v>1</v>
      </c>
      <c r="D507">
        <v>48</v>
      </c>
      <c r="E507" t="s">
        <v>23</v>
      </c>
      <c r="F507">
        <v>0.45456999999999997</v>
      </c>
      <c r="G507" s="1">
        <v>45938</v>
      </c>
      <c r="H507">
        <v>2.4443800000000002</v>
      </c>
      <c r="I507" s="1">
        <v>45976</v>
      </c>
      <c r="J507">
        <v>63.617251160000002</v>
      </c>
      <c r="K507">
        <v>5.31</v>
      </c>
      <c r="L507">
        <v>1</v>
      </c>
      <c r="M507">
        <v>3.0794700000000002</v>
      </c>
      <c r="N507">
        <f>L507*F507</f>
        <v>0.45456999999999997</v>
      </c>
      <c r="O507">
        <f>L507*J507</f>
        <v>63.617251160000002</v>
      </c>
      <c r="P507">
        <f>M507-N507-H507</f>
        <v>0.18052000000000001</v>
      </c>
      <c r="Q507">
        <f>P507/O507</f>
        <v>2.8375950973735849E-3</v>
      </c>
      <c r="R507">
        <f>I507-G507</f>
        <v>38</v>
      </c>
      <c r="S507">
        <f>Q507/R507</f>
        <v>7.4673555194041709E-5</v>
      </c>
      <c r="T507">
        <f>S507*10000</f>
        <v>0.74673555194041707</v>
      </c>
    </row>
    <row r="508" spans="1:20" x14ac:dyDescent="0.3">
      <c r="A508" t="s">
        <v>55</v>
      </c>
      <c r="B508" t="s">
        <v>44</v>
      </c>
      <c r="C508">
        <v>1</v>
      </c>
      <c r="D508">
        <v>48</v>
      </c>
      <c r="E508" t="s">
        <v>24</v>
      </c>
      <c r="F508">
        <v>0.45748</v>
      </c>
      <c r="G508" s="1">
        <v>45938</v>
      </c>
      <c r="H508">
        <v>2.4285899999999998</v>
      </c>
      <c r="I508" s="1">
        <v>45976</v>
      </c>
      <c r="J508">
        <v>63.617251160000002</v>
      </c>
      <c r="K508">
        <v>5.31</v>
      </c>
      <c r="L508">
        <v>1</v>
      </c>
      <c r="M508">
        <v>3.07925</v>
      </c>
      <c r="N508">
        <f>L508*F508</f>
        <v>0.45748</v>
      </c>
      <c r="O508">
        <f>L508*J508</f>
        <v>63.617251160000002</v>
      </c>
      <c r="P508">
        <f>M508-N508-H508</f>
        <v>0.19318000000000035</v>
      </c>
      <c r="Q508">
        <f>P508/O508</f>
        <v>3.0365977227488927E-3</v>
      </c>
      <c r="R508">
        <f>I508-G508</f>
        <v>38</v>
      </c>
      <c r="S508">
        <f>Q508/R508</f>
        <v>7.9910466388128759E-5</v>
      </c>
      <c r="T508">
        <f>S508*10000</f>
        <v>0.79910466388128754</v>
      </c>
    </row>
    <row r="509" spans="1:20" x14ac:dyDescent="0.3">
      <c r="A509" t="s">
        <v>55</v>
      </c>
      <c r="B509" t="s">
        <v>44</v>
      </c>
      <c r="C509">
        <v>2</v>
      </c>
      <c r="D509">
        <v>0.5</v>
      </c>
      <c r="E509" t="s">
        <v>22</v>
      </c>
      <c r="F509">
        <v>4.4121899999999998</v>
      </c>
      <c r="G509" s="1">
        <v>45938</v>
      </c>
      <c r="H509">
        <v>2.4456099999999998</v>
      </c>
      <c r="I509" s="1">
        <v>45976</v>
      </c>
      <c r="J509">
        <v>63.617251160000002</v>
      </c>
      <c r="K509">
        <v>5.31</v>
      </c>
      <c r="L509">
        <v>1</v>
      </c>
      <c r="M509">
        <v>7.6143000000000001</v>
      </c>
      <c r="N509">
        <f>L509*F509</f>
        <v>4.4121899999999998</v>
      </c>
      <c r="O509">
        <f>L509*J509</f>
        <v>63.617251160000002</v>
      </c>
      <c r="P509">
        <f>M509-N509-H509</f>
        <v>0.75650000000000039</v>
      </c>
      <c r="Q509">
        <f>P509/O509</f>
        <v>1.1891428601612663E-2</v>
      </c>
      <c r="R509">
        <f>I509-G509</f>
        <v>38</v>
      </c>
      <c r="S509">
        <f>Q509/R509</f>
        <v>3.1293233162138587E-4</v>
      </c>
      <c r="T509">
        <f>S509*10000</f>
        <v>3.129323316213859</v>
      </c>
    </row>
    <row r="510" spans="1:20" x14ac:dyDescent="0.3">
      <c r="A510" t="s">
        <v>55</v>
      </c>
      <c r="B510" t="s">
        <v>44</v>
      </c>
      <c r="C510">
        <v>2</v>
      </c>
      <c r="D510">
        <v>0.5</v>
      </c>
      <c r="E510" t="s">
        <v>23</v>
      </c>
      <c r="F510">
        <v>4.4641299999999999</v>
      </c>
      <c r="G510" s="1">
        <v>45938</v>
      </c>
      <c r="H510">
        <v>2.4512999999999998</v>
      </c>
      <c r="I510" s="1">
        <v>45976</v>
      </c>
      <c r="J510">
        <v>63.617251160000002</v>
      </c>
      <c r="K510">
        <v>5.31</v>
      </c>
      <c r="L510">
        <v>1</v>
      </c>
      <c r="M510">
        <v>7.4660299999999999</v>
      </c>
      <c r="N510">
        <f>L510*F510</f>
        <v>4.4641299999999999</v>
      </c>
      <c r="O510">
        <f>L510*J510</f>
        <v>63.617251160000002</v>
      </c>
      <c r="P510">
        <f>M510-N510-H510</f>
        <v>0.5506000000000002</v>
      </c>
      <c r="Q510">
        <f>P510/O510</f>
        <v>8.6548851130838489E-3</v>
      </c>
      <c r="R510">
        <f>I510-G510</f>
        <v>38</v>
      </c>
      <c r="S510">
        <f>Q510/R510</f>
        <v>2.2776013455483814E-4</v>
      </c>
      <c r="T510">
        <f>S510*10000</f>
        <v>2.2776013455483812</v>
      </c>
    </row>
    <row r="511" spans="1:20" x14ac:dyDescent="0.3">
      <c r="A511" t="s">
        <v>55</v>
      </c>
      <c r="B511" t="s">
        <v>44</v>
      </c>
      <c r="C511">
        <v>2</v>
      </c>
      <c r="D511">
        <v>0.5</v>
      </c>
      <c r="E511" t="s">
        <v>24</v>
      </c>
      <c r="F511">
        <v>4.2631500000000004</v>
      </c>
      <c r="G511" s="1">
        <v>45938</v>
      </c>
      <c r="H511">
        <v>2.4750299999999998</v>
      </c>
      <c r="I511" s="1">
        <v>45976</v>
      </c>
      <c r="J511">
        <v>63.617251160000002</v>
      </c>
      <c r="K511">
        <v>5.31</v>
      </c>
      <c r="L511">
        <v>1</v>
      </c>
      <c r="M511">
        <v>7.8304</v>
      </c>
      <c r="N511">
        <f>L511*F511</f>
        <v>4.2631500000000004</v>
      </c>
      <c r="O511">
        <f>L511*J511</f>
        <v>63.617251160000002</v>
      </c>
      <c r="P511">
        <f>M511-N511-H511</f>
        <v>1.0922199999999997</v>
      </c>
      <c r="Q511">
        <f>P511/O511</f>
        <v>1.7168613545609217E-2</v>
      </c>
      <c r="R511">
        <f>I511-G511</f>
        <v>38</v>
      </c>
      <c r="S511">
        <f>Q511/R511</f>
        <v>4.5180561962129519E-4</v>
      </c>
      <c r="T511">
        <f>S511*10000</f>
        <v>4.5180561962129522</v>
      </c>
    </row>
    <row r="512" spans="1:20" x14ac:dyDescent="0.3">
      <c r="A512" t="s">
        <v>55</v>
      </c>
      <c r="B512" t="s">
        <v>44</v>
      </c>
      <c r="C512">
        <v>2</v>
      </c>
      <c r="D512">
        <v>2</v>
      </c>
      <c r="E512" t="s">
        <v>22</v>
      </c>
      <c r="F512">
        <v>4.8674400000000002</v>
      </c>
      <c r="G512" s="1">
        <v>45938</v>
      </c>
      <c r="H512">
        <v>2.4653299999999998</v>
      </c>
      <c r="I512" s="1">
        <v>45976</v>
      </c>
      <c r="J512">
        <v>63.617251160000002</v>
      </c>
      <c r="K512">
        <v>5.31</v>
      </c>
      <c r="L512">
        <v>1</v>
      </c>
      <c r="M512">
        <v>7.2827500000000001</v>
      </c>
      <c r="N512">
        <f>L512*F512</f>
        <v>4.8674400000000002</v>
      </c>
      <c r="O512">
        <f>L512*J512</f>
        <v>63.617251160000002</v>
      </c>
      <c r="P512">
        <f>M512-N512-H512</f>
        <v>-5.0019999999999953E-2</v>
      </c>
      <c r="Q512">
        <f>P512/O512</f>
        <v>-7.8626471732011179E-4</v>
      </c>
      <c r="R512">
        <f>I512-G512</f>
        <v>38</v>
      </c>
      <c r="S512">
        <f>Q512/R512</f>
        <v>-2.0691176771581889E-5</v>
      </c>
      <c r="T512">
        <f>S512*10000</f>
        <v>-0.20691176771581887</v>
      </c>
    </row>
    <row r="513" spans="1:20" x14ac:dyDescent="0.3">
      <c r="A513" t="s">
        <v>55</v>
      </c>
      <c r="B513" t="s">
        <v>44</v>
      </c>
      <c r="C513">
        <v>2</v>
      </c>
      <c r="D513">
        <v>2</v>
      </c>
      <c r="E513" t="s">
        <v>23</v>
      </c>
      <c r="F513">
        <v>4.8347199999999999</v>
      </c>
      <c r="G513" s="1">
        <v>45938</v>
      </c>
      <c r="H513">
        <v>2.4421200000000001</v>
      </c>
      <c r="I513" s="1">
        <v>45976</v>
      </c>
      <c r="J513">
        <v>63.617251160000002</v>
      </c>
      <c r="K513">
        <v>5.31</v>
      </c>
      <c r="L513">
        <v>1</v>
      </c>
      <c r="M513">
        <v>6.8781400000000001</v>
      </c>
      <c r="N513">
        <f>L513*F513</f>
        <v>4.8347199999999999</v>
      </c>
      <c r="O513">
        <f>L513*J513</f>
        <v>63.617251160000002</v>
      </c>
      <c r="P513">
        <f>M513-N513-H513</f>
        <v>-0.39869999999999983</v>
      </c>
      <c r="Q513">
        <f>P513/O513</f>
        <v>-6.2671679887150887E-3</v>
      </c>
      <c r="R513">
        <f>I513-G513</f>
        <v>38</v>
      </c>
      <c r="S513">
        <f>Q513/R513</f>
        <v>-1.6492547338723917E-4</v>
      </c>
      <c r="T513">
        <f>S513*10000</f>
        <v>-1.6492547338723917</v>
      </c>
    </row>
    <row r="514" spans="1:20" x14ac:dyDescent="0.3">
      <c r="A514" t="s">
        <v>55</v>
      </c>
      <c r="B514" t="s">
        <v>44</v>
      </c>
      <c r="C514">
        <v>2</v>
      </c>
      <c r="D514">
        <v>2</v>
      </c>
      <c r="E514" t="s">
        <v>24</v>
      </c>
      <c r="F514">
        <v>4.6020300000000001</v>
      </c>
      <c r="G514" s="1">
        <v>45938</v>
      </c>
      <c r="H514">
        <v>2.4504100000000002</v>
      </c>
      <c r="I514" s="1">
        <v>45976</v>
      </c>
      <c r="J514">
        <v>63.617251160000002</v>
      </c>
      <c r="K514">
        <v>5.31</v>
      </c>
      <c r="L514">
        <v>1</v>
      </c>
      <c r="M514">
        <v>7.7760499999999997</v>
      </c>
      <c r="N514">
        <f>L514*F514</f>
        <v>4.6020300000000001</v>
      </c>
      <c r="O514">
        <f>L514*J514</f>
        <v>63.617251160000002</v>
      </c>
      <c r="P514">
        <f>M514-N514-H514</f>
        <v>0.72360999999999942</v>
      </c>
      <c r="Q514">
        <f>P514/O514</f>
        <v>1.1374430469812197E-2</v>
      </c>
      <c r="R514">
        <f>I514-G514</f>
        <v>38</v>
      </c>
      <c r="S514">
        <f>Q514/R514</f>
        <v>2.9932711762663679E-4</v>
      </c>
      <c r="T514">
        <f>S514*10000</f>
        <v>2.9932711762663677</v>
      </c>
    </row>
    <row r="515" spans="1:20" x14ac:dyDescent="0.3">
      <c r="A515" t="s">
        <v>55</v>
      </c>
      <c r="B515" t="s">
        <v>44</v>
      </c>
      <c r="C515">
        <v>2</v>
      </c>
      <c r="D515">
        <v>6</v>
      </c>
      <c r="E515" t="s">
        <v>22</v>
      </c>
      <c r="F515">
        <v>0.45340999999999998</v>
      </c>
      <c r="G515" s="1">
        <v>45938</v>
      </c>
      <c r="H515">
        <v>2.4258099999999998</v>
      </c>
      <c r="I515" s="1">
        <v>45976</v>
      </c>
      <c r="J515">
        <v>63.617251160000002</v>
      </c>
      <c r="K515">
        <v>5.31</v>
      </c>
      <c r="L515">
        <v>1</v>
      </c>
      <c r="M515">
        <v>3.1638199999999999</v>
      </c>
      <c r="N515">
        <f>L515*F515</f>
        <v>0.45340999999999998</v>
      </c>
      <c r="O515">
        <f>L515*J515</f>
        <v>63.617251160000002</v>
      </c>
      <c r="P515">
        <f>M515-N515-H515</f>
        <v>0.28460000000000019</v>
      </c>
      <c r="Q515">
        <f>P515/O515</f>
        <v>4.4736293192583799E-3</v>
      </c>
      <c r="R515">
        <f>I515-G515</f>
        <v>38</v>
      </c>
      <c r="S515">
        <f>Q515/R515</f>
        <v>1.1772708734890474E-4</v>
      </c>
      <c r="T515">
        <f>S515*10000</f>
        <v>1.1772708734890474</v>
      </c>
    </row>
    <row r="516" spans="1:20" x14ac:dyDescent="0.3">
      <c r="A516" t="s">
        <v>55</v>
      </c>
      <c r="B516" t="s">
        <v>44</v>
      </c>
      <c r="C516">
        <v>2</v>
      </c>
      <c r="D516">
        <v>6</v>
      </c>
      <c r="E516" t="s">
        <v>23</v>
      </c>
      <c r="F516">
        <v>0.45368000000000003</v>
      </c>
      <c r="G516" s="1">
        <v>45938</v>
      </c>
      <c r="H516">
        <v>2.4131300000000002</v>
      </c>
      <c r="I516" s="1">
        <v>45976</v>
      </c>
      <c r="J516">
        <v>63.617251160000002</v>
      </c>
      <c r="K516">
        <v>5.31</v>
      </c>
      <c r="L516">
        <v>1</v>
      </c>
      <c r="M516">
        <v>3.9651000000000001</v>
      </c>
      <c r="N516">
        <f>L516*F516</f>
        <v>0.45368000000000003</v>
      </c>
      <c r="O516">
        <f>L516*J516</f>
        <v>63.617251160000002</v>
      </c>
      <c r="P516">
        <f>M516-N516-H516</f>
        <v>1.09829</v>
      </c>
      <c r="Q516">
        <f>P516/O516</f>
        <v>1.7264027916543509E-2</v>
      </c>
      <c r="R516">
        <f>I516-G516</f>
        <v>38</v>
      </c>
      <c r="S516">
        <f>Q516/R516</f>
        <v>4.5431652411956602E-4</v>
      </c>
      <c r="T516">
        <f>S516*10000</f>
        <v>4.54316524119566</v>
      </c>
    </row>
    <row r="517" spans="1:20" x14ac:dyDescent="0.3">
      <c r="A517" t="s">
        <v>55</v>
      </c>
      <c r="B517" t="s">
        <v>44</v>
      </c>
      <c r="C517">
        <v>2</v>
      </c>
      <c r="D517">
        <v>6</v>
      </c>
      <c r="E517" t="s">
        <v>24</v>
      </c>
      <c r="F517">
        <v>0.45062000000000002</v>
      </c>
      <c r="G517" s="1">
        <v>45938</v>
      </c>
      <c r="H517">
        <v>2.4265599999999998</v>
      </c>
      <c r="I517" s="1">
        <v>45976</v>
      </c>
      <c r="J517">
        <v>63.617251160000002</v>
      </c>
      <c r="K517">
        <v>5.31</v>
      </c>
      <c r="L517">
        <v>1</v>
      </c>
      <c r="M517">
        <v>4.2033500000000004</v>
      </c>
      <c r="N517">
        <f>L517*F517</f>
        <v>0.45062000000000002</v>
      </c>
      <c r="O517">
        <f>L517*J517</f>
        <v>63.617251160000002</v>
      </c>
      <c r="P517">
        <f>M517-N517-H517</f>
        <v>1.3261700000000007</v>
      </c>
      <c r="Q517">
        <f>P517/O517</f>
        <v>2.0846075173298964E-2</v>
      </c>
      <c r="R517">
        <f>I517-G517</f>
        <v>38</v>
      </c>
      <c r="S517">
        <f>Q517/R517</f>
        <v>5.4858092561313064E-4</v>
      </c>
      <c r="T517">
        <f>S517*10000</f>
        <v>5.4858092561313061</v>
      </c>
    </row>
    <row r="518" spans="1:20" x14ac:dyDescent="0.3">
      <c r="A518" t="s">
        <v>55</v>
      </c>
      <c r="B518" t="s">
        <v>44</v>
      </c>
      <c r="C518">
        <v>2</v>
      </c>
      <c r="D518">
        <v>12</v>
      </c>
      <c r="E518" t="s">
        <v>22</v>
      </c>
      <c r="F518">
        <v>0.45487</v>
      </c>
      <c r="G518" s="1">
        <v>45938</v>
      </c>
      <c r="H518">
        <v>2.43858</v>
      </c>
      <c r="I518" s="1">
        <v>45976</v>
      </c>
      <c r="J518">
        <v>63.617251160000002</v>
      </c>
      <c r="K518">
        <v>5.31</v>
      </c>
      <c r="L518">
        <v>1</v>
      </c>
      <c r="M518">
        <v>3.9544899999999998</v>
      </c>
      <c r="N518">
        <f>L518*F518</f>
        <v>0.45487</v>
      </c>
      <c r="O518">
        <f>L518*J518</f>
        <v>63.617251160000002</v>
      </c>
      <c r="P518">
        <f>M518-N518-H518</f>
        <v>1.0610399999999998</v>
      </c>
      <c r="Q518">
        <f>P518/O518</f>
        <v>1.6678494915340503E-2</v>
      </c>
      <c r="R518">
        <f>I518-G518</f>
        <v>38</v>
      </c>
      <c r="S518">
        <f>Q518/R518</f>
        <v>4.3890776093001327E-4</v>
      </c>
      <c r="T518">
        <f>S518*10000</f>
        <v>4.3890776093001325</v>
      </c>
    </row>
    <row r="519" spans="1:20" x14ac:dyDescent="0.3">
      <c r="A519" t="s">
        <v>55</v>
      </c>
      <c r="B519" t="s">
        <v>44</v>
      </c>
      <c r="C519">
        <v>2</v>
      </c>
      <c r="D519">
        <v>12</v>
      </c>
      <c r="E519" t="s">
        <v>23</v>
      </c>
      <c r="F519">
        <v>0.45358999999999999</v>
      </c>
      <c r="G519" s="1">
        <v>45938</v>
      </c>
      <c r="H519">
        <v>2.44489</v>
      </c>
      <c r="I519" s="1">
        <v>45976</v>
      </c>
      <c r="J519">
        <v>63.617251160000002</v>
      </c>
      <c r="K519">
        <v>5.31</v>
      </c>
      <c r="L519">
        <v>1</v>
      </c>
      <c r="M519">
        <v>4.2483899999999997</v>
      </c>
      <c r="N519">
        <f>L519*F519</f>
        <v>0.45358999999999999</v>
      </c>
      <c r="O519">
        <f>L519*J519</f>
        <v>63.617251160000002</v>
      </c>
      <c r="P519">
        <f>M519-N519-H519</f>
        <v>1.3499099999999995</v>
      </c>
      <c r="Q519">
        <f>P519/O519</f>
        <v>2.1219244393394496E-2</v>
      </c>
      <c r="R519">
        <f>I519-G519</f>
        <v>38</v>
      </c>
      <c r="S519">
        <f>Q519/R519</f>
        <v>5.5840116824722359E-4</v>
      </c>
      <c r="T519">
        <f>S519*10000</f>
        <v>5.5840116824722363</v>
      </c>
    </row>
    <row r="520" spans="1:20" x14ac:dyDescent="0.3">
      <c r="A520" t="s">
        <v>55</v>
      </c>
      <c r="B520" t="s">
        <v>44</v>
      </c>
      <c r="C520">
        <v>2</v>
      </c>
      <c r="D520">
        <v>12</v>
      </c>
      <c r="E520" t="s">
        <v>24</v>
      </c>
      <c r="F520">
        <v>0.44996999999999998</v>
      </c>
      <c r="G520" s="1">
        <v>45938</v>
      </c>
      <c r="H520">
        <v>2.21116</v>
      </c>
      <c r="I520" s="1">
        <v>45976</v>
      </c>
      <c r="J520">
        <v>63.617251160000002</v>
      </c>
      <c r="K520">
        <v>5.31</v>
      </c>
      <c r="L520">
        <v>1</v>
      </c>
      <c r="M520">
        <v>3.2355299999999998</v>
      </c>
      <c r="N520">
        <f>L520*F520</f>
        <v>0.44996999999999998</v>
      </c>
      <c r="O520">
        <f>L520*J520</f>
        <v>63.617251160000002</v>
      </c>
      <c r="P520">
        <f>M520-N520-H520</f>
        <v>0.5743999999999998</v>
      </c>
      <c r="Q520">
        <f>P520/O520</f>
        <v>9.0289974735840162E-3</v>
      </c>
      <c r="R520">
        <f>I520-G520</f>
        <v>38</v>
      </c>
      <c r="S520">
        <f>Q520/R520</f>
        <v>2.3760519667326358E-4</v>
      </c>
      <c r="T520">
        <f>S520*10000</f>
        <v>2.3760519667326356</v>
      </c>
    </row>
    <row r="521" spans="1:20" x14ac:dyDescent="0.3">
      <c r="A521" t="s">
        <v>55</v>
      </c>
      <c r="B521" t="s">
        <v>44</v>
      </c>
      <c r="C521">
        <v>2</v>
      </c>
      <c r="D521">
        <v>24</v>
      </c>
      <c r="E521" t="s">
        <v>22</v>
      </c>
      <c r="F521">
        <v>0.45213999999999999</v>
      </c>
      <c r="G521" s="1">
        <v>45938</v>
      </c>
      <c r="H521">
        <v>2.6875800000000001</v>
      </c>
      <c r="I521" s="1">
        <v>45976</v>
      </c>
      <c r="J521">
        <v>63.617251160000002</v>
      </c>
      <c r="K521">
        <v>5.31</v>
      </c>
      <c r="L521">
        <v>1</v>
      </c>
      <c r="M521">
        <v>3.5518700000000001</v>
      </c>
      <c r="N521">
        <f>L521*F521</f>
        <v>0.45213999999999999</v>
      </c>
      <c r="O521">
        <f>L521*J521</f>
        <v>63.617251160000002</v>
      </c>
      <c r="P521">
        <f>M521-N521-H521</f>
        <v>0.41215000000000002</v>
      </c>
      <c r="Q521">
        <f>P521/O521</f>
        <v>6.4785886294179201E-3</v>
      </c>
      <c r="R521">
        <f>I521-G521</f>
        <v>38</v>
      </c>
      <c r="S521">
        <f>Q521/R521</f>
        <v>1.7048917445836631E-4</v>
      </c>
      <c r="T521">
        <f>S521*10000</f>
        <v>1.7048917445836631</v>
      </c>
    </row>
    <row r="522" spans="1:20" x14ac:dyDescent="0.3">
      <c r="A522" t="s">
        <v>55</v>
      </c>
      <c r="B522" t="s">
        <v>44</v>
      </c>
      <c r="C522">
        <v>2</v>
      </c>
      <c r="D522">
        <v>24</v>
      </c>
      <c r="E522" t="s">
        <v>23</v>
      </c>
      <c r="F522">
        <v>0.45140999999999998</v>
      </c>
      <c r="G522" s="1">
        <v>45938</v>
      </c>
      <c r="H522">
        <v>2.6763599999999999</v>
      </c>
      <c r="I522" s="1">
        <v>45976</v>
      </c>
      <c r="J522">
        <v>63.617251160000002</v>
      </c>
      <c r="K522">
        <v>5.31</v>
      </c>
      <c r="L522">
        <v>1</v>
      </c>
      <c r="M522">
        <v>3.389011</v>
      </c>
      <c r="N522">
        <f>L522*F522</f>
        <v>0.45140999999999998</v>
      </c>
      <c r="O522">
        <f>L522*J522</f>
        <v>63.617251160000002</v>
      </c>
      <c r="P522">
        <f>M522-N522-H522</f>
        <v>0.26124100000000006</v>
      </c>
      <c r="Q522">
        <f>P522/O522</f>
        <v>4.1064490407321779E-3</v>
      </c>
      <c r="R522">
        <f>I522-G522</f>
        <v>38</v>
      </c>
      <c r="S522">
        <f>Q522/R522</f>
        <v>1.0806444844032047E-4</v>
      </c>
      <c r="T522">
        <f>S522*10000</f>
        <v>1.0806444844032046</v>
      </c>
    </row>
    <row r="523" spans="1:20" x14ac:dyDescent="0.3">
      <c r="A523" t="s">
        <v>55</v>
      </c>
      <c r="B523" t="s">
        <v>44</v>
      </c>
      <c r="C523">
        <v>2</v>
      </c>
      <c r="D523">
        <v>24</v>
      </c>
      <c r="E523" t="s">
        <v>24</v>
      </c>
      <c r="F523">
        <v>0.45393</v>
      </c>
      <c r="G523" s="1">
        <v>45938</v>
      </c>
      <c r="H523">
        <v>2.6783399999999999</v>
      </c>
      <c r="I523" s="1">
        <v>45976</v>
      </c>
      <c r="J523">
        <v>63.617251160000002</v>
      </c>
      <c r="K523">
        <v>5.31</v>
      </c>
      <c r="L523">
        <v>1</v>
      </c>
      <c r="M523">
        <v>3.4495800000000001</v>
      </c>
      <c r="N523">
        <f>L523*F523</f>
        <v>0.45393</v>
      </c>
      <c r="O523">
        <f>L523*J523</f>
        <v>63.617251160000002</v>
      </c>
      <c r="P523">
        <f>M523-N523-H523</f>
        <v>0.31730999999999998</v>
      </c>
      <c r="Q523">
        <f>P523/O523</f>
        <v>4.9877980298449597E-3</v>
      </c>
      <c r="R523">
        <f>I523-G523</f>
        <v>38</v>
      </c>
      <c r="S523">
        <f>Q523/R523</f>
        <v>1.3125784289065684E-4</v>
      </c>
      <c r="T523">
        <f>S523*10000</f>
        <v>1.3125784289065685</v>
      </c>
    </row>
    <row r="524" spans="1:20" x14ac:dyDescent="0.3">
      <c r="A524" t="s">
        <v>55</v>
      </c>
      <c r="B524" t="s">
        <v>44</v>
      </c>
      <c r="C524">
        <v>2</v>
      </c>
      <c r="D524">
        <v>48</v>
      </c>
      <c r="E524" t="s">
        <v>22</v>
      </c>
      <c r="F524">
        <v>0.45383000000000001</v>
      </c>
      <c r="G524" s="1">
        <v>45938</v>
      </c>
      <c r="H524">
        <v>2.7138</v>
      </c>
      <c r="I524" s="1">
        <v>45976</v>
      </c>
      <c r="J524">
        <v>63.617251160000002</v>
      </c>
      <c r="K524">
        <v>5.31</v>
      </c>
      <c r="L524">
        <v>1</v>
      </c>
      <c r="M524">
        <v>3.51945</v>
      </c>
      <c r="N524">
        <f>L524*F524</f>
        <v>0.45383000000000001</v>
      </c>
      <c r="O524">
        <f>L524*J524</f>
        <v>63.617251160000002</v>
      </c>
      <c r="P524">
        <f>M524-N524-H524</f>
        <v>0.35182000000000002</v>
      </c>
      <c r="Q524">
        <f>P524/O524</f>
        <v>5.5302609525702115E-3</v>
      </c>
      <c r="R524">
        <f>I524-G524</f>
        <v>38</v>
      </c>
      <c r="S524">
        <f>Q524/R524</f>
        <v>1.4553318296237397E-4</v>
      </c>
      <c r="T524">
        <f>S524*10000</f>
        <v>1.4553318296237396</v>
      </c>
    </row>
    <row r="525" spans="1:20" x14ac:dyDescent="0.3">
      <c r="A525" t="s">
        <v>55</v>
      </c>
      <c r="B525" t="s">
        <v>44</v>
      </c>
      <c r="C525">
        <v>2</v>
      </c>
      <c r="D525">
        <v>48</v>
      </c>
      <c r="E525" t="s">
        <v>23</v>
      </c>
      <c r="F525">
        <v>0.4546</v>
      </c>
      <c r="G525" s="1">
        <v>45938</v>
      </c>
      <c r="H525">
        <v>2.25352</v>
      </c>
      <c r="I525" s="1">
        <v>45976</v>
      </c>
      <c r="J525">
        <v>63.617251160000002</v>
      </c>
      <c r="K525">
        <v>5.31</v>
      </c>
      <c r="L525">
        <v>1</v>
      </c>
      <c r="M525">
        <v>3.1377899999999999</v>
      </c>
      <c r="N525">
        <f>L525*F525</f>
        <v>0.4546</v>
      </c>
      <c r="O525">
        <f>L525*J525</f>
        <v>63.617251160000002</v>
      </c>
      <c r="P525">
        <f>M525-N525-H525</f>
        <v>0.42966999999999977</v>
      </c>
      <c r="Q525">
        <f>P525/O525</f>
        <v>6.7539856275676243E-3</v>
      </c>
      <c r="R525">
        <f>I525-G525</f>
        <v>38</v>
      </c>
      <c r="S525">
        <f>Q525/R525</f>
        <v>1.7773646388335855E-4</v>
      </c>
      <c r="T525">
        <f>S525*10000</f>
        <v>1.7773646388335855</v>
      </c>
    </row>
    <row r="526" spans="1:20" x14ac:dyDescent="0.3">
      <c r="A526" t="s">
        <v>55</v>
      </c>
      <c r="B526" t="s">
        <v>44</v>
      </c>
      <c r="C526">
        <v>2</v>
      </c>
      <c r="D526">
        <v>48</v>
      </c>
      <c r="E526" t="s">
        <v>24</v>
      </c>
      <c r="F526">
        <v>0.45226</v>
      </c>
      <c r="G526" s="1">
        <v>45938</v>
      </c>
      <c r="H526">
        <v>2.7399</v>
      </c>
      <c r="I526" s="1">
        <v>45976</v>
      </c>
      <c r="J526">
        <v>63.617251160000002</v>
      </c>
      <c r="K526">
        <v>5.31</v>
      </c>
      <c r="L526">
        <v>1</v>
      </c>
      <c r="M526">
        <v>3.6442000000000001</v>
      </c>
      <c r="N526">
        <f>L526*F526</f>
        <v>0.45226</v>
      </c>
      <c r="O526">
        <f>L526*J526</f>
        <v>63.617251160000002</v>
      </c>
      <c r="P526">
        <f>M526-N526-H526</f>
        <v>0.45204000000000022</v>
      </c>
      <c r="Q526">
        <f>P526/O526</f>
        <v>7.1056198084243063E-3</v>
      </c>
      <c r="R526">
        <f>I526-G526</f>
        <v>38</v>
      </c>
      <c r="S526">
        <f>Q526/R526</f>
        <v>1.8698999495853438E-4</v>
      </c>
      <c r="T526">
        <f>S526*10000</f>
        <v>1.8698999495853439</v>
      </c>
    </row>
    <row r="527" spans="1:20" x14ac:dyDescent="0.3">
      <c r="A527" t="s">
        <v>55</v>
      </c>
      <c r="B527" t="s">
        <v>44</v>
      </c>
      <c r="E527" t="s">
        <v>29</v>
      </c>
      <c r="F527">
        <v>0.4531</v>
      </c>
      <c r="G527" t="s">
        <v>27</v>
      </c>
      <c r="H527" t="s">
        <v>27</v>
      </c>
      <c r="I527" t="s">
        <v>27</v>
      </c>
      <c r="J527">
        <v>63.617251160000002</v>
      </c>
      <c r="K527">
        <v>5.31</v>
      </c>
      <c r="L527" t="s">
        <v>27</v>
      </c>
      <c r="M527" t="s">
        <v>27</v>
      </c>
      <c r="N527" t="e">
        <f>L527*F527</f>
        <v>#VALUE!</v>
      </c>
      <c r="O527" t="e">
        <f>L527*J527</f>
        <v>#VALUE!</v>
      </c>
      <c r="P527" t="e">
        <f>M527-N527-H527</f>
        <v>#VALUE!</v>
      </c>
      <c r="Q527" t="e">
        <f>P527/O527</f>
        <v>#VALUE!</v>
      </c>
      <c r="R527" t="e">
        <f>I527-G527</f>
        <v>#VALUE!</v>
      </c>
      <c r="S527" t="e">
        <f>Q527/R527</f>
        <v>#VALUE!</v>
      </c>
      <c r="T527" t="e">
        <f>S527*10000</f>
        <v>#VALUE!</v>
      </c>
    </row>
    <row r="528" spans="1:20" x14ac:dyDescent="0.3">
      <c r="A528" t="s">
        <v>55</v>
      </c>
      <c r="B528" t="s">
        <v>44</v>
      </c>
      <c r="E528" t="s">
        <v>31</v>
      </c>
      <c r="F528">
        <v>0.45123000000000002</v>
      </c>
      <c r="G528" t="s">
        <v>27</v>
      </c>
      <c r="H528" t="s">
        <v>27</v>
      </c>
      <c r="I528" t="s">
        <v>27</v>
      </c>
      <c r="J528">
        <v>63.617251160000002</v>
      </c>
      <c r="K528">
        <v>5.31</v>
      </c>
      <c r="L528" t="s">
        <v>27</v>
      </c>
      <c r="M528" t="s">
        <v>27</v>
      </c>
      <c r="N528" t="e">
        <f>L528*F528</f>
        <v>#VALUE!</v>
      </c>
      <c r="O528" t="e">
        <f>L528*J528</f>
        <v>#VALUE!</v>
      </c>
      <c r="P528" t="e">
        <f>M528-N528-H528</f>
        <v>#VALUE!</v>
      </c>
      <c r="Q528" t="e">
        <f>P528/O528</f>
        <v>#VALUE!</v>
      </c>
      <c r="R528" t="e">
        <f>I528-G528</f>
        <v>#VALUE!</v>
      </c>
      <c r="S528" t="e">
        <f>Q528/R528</f>
        <v>#VALUE!</v>
      </c>
      <c r="T528" t="e">
        <f>S528*10000</f>
        <v>#VALUE!</v>
      </c>
    </row>
    <row r="529" spans="1:20" x14ac:dyDescent="0.3">
      <c r="A529" t="s">
        <v>55</v>
      </c>
      <c r="B529" t="s">
        <v>44</v>
      </c>
      <c r="E529" t="s">
        <v>33</v>
      </c>
      <c r="F529">
        <v>0.45065</v>
      </c>
      <c r="G529" t="s">
        <v>27</v>
      </c>
      <c r="H529" t="s">
        <v>27</v>
      </c>
      <c r="I529" t="s">
        <v>27</v>
      </c>
      <c r="J529">
        <v>63.617251160000002</v>
      </c>
      <c r="K529">
        <v>5.31</v>
      </c>
      <c r="L529" t="s">
        <v>27</v>
      </c>
      <c r="M529" t="s">
        <v>27</v>
      </c>
      <c r="N529" t="e">
        <f>L529*F529</f>
        <v>#VALUE!</v>
      </c>
      <c r="O529" t="e">
        <f>L529*J529</f>
        <v>#VALUE!</v>
      </c>
      <c r="P529" t="e">
        <f>M529-N529-H529</f>
        <v>#VALUE!</v>
      </c>
      <c r="Q529" t="e">
        <f>P529/O529</f>
        <v>#VALUE!</v>
      </c>
      <c r="R529" t="e">
        <f>I529-G529</f>
        <v>#VALUE!</v>
      </c>
      <c r="S529" t="e">
        <f>Q529/R529</f>
        <v>#VALUE!</v>
      </c>
      <c r="T529" t="e">
        <f>S529*10000</f>
        <v>#VALUE!</v>
      </c>
    </row>
    <row r="530" spans="1:20" x14ac:dyDescent="0.3">
      <c r="A530" t="s">
        <v>55</v>
      </c>
      <c r="B530" t="s">
        <v>44</v>
      </c>
      <c r="E530" t="s">
        <v>34</v>
      </c>
      <c r="F530">
        <v>0.45157999999999998</v>
      </c>
      <c r="G530" t="s">
        <v>27</v>
      </c>
      <c r="H530" t="s">
        <v>27</v>
      </c>
      <c r="I530" t="s">
        <v>27</v>
      </c>
      <c r="J530">
        <v>63.617251160000002</v>
      </c>
      <c r="K530">
        <v>5.31</v>
      </c>
      <c r="L530" t="s">
        <v>27</v>
      </c>
      <c r="M530" t="s">
        <v>27</v>
      </c>
      <c r="N530" t="e">
        <f>L530*F530</f>
        <v>#VALUE!</v>
      </c>
      <c r="O530" t="e">
        <f>L530*J530</f>
        <v>#VALUE!</v>
      </c>
      <c r="P530" t="e">
        <f>M530-N530-H530</f>
        <v>#VALUE!</v>
      </c>
      <c r="Q530" t="e">
        <f>P530/O530</f>
        <v>#VALUE!</v>
      </c>
      <c r="R530" t="e">
        <f>I530-G530</f>
        <v>#VALUE!</v>
      </c>
      <c r="S530" t="e">
        <f>Q530/R530</f>
        <v>#VALUE!</v>
      </c>
      <c r="T530" t="e">
        <f>S530*10000</f>
        <v>#VALUE!</v>
      </c>
    </row>
    <row r="531" spans="1:20" x14ac:dyDescent="0.3">
      <c r="A531" t="s">
        <v>55</v>
      </c>
      <c r="B531" t="s">
        <v>37</v>
      </c>
      <c r="C531">
        <v>1</v>
      </c>
      <c r="D531">
        <v>0.5</v>
      </c>
      <c r="E531" t="s">
        <v>47</v>
      </c>
      <c r="F531">
        <v>4.0248200000000001</v>
      </c>
      <c r="G531" s="1">
        <v>45933</v>
      </c>
      <c r="H531">
        <v>2.4165999999999999</v>
      </c>
      <c r="I531" s="1">
        <v>45967</v>
      </c>
      <c r="J531">
        <v>63.617251160000002</v>
      </c>
      <c r="K531">
        <v>5.31</v>
      </c>
      <c r="L531">
        <v>1</v>
      </c>
      <c r="M531">
        <v>6.5582500000000001</v>
      </c>
      <c r="N531">
        <f>L531*F531</f>
        <v>4.0248200000000001</v>
      </c>
      <c r="O531">
        <f>L531*J531</f>
        <v>63.617251160000002</v>
      </c>
      <c r="P531">
        <f>M531-N531-H531</f>
        <v>0.11683000000000021</v>
      </c>
      <c r="Q531">
        <f>P531/O531</f>
        <v>1.8364515578670314E-3</v>
      </c>
      <c r="R531">
        <f>I531-G531</f>
        <v>34</v>
      </c>
      <c r="S531">
        <f>Q531/R531</f>
        <v>5.4013281113736218E-5</v>
      </c>
      <c r="T531">
        <f>S531*10000</f>
        <v>0.54013281113736222</v>
      </c>
    </row>
    <row r="532" spans="1:20" x14ac:dyDescent="0.3">
      <c r="A532" t="s">
        <v>55</v>
      </c>
      <c r="B532" t="s">
        <v>37</v>
      </c>
      <c r="C532">
        <v>1</v>
      </c>
      <c r="D532">
        <v>0.5</v>
      </c>
      <c r="E532" t="s">
        <v>23</v>
      </c>
      <c r="F532">
        <v>4.1254200000000001</v>
      </c>
      <c r="G532" s="1">
        <v>45933</v>
      </c>
      <c r="H532">
        <v>2.3816000000000002</v>
      </c>
      <c r="I532" s="1">
        <v>45967</v>
      </c>
      <c r="J532">
        <v>63.617251160000002</v>
      </c>
      <c r="K532">
        <v>5.31</v>
      </c>
      <c r="L532">
        <v>1</v>
      </c>
      <c r="M532">
        <v>6.6095499999999996</v>
      </c>
      <c r="N532">
        <f>L532*F532</f>
        <v>4.1254200000000001</v>
      </c>
      <c r="O532">
        <f>L532*J532</f>
        <v>63.617251160000002</v>
      </c>
      <c r="P532">
        <f>M532-N532-H532</f>
        <v>0.10252999999999934</v>
      </c>
      <c r="Q532">
        <f>P532/O532</f>
        <v>1.6116697614320396E-3</v>
      </c>
      <c r="R532">
        <f>I532-G532</f>
        <v>34</v>
      </c>
      <c r="S532">
        <f>Q532/R532</f>
        <v>4.7402051806824697E-5</v>
      </c>
      <c r="T532">
        <f>S532*10000</f>
        <v>0.47402051806824697</v>
      </c>
    </row>
    <row r="533" spans="1:20" x14ac:dyDescent="0.3">
      <c r="A533" t="s">
        <v>55</v>
      </c>
      <c r="B533" t="s">
        <v>37</v>
      </c>
      <c r="C533">
        <v>1</v>
      </c>
      <c r="D533">
        <v>0.5</v>
      </c>
      <c r="E533" t="s">
        <v>24</v>
      </c>
      <c r="F533">
        <v>4.5061200000000001</v>
      </c>
      <c r="G533" s="1">
        <v>45933</v>
      </c>
      <c r="H533">
        <v>2.3831799999999999</v>
      </c>
      <c r="I533" s="1">
        <v>45967</v>
      </c>
      <c r="J533">
        <v>63.617251160000002</v>
      </c>
      <c r="K533">
        <v>5.31</v>
      </c>
      <c r="L533">
        <v>1</v>
      </c>
      <c r="M533">
        <v>6.9788600000000001</v>
      </c>
      <c r="N533">
        <f>L533*F533</f>
        <v>4.5061200000000001</v>
      </c>
      <c r="O533">
        <f>L533*J533</f>
        <v>63.617251160000002</v>
      </c>
      <c r="P533">
        <f>M533-N533-H533</f>
        <v>8.9560000000000084E-2</v>
      </c>
      <c r="Q533">
        <f>P533/O533</f>
        <v>1.4077942439662003E-3</v>
      </c>
      <c r="R533">
        <f>I533-G533</f>
        <v>34</v>
      </c>
      <c r="S533">
        <f>Q533/R533</f>
        <v>4.1405713057829417E-5</v>
      </c>
      <c r="T533">
        <f>S533*10000</f>
        <v>0.41405713057829419</v>
      </c>
    </row>
    <row r="534" spans="1:20" x14ac:dyDescent="0.3">
      <c r="A534" t="s">
        <v>55</v>
      </c>
      <c r="B534" t="s">
        <v>37</v>
      </c>
      <c r="C534">
        <v>1</v>
      </c>
      <c r="D534">
        <v>2</v>
      </c>
      <c r="E534" t="s">
        <v>47</v>
      </c>
      <c r="F534">
        <v>4.3083400000000003</v>
      </c>
      <c r="G534" s="1">
        <v>45933</v>
      </c>
      <c r="H534">
        <v>2.3680599999999998</v>
      </c>
      <c r="I534" s="1">
        <v>45967</v>
      </c>
      <c r="J534">
        <v>63.617251160000002</v>
      </c>
      <c r="K534">
        <v>5.31</v>
      </c>
      <c r="L534">
        <v>1</v>
      </c>
      <c r="M534">
        <v>6.9150999999999998</v>
      </c>
      <c r="N534">
        <f>L534*F534</f>
        <v>4.3083400000000003</v>
      </c>
      <c r="O534">
        <f>L534*J534</f>
        <v>63.617251160000002</v>
      </c>
      <c r="P534">
        <f>M534-N534-H534</f>
        <v>0.23869999999999969</v>
      </c>
      <c r="Q534">
        <f>P534/O534</f>
        <v>3.7521269097223232E-3</v>
      </c>
      <c r="R534">
        <f>I534-G534</f>
        <v>34</v>
      </c>
      <c r="S534">
        <f>Q534/R534</f>
        <v>1.1035667381536245E-4</v>
      </c>
      <c r="T534">
        <f>S534*10000</f>
        <v>1.1035667381536245</v>
      </c>
    </row>
    <row r="535" spans="1:20" x14ac:dyDescent="0.3">
      <c r="A535" t="s">
        <v>55</v>
      </c>
      <c r="B535" t="s">
        <v>37</v>
      </c>
      <c r="C535">
        <v>1</v>
      </c>
      <c r="D535">
        <v>2</v>
      </c>
      <c r="E535" t="s">
        <v>23</v>
      </c>
      <c r="F535">
        <v>4.2404700000000002</v>
      </c>
      <c r="G535" s="1">
        <v>45933</v>
      </c>
      <c r="H535">
        <v>2.3803999999999998</v>
      </c>
      <c r="I535" s="1">
        <v>45967</v>
      </c>
      <c r="J535">
        <v>63.617251160000002</v>
      </c>
      <c r="K535">
        <v>5.31</v>
      </c>
      <c r="L535">
        <v>1</v>
      </c>
      <c r="M535">
        <v>6.7500900000000001</v>
      </c>
      <c r="N535">
        <f>L535*F535</f>
        <v>4.2404700000000002</v>
      </c>
      <c r="O535">
        <f>L535*J535</f>
        <v>63.617251160000002</v>
      </c>
      <c r="P535">
        <f>M535-N535-H535</f>
        <v>0.12922000000000011</v>
      </c>
      <c r="Q535">
        <f>P535/O535</f>
        <v>2.0312100514215318E-3</v>
      </c>
      <c r="R535">
        <f>I535-G535</f>
        <v>34</v>
      </c>
      <c r="S535">
        <f>Q535/R535</f>
        <v>5.9741472100633288E-5</v>
      </c>
      <c r="T535">
        <f>S535*10000</f>
        <v>0.59741472100633286</v>
      </c>
    </row>
    <row r="536" spans="1:20" x14ac:dyDescent="0.3">
      <c r="A536" t="s">
        <v>55</v>
      </c>
      <c r="B536" t="s">
        <v>37</v>
      </c>
      <c r="C536">
        <v>1</v>
      </c>
      <c r="D536">
        <v>2</v>
      </c>
      <c r="E536" t="s">
        <v>24</v>
      </c>
      <c r="F536">
        <v>4.3733300000000002</v>
      </c>
      <c r="G536" s="1">
        <v>45933</v>
      </c>
      <c r="H536">
        <v>2.3608600000000002</v>
      </c>
      <c r="I536" s="1">
        <v>45967</v>
      </c>
      <c r="J536">
        <v>63.617251160000002</v>
      </c>
      <c r="K536">
        <v>5.31</v>
      </c>
      <c r="L536">
        <v>1</v>
      </c>
      <c r="M536">
        <v>6.8915499999999996</v>
      </c>
      <c r="N536">
        <f>L536*F536</f>
        <v>4.3733300000000002</v>
      </c>
      <c r="O536">
        <f>L536*J536</f>
        <v>63.617251160000002</v>
      </c>
      <c r="P536">
        <f>M536-N536-H536</f>
        <v>0.15735999999999928</v>
      </c>
      <c r="Q536">
        <f>P536/O536</f>
        <v>2.473542901189371E-3</v>
      </c>
      <c r="R536">
        <f>I536-G536</f>
        <v>34</v>
      </c>
      <c r="S536">
        <f>Q536/R536</f>
        <v>7.2751261799687379E-5</v>
      </c>
      <c r="T536">
        <f>S536*10000</f>
        <v>0.72751261799687383</v>
      </c>
    </row>
    <row r="537" spans="1:20" x14ac:dyDescent="0.3">
      <c r="A537" t="s">
        <v>55</v>
      </c>
      <c r="B537" t="s">
        <v>37</v>
      </c>
      <c r="C537">
        <v>1</v>
      </c>
      <c r="D537">
        <v>6</v>
      </c>
      <c r="E537" t="s">
        <v>47</v>
      </c>
      <c r="F537">
        <v>0.43642999999999998</v>
      </c>
      <c r="G537" s="1">
        <v>45933</v>
      </c>
      <c r="H537">
        <v>2.3707600000000002</v>
      </c>
      <c r="I537" s="1">
        <v>45967</v>
      </c>
      <c r="J537">
        <v>63.617251160000002</v>
      </c>
      <c r="K537">
        <v>5.31</v>
      </c>
      <c r="L537">
        <v>0.25</v>
      </c>
      <c r="M537">
        <v>2.9150399999999999</v>
      </c>
      <c r="N537">
        <f>L537*F537</f>
        <v>0.1091075</v>
      </c>
      <c r="O537">
        <f>L537*J537</f>
        <v>15.904312790000001</v>
      </c>
      <c r="P537">
        <f>M537-N537-H537</f>
        <v>0.43517249999999974</v>
      </c>
      <c r="Q537">
        <f>P537/O537</f>
        <v>2.7361917848699437E-2</v>
      </c>
      <c r="R537">
        <f>I537-G537</f>
        <v>34</v>
      </c>
      <c r="S537">
        <f>Q537/R537</f>
        <v>8.0476228966763048E-4</v>
      </c>
      <c r="T537">
        <f>S537*10000</f>
        <v>8.0476228966763053</v>
      </c>
    </row>
    <row r="538" spans="1:20" x14ac:dyDescent="0.3">
      <c r="A538" t="s">
        <v>55</v>
      </c>
      <c r="B538" t="s">
        <v>37</v>
      </c>
      <c r="C538">
        <v>1</v>
      </c>
      <c r="D538">
        <v>6</v>
      </c>
      <c r="E538" t="s">
        <v>23</v>
      </c>
      <c r="F538">
        <v>0.46007999999999999</v>
      </c>
      <c r="G538" s="1">
        <v>45933</v>
      </c>
      <c r="H538">
        <v>2.36138</v>
      </c>
      <c r="I538" s="1">
        <v>45967</v>
      </c>
      <c r="J538">
        <v>63.617251160000002</v>
      </c>
      <c r="K538">
        <v>5.31</v>
      </c>
      <c r="L538">
        <v>0.5</v>
      </c>
      <c r="M538" t="s">
        <v>27</v>
      </c>
      <c r="N538">
        <f>L538*F538</f>
        <v>0.23003999999999999</v>
      </c>
      <c r="O538">
        <f>L538*J538</f>
        <v>31.808625580000001</v>
      </c>
      <c r="P538" t="e">
        <f>M538-N538-H538</f>
        <v>#VALUE!</v>
      </c>
      <c r="Q538" t="e">
        <f>P538/O538</f>
        <v>#VALUE!</v>
      </c>
      <c r="R538">
        <f>I538-G538</f>
        <v>34</v>
      </c>
      <c r="S538" t="e">
        <f>Q538/R538</f>
        <v>#VALUE!</v>
      </c>
      <c r="T538" t="e">
        <f>S538*10000</f>
        <v>#VALUE!</v>
      </c>
    </row>
    <row r="539" spans="1:20" x14ac:dyDescent="0.3">
      <c r="A539" t="s">
        <v>55</v>
      </c>
      <c r="B539" t="s">
        <v>37</v>
      </c>
      <c r="C539">
        <v>1</v>
      </c>
      <c r="D539">
        <v>6</v>
      </c>
      <c r="E539" t="s">
        <v>24</v>
      </c>
      <c r="F539">
        <v>0.43558000000000002</v>
      </c>
      <c r="G539" s="1">
        <v>45933</v>
      </c>
      <c r="H539">
        <v>2.7249099999999999</v>
      </c>
      <c r="I539" s="1">
        <v>45967</v>
      </c>
      <c r="J539">
        <v>63.617251160000002</v>
      </c>
      <c r="K539">
        <v>5.31</v>
      </c>
      <c r="L539">
        <v>1</v>
      </c>
      <c r="M539">
        <v>4.2810499999999996</v>
      </c>
      <c r="N539">
        <f>L539*F539</f>
        <v>0.43558000000000002</v>
      </c>
      <c r="O539">
        <f>L539*J539</f>
        <v>63.617251160000002</v>
      </c>
      <c r="P539">
        <f>M539-N539-H539</f>
        <v>1.1205599999999998</v>
      </c>
      <c r="Q539">
        <f>P539/O539</f>
        <v>1.7614090196725812E-2</v>
      </c>
      <c r="R539">
        <f>I539-G539</f>
        <v>34</v>
      </c>
      <c r="S539">
        <f>Q539/R539</f>
        <v>5.1806147637428854E-4</v>
      </c>
      <c r="T539">
        <f>S539*10000</f>
        <v>5.1806147637428852</v>
      </c>
    </row>
    <row r="540" spans="1:20" x14ac:dyDescent="0.3">
      <c r="A540" t="s">
        <v>55</v>
      </c>
      <c r="B540" t="s">
        <v>37</v>
      </c>
      <c r="C540">
        <v>1</v>
      </c>
      <c r="D540">
        <v>12</v>
      </c>
      <c r="E540" t="s">
        <v>47</v>
      </c>
      <c r="F540">
        <v>0.44080999999999998</v>
      </c>
      <c r="G540" s="1">
        <v>45933</v>
      </c>
      <c r="H540">
        <v>2.37134</v>
      </c>
      <c r="I540" s="1">
        <v>45967</v>
      </c>
      <c r="J540">
        <v>63.617251160000002</v>
      </c>
      <c r="K540">
        <v>5.31</v>
      </c>
      <c r="L540">
        <v>1</v>
      </c>
      <c r="M540">
        <v>3.1453600000000002</v>
      </c>
      <c r="N540">
        <f>L540*F540</f>
        <v>0.44080999999999998</v>
      </c>
      <c r="O540">
        <f>L540*J540</f>
        <v>63.617251160000002</v>
      </c>
      <c r="P540">
        <f>M540-N540-H540</f>
        <v>0.33321000000000023</v>
      </c>
      <c r="Q540">
        <f>P540/O540</f>
        <v>5.2377302370698693E-3</v>
      </c>
      <c r="R540">
        <f>I540-G540</f>
        <v>34</v>
      </c>
      <c r="S540">
        <f>Q540/R540</f>
        <v>1.540508893255844E-4</v>
      </c>
      <c r="T540">
        <f>S540*10000</f>
        <v>1.5405088932558439</v>
      </c>
    </row>
    <row r="541" spans="1:20" x14ac:dyDescent="0.3">
      <c r="A541" t="s">
        <v>55</v>
      </c>
      <c r="B541" t="s">
        <v>37</v>
      </c>
      <c r="C541">
        <v>1</v>
      </c>
      <c r="D541">
        <v>12</v>
      </c>
      <c r="E541" t="s">
        <v>23</v>
      </c>
      <c r="F541">
        <v>0.45274999999999999</v>
      </c>
      <c r="G541" s="1">
        <v>45933</v>
      </c>
      <c r="H541">
        <v>2.3679399999999999</v>
      </c>
      <c r="I541" s="1">
        <v>45967</v>
      </c>
      <c r="J541">
        <v>63.617251160000002</v>
      </c>
      <c r="K541">
        <v>5.31</v>
      </c>
      <c r="L541">
        <v>1</v>
      </c>
      <c r="M541">
        <v>3.1039400000000001</v>
      </c>
      <c r="N541">
        <f>L541*F541</f>
        <v>0.45274999999999999</v>
      </c>
      <c r="O541">
        <f>L541*J541</f>
        <v>63.617251160000002</v>
      </c>
      <c r="P541">
        <f>M541-N541-H541</f>
        <v>0.28325000000000022</v>
      </c>
      <c r="Q541">
        <f>P541/O541</f>
        <v>4.4524086601543788E-3</v>
      </c>
      <c r="R541">
        <f>I541-G541</f>
        <v>34</v>
      </c>
      <c r="S541">
        <f>Q541/R541</f>
        <v>1.3095319588689349E-4</v>
      </c>
      <c r="T541">
        <f>S541*10000</f>
        <v>1.3095319588689349</v>
      </c>
    </row>
    <row r="542" spans="1:20" x14ac:dyDescent="0.3">
      <c r="A542" t="s">
        <v>55</v>
      </c>
      <c r="B542" t="s">
        <v>37</v>
      </c>
      <c r="C542">
        <v>1</v>
      </c>
      <c r="D542">
        <v>12</v>
      </c>
      <c r="E542" t="s">
        <v>24</v>
      </c>
      <c r="F542">
        <v>0.44030999999999998</v>
      </c>
      <c r="G542" s="1">
        <v>45933</v>
      </c>
      <c r="H542">
        <v>2.7351800000000002</v>
      </c>
      <c r="I542" s="1">
        <v>45967</v>
      </c>
      <c r="J542">
        <v>63.617251160000002</v>
      </c>
      <c r="K542">
        <v>5.31</v>
      </c>
      <c r="L542">
        <v>1</v>
      </c>
      <c r="M542">
        <v>3.3713000000000002</v>
      </c>
      <c r="N542">
        <f>L542*F542</f>
        <v>0.44030999999999998</v>
      </c>
      <c r="O542">
        <f>L542*J542</f>
        <v>63.617251160000002</v>
      </c>
      <c r="P542">
        <f>M542-N542-H542</f>
        <v>0.19581000000000026</v>
      </c>
      <c r="Q542">
        <f>P542/O542</f>
        <v>3.0779387104848347E-3</v>
      </c>
      <c r="R542">
        <f>I542-G542</f>
        <v>34</v>
      </c>
      <c r="S542">
        <f>Q542/R542</f>
        <v>9.0527609131906898E-5</v>
      </c>
      <c r="T542">
        <f>S542*10000</f>
        <v>0.90527609131906894</v>
      </c>
    </row>
    <row r="543" spans="1:20" x14ac:dyDescent="0.3">
      <c r="A543" t="s">
        <v>55</v>
      </c>
      <c r="B543" t="s">
        <v>37</v>
      </c>
      <c r="C543">
        <v>1</v>
      </c>
      <c r="D543">
        <v>24</v>
      </c>
      <c r="E543" t="s">
        <v>22</v>
      </c>
      <c r="F543">
        <v>0.45849000000000001</v>
      </c>
      <c r="G543" s="1">
        <v>45933</v>
      </c>
      <c r="H543">
        <v>2.3302499999999999</v>
      </c>
      <c r="I543" s="1">
        <v>45967</v>
      </c>
      <c r="J543">
        <v>63.617251160000002</v>
      </c>
      <c r="K543">
        <v>5.31</v>
      </c>
      <c r="L543">
        <v>1</v>
      </c>
      <c r="M543">
        <v>3.6372399999999998</v>
      </c>
      <c r="N543">
        <f>L543*F543</f>
        <v>0.45849000000000001</v>
      </c>
      <c r="O543">
        <f>L543*J543</f>
        <v>63.617251160000002</v>
      </c>
      <c r="P543">
        <f>M543-N543-H543</f>
        <v>0.84850000000000003</v>
      </c>
      <c r="Q543">
        <f>P543/O543</f>
        <v>1.3337577222033496E-2</v>
      </c>
      <c r="R543">
        <f>I543-G543</f>
        <v>34</v>
      </c>
      <c r="S543">
        <f>Q543/R543</f>
        <v>3.9228168300098516E-4</v>
      </c>
      <c r="T543">
        <f>S543*10000</f>
        <v>3.9228168300098516</v>
      </c>
    </row>
    <row r="544" spans="1:20" x14ac:dyDescent="0.3">
      <c r="A544" t="s">
        <v>55</v>
      </c>
      <c r="B544" t="s">
        <v>37</v>
      </c>
      <c r="C544">
        <v>1</v>
      </c>
      <c r="D544">
        <v>24</v>
      </c>
      <c r="E544" t="s">
        <v>23</v>
      </c>
      <c r="F544">
        <v>0.43543999999999999</v>
      </c>
      <c r="G544" s="1">
        <v>45933</v>
      </c>
      <c r="H544">
        <v>2.33982</v>
      </c>
      <c r="I544" s="1">
        <v>45967</v>
      </c>
      <c r="J544">
        <v>63.617251160000002</v>
      </c>
      <c r="K544">
        <v>5.31</v>
      </c>
      <c r="L544">
        <v>1</v>
      </c>
      <c r="M544">
        <v>3.98692</v>
      </c>
      <c r="N544">
        <f>L544*F544</f>
        <v>0.43543999999999999</v>
      </c>
      <c r="O544">
        <f>L544*J544</f>
        <v>63.617251160000002</v>
      </c>
      <c r="P544">
        <f>M544-N544-H544</f>
        <v>1.2116600000000002</v>
      </c>
      <c r="Q544">
        <f>P544/O544</f>
        <v>1.9046091711077323E-2</v>
      </c>
      <c r="R544">
        <f>I544-G544</f>
        <v>34</v>
      </c>
      <c r="S544">
        <f>Q544/R544</f>
        <v>5.6017916797286246E-4</v>
      </c>
      <c r="T544">
        <f>S544*10000</f>
        <v>5.6017916797286249</v>
      </c>
    </row>
    <row r="545" spans="1:20" x14ac:dyDescent="0.3">
      <c r="A545" t="s">
        <v>55</v>
      </c>
      <c r="B545" t="s">
        <v>37</v>
      </c>
      <c r="C545">
        <v>1</v>
      </c>
      <c r="D545">
        <v>24</v>
      </c>
      <c r="E545" t="s">
        <v>24</v>
      </c>
      <c r="F545">
        <v>0.45923999999999998</v>
      </c>
      <c r="G545" s="1">
        <v>45933</v>
      </c>
      <c r="H545">
        <v>2.3429500000000001</v>
      </c>
      <c r="I545" s="1">
        <v>45967</v>
      </c>
      <c r="J545">
        <v>63.617251160000002</v>
      </c>
      <c r="K545">
        <v>5.31</v>
      </c>
      <c r="L545">
        <v>1</v>
      </c>
      <c r="M545">
        <v>3.6731500000000001</v>
      </c>
      <c r="N545">
        <f>L545*F545</f>
        <v>0.45923999999999998</v>
      </c>
      <c r="O545">
        <f>L545*J545</f>
        <v>63.617251160000002</v>
      </c>
      <c r="P545">
        <f>M545-N545-H545</f>
        <v>0.87096000000000018</v>
      </c>
      <c r="Q545">
        <f>P545/O545</f>
        <v>1.3690626113497107E-2</v>
      </c>
      <c r="R545">
        <f>I545-G545</f>
        <v>34</v>
      </c>
      <c r="S545">
        <f>Q545/R545</f>
        <v>4.0266547392638552E-4</v>
      </c>
      <c r="T545">
        <f>S545*10000</f>
        <v>4.0266547392638552</v>
      </c>
    </row>
    <row r="546" spans="1:20" x14ac:dyDescent="0.3">
      <c r="A546" t="s">
        <v>55</v>
      </c>
      <c r="B546" t="s">
        <v>37</v>
      </c>
      <c r="C546">
        <v>1</v>
      </c>
      <c r="D546">
        <v>48</v>
      </c>
      <c r="E546" t="s">
        <v>47</v>
      </c>
      <c r="F546">
        <v>0.43625000000000003</v>
      </c>
      <c r="G546" s="1">
        <v>45933</v>
      </c>
      <c r="H546">
        <v>2.3408199999999999</v>
      </c>
      <c r="I546" s="1">
        <v>45967</v>
      </c>
      <c r="J546">
        <v>63.617251160000002</v>
      </c>
      <c r="K546">
        <v>5.31</v>
      </c>
      <c r="L546">
        <v>1</v>
      </c>
      <c r="M546">
        <v>4.1132</v>
      </c>
      <c r="N546">
        <f>L546*F546</f>
        <v>0.43625000000000003</v>
      </c>
      <c r="O546">
        <f>L546*J546</f>
        <v>63.617251160000002</v>
      </c>
      <c r="P546">
        <f>M546-N546-H546</f>
        <v>1.3361299999999998</v>
      </c>
      <c r="Q546">
        <f>P546/O546</f>
        <v>2.1002636480466248E-2</v>
      </c>
      <c r="R546">
        <f>I546-G546</f>
        <v>34</v>
      </c>
      <c r="S546">
        <f>Q546/R546</f>
        <v>6.1772460236665433E-4</v>
      </c>
      <c r="T546">
        <f>S546*10000</f>
        <v>6.1772460236665436</v>
      </c>
    </row>
    <row r="547" spans="1:20" x14ac:dyDescent="0.3">
      <c r="A547" t="s">
        <v>55</v>
      </c>
      <c r="B547" t="s">
        <v>37</v>
      </c>
      <c r="C547">
        <v>1</v>
      </c>
      <c r="D547">
        <v>48</v>
      </c>
      <c r="E547" t="s">
        <v>23</v>
      </c>
      <c r="F547">
        <v>0.44128000000000001</v>
      </c>
      <c r="G547" s="1">
        <v>45933</v>
      </c>
      <c r="H547">
        <v>2.30382</v>
      </c>
      <c r="I547" s="1">
        <v>45967</v>
      </c>
      <c r="J547">
        <v>63.617251160000002</v>
      </c>
      <c r="K547">
        <v>5.31</v>
      </c>
      <c r="L547">
        <v>1</v>
      </c>
      <c r="M547">
        <v>4.4922899999999997</v>
      </c>
      <c r="N547">
        <f>L547*F547</f>
        <v>0.44128000000000001</v>
      </c>
      <c r="O547">
        <f>L547*J547</f>
        <v>63.617251160000002</v>
      </c>
      <c r="P547">
        <f>M547-N547-H547</f>
        <v>1.7471899999999998</v>
      </c>
      <c r="Q547">
        <f>P547/O547</f>
        <v>2.7464091392533529E-2</v>
      </c>
      <c r="R547">
        <f>I547-G547</f>
        <v>34</v>
      </c>
      <c r="S547">
        <f>Q547/R547</f>
        <v>8.0776739389804497E-4</v>
      </c>
      <c r="T547">
        <f>S547*10000</f>
        <v>8.0776739389804497</v>
      </c>
    </row>
    <row r="548" spans="1:20" x14ac:dyDescent="0.3">
      <c r="A548" t="s">
        <v>55</v>
      </c>
      <c r="B548" t="s">
        <v>37</v>
      </c>
      <c r="C548">
        <v>1</v>
      </c>
      <c r="D548">
        <v>48</v>
      </c>
      <c r="E548" t="s">
        <v>24</v>
      </c>
      <c r="F548">
        <v>0.45343</v>
      </c>
      <c r="G548" s="1">
        <v>45933</v>
      </c>
      <c r="H548">
        <v>2.3349799999999998</v>
      </c>
      <c r="I548" s="1">
        <v>45967</v>
      </c>
      <c r="J548">
        <v>63.617251160000002</v>
      </c>
      <c r="K548">
        <v>5.31</v>
      </c>
      <c r="L548">
        <v>1</v>
      </c>
      <c r="M548">
        <v>4.9069900000000004</v>
      </c>
      <c r="N548">
        <f>L548*F548</f>
        <v>0.45343</v>
      </c>
      <c r="O548">
        <f>L548*J548</f>
        <v>63.617251160000002</v>
      </c>
      <c r="P548">
        <f>M548-N548-H548</f>
        <v>2.1185800000000006</v>
      </c>
      <c r="Q548">
        <f>P548/O548</f>
        <v>3.3301973307078056E-2</v>
      </c>
      <c r="R548">
        <f>I548-G548</f>
        <v>34</v>
      </c>
      <c r="S548">
        <f>Q548/R548</f>
        <v>9.7946980314935449E-4</v>
      </c>
      <c r="T548">
        <f>S548*10000</f>
        <v>9.7946980314935441</v>
      </c>
    </row>
    <row r="549" spans="1:20" x14ac:dyDescent="0.3">
      <c r="A549" t="s">
        <v>55</v>
      </c>
      <c r="B549" t="s">
        <v>37</v>
      </c>
      <c r="C549">
        <v>2</v>
      </c>
      <c r="D549">
        <v>0.5</v>
      </c>
      <c r="E549" t="s">
        <v>47</v>
      </c>
      <c r="F549">
        <v>4.2622</v>
      </c>
      <c r="G549" s="1">
        <v>45933</v>
      </c>
      <c r="H549">
        <v>2.3767800000000001</v>
      </c>
      <c r="I549" s="1">
        <v>45967</v>
      </c>
      <c r="J549">
        <v>63.617251160000002</v>
      </c>
      <c r="K549">
        <v>5.31</v>
      </c>
      <c r="L549">
        <v>1</v>
      </c>
      <c r="M549">
        <v>6.66568</v>
      </c>
      <c r="N549">
        <f>L549*F549</f>
        <v>4.2622</v>
      </c>
      <c r="O549">
        <f>L549*J549</f>
        <v>63.617251160000002</v>
      </c>
      <c r="P549">
        <f>M549-N549-H549</f>
        <v>2.6699999999999946E-2</v>
      </c>
      <c r="Q549">
        <f>P549/O549</f>
        <v>4.1969748005691644E-4</v>
      </c>
      <c r="R549">
        <f>I549-G549</f>
        <v>34</v>
      </c>
      <c r="S549">
        <f>Q549/R549</f>
        <v>1.2344043531085777E-5</v>
      </c>
      <c r="T549">
        <f>S549*10000</f>
        <v>0.12344043531085777</v>
      </c>
    </row>
    <row r="550" spans="1:20" x14ac:dyDescent="0.3">
      <c r="A550" t="s">
        <v>55</v>
      </c>
      <c r="B550" t="s">
        <v>37</v>
      </c>
      <c r="C550">
        <v>2</v>
      </c>
      <c r="D550">
        <v>0.5</v>
      </c>
      <c r="E550" t="s">
        <v>23</v>
      </c>
      <c r="F550">
        <v>4.36564</v>
      </c>
      <c r="G550" s="1">
        <v>45933</v>
      </c>
      <c r="H550">
        <v>2.3837899999999999</v>
      </c>
      <c r="I550" s="1">
        <v>45967</v>
      </c>
      <c r="J550">
        <v>63.617251160000002</v>
      </c>
      <c r="K550">
        <v>5.31</v>
      </c>
      <c r="L550">
        <v>1</v>
      </c>
      <c r="M550">
        <v>6.7680100000000003</v>
      </c>
      <c r="N550">
        <f>L550*F550</f>
        <v>4.36564</v>
      </c>
      <c r="O550">
        <f>L550*J550</f>
        <v>63.617251160000002</v>
      </c>
      <c r="P550">
        <f>M550-N550-H550</f>
        <v>1.8580000000000485E-2</v>
      </c>
      <c r="Q550">
        <f>P550/O550</f>
        <v>2.9205914529804221E-4</v>
      </c>
      <c r="R550">
        <f>I550-G550</f>
        <v>34</v>
      </c>
      <c r="S550">
        <f>Q550/R550</f>
        <v>8.5899748617071235E-6</v>
      </c>
      <c r="T550">
        <f>S550*10000</f>
        <v>8.5899748617071239E-2</v>
      </c>
    </row>
    <row r="551" spans="1:20" x14ac:dyDescent="0.3">
      <c r="A551" t="s">
        <v>55</v>
      </c>
      <c r="B551" t="s">
        <v>37</v>
      </c>
      <c r="C551">
        <v>2</v>
      </c>
      <c r="D551">
        <v>0.5</v>
      </c>
      <c r="E551" t="s">
        <v>24</v>
      </c>
      <c r="F551">
        <v>4.1698300000000001</v>
      </c>
      <c r="G551" s="1">
        <v>45933</v>
      </c>
      <c r="H551">
        <v>2.38083</v>
      </c>
      <c r="I551" s="1">
        <v>45967</v>
      </c>
      <c r="J551">
        <v>63.617251160000002</v>
      </c>
      <c r="K551">
        <v>5.31</v>
      </c>
      <c r="L551">
        <v>1</v>
      </c>
      <c r="M551">
        <v>6.5526999999999997</v>
      </c>
      <c r="N551">
        <f>L551*F551</f>
        <v>4.1698300000000001</v>
      </c>
      <c r="O551">
        <f>L551*J551</f>
        <v>63.617251160000002</v>
      </c>
      <c r="P551">
        <f>M551-N551-H551</f>
        <v>2.0399999999995977E-3</v>
      </c>
      <c r="Q551">
        <f>P551/O551</f>
        <v>3.2066773757151403E-5</v>
      </c>
      <c r="R551">
        <f>I551-G551</f>
        <v>34</v>
      </c>
      <c r="S551">
        <f>Q551/R551</f>
        <v>9.4314040462210012E-7</v>
      </c>
      <c r="T551">
        <f>S551*10000</f>
        <v>9.4314040462210019E-3</v>
      </c>
    </row>
    <row r="552" spans="1:20" x14ac:dyDescent="0.3">
      <c r="A552" t="s">
        <v>55</v>
      </c>
      <c r="B552" t="s">
        <v>37</v>
      </c>
      <c r="C552">
        <v>2</v>
      </c>
      <c r="D552">
        <v>2</v>
      </c>
      <c r="E552" t="s">
        <v>47</v>
      </c>
      <c r="F552">
        <v>4.2348999999999997</v>
      </c>
      <c r="G552" s="1">
        <v>45933</v>
      </c>
      <c r="H552">
        <v>2.40442</v>
      </c>
      <c r="I552" s="1">
        <v>45967</v>
      </c>
      <c r="J552">
        <v>63.617251160000002</v>
      </c>
      <c r="K552">
        <v>5.31</v>
      </c>
      <c r="L552">
        <v>1</v>
      </c>
      <c r="M552">
        <v>6.7002199999999998</v>
      </c>
      <c r="N552">
        <f>L552*F552</f>
        <v>4.2348999999999997</v>
      </c>
      <c r="O552">
        <f>L552*J552</f>
        <v>63.617251160000002</v>
      </c>
      <c r="P552">
        <f>M552-N552-H552</f>
        <v>6.0900000000000176E-2</v>
      </c>
      <c r="Q552">
        <f>P552/O552</f>
        <v>9.5728751069162313E-4</v>
      </c>
      <c r="R552">
        <f>I552-G552</f>
        <v>34</v>
      </c>
      <c r="S552">
        <f>Q552/R552</f>
        <v>2.8155515020341858E-5</v>
      </c>
      <c r="T552">
        <f>S552*10000</f>
        <v>0.28155515020341859</v>
      </c>
    </row>
    <row r="553" spans="1:20" x14ac:dyDescent="0.3">
      <c r="A553" t="s">
        <v>55</v>
      </c>
      <c r="B553" t="s">
        <v>37</v>
      </c>
      <c r="C553">
        <v>2</v>
      </c>
      <c r="D553">
        <v>2</v>
      </c>
      <c r="E553" t="s">
        <v>23</v>
      </c>
      <c r="F553">
        <v>4.2348400000000002</v>
      </c>
      <c r="G553" s="1">
        <v>45933</v>
      </c>
      <c r="H553">
        <v>2.09646</v>
      </c>
      <c r="I553" s="1">
        <v>45967</v>
      </c>
      <c r="J553">
        <v>63.617251160000002</v>
      </c>
      <c r="K553">
        <v>5.31</v>
      </c>
      <c r="L553">
        <v>1</v>
      </c>
      <c r="M553">
        <v>6.3791700000000002</v>
      </c>
      <c r="N553">
        <f>L553*F553</f>
        <v>4.2348400000000002</v>
      </c>
      <c r="O553">
        <f>L553*J553</f>
        <v>63.617251160000002</v>
      </c>
      <c r="P553">
        <f>M553-N553-H553</f>
        <v>4.7870000000000079E-2</v>
      </c>
      <c r="Q553">
        <f>P553/O553</f>
        <v>7.524688528211485E-4</v>
      </c>
      <c r="R553">
        <f>I553-G553</f>
        <v>34</v>
      </c>
      <c r="S553">
        <f>Q553/R553</f>
        <v>2.2131436847680837E-5</v>
      </c>
      <c r="T553">
        <f>S553*10000</f>
        <v>0.22131436847680838</v>
      </c>
    </row>
    <row r="554" spans="1:20" x14ac:dyDescent="0.3">
      <c r="A554" t="s">
        <v>55</v>
      </c>
      <c r="B554" t="s">
        <v>37</v>
      </c>
      <c r="C554">
        <v>2</v>
      </c>
      <c r="D554">
        <v>2</v>
      </c>
      <c r="E554" t="s">
        <v>24</v>
      </c>
      <c r="F554">
        <v>4.2447400000000002</v>
      </c>
      <c r="G554" s="1">
        <v>45933</v>
      </c>
      <c r="H554">
        <v>2.06793</v>
      </c>
      <c r="I554" s="1">
        <v>45967</v>
      </c>
      <c r="J554">
        <v>63.617251160000002</v>
      </c>
      <c r="K554">
        <v>5.31</v>
      </c>
      <c r="L554">
        <v>1</v>
      </c>
      <c r="M554">
        <v>6.3893000000000004</v>
      </c>
      <c r="N554">
        <f>L554*F554</f>
        <v>4.2447400000000002</v>
      </c>
      <c r="O554">
        <f>L554*J554</f>
        <v>63.617251160000002</v>
      </c>
      <c r="P554">
        <f>M554-N554-H554</f>
        <v>7.6630000000000198E-2</v>
      </c>
      <c r="Q554">
        <f>P554/O554</f>
        <v>1.2045474867700995E-3</v>
      </c>
      <c r="R554">
        <f>I554-G554</f>
        <v>34</v>
      </c>
      <c r="S554">
        <f>Q554/R554</f>
        <v>3.5427867257944101E-5</v>
      </c>
      <c r="T554">
        <f>S554*10000</f>
        <v>0.35427867257944101</v>
      </c>
    </row>
    <row r="555" spans="1:20" x14ac:dyDescent="0.3">
      <c r="A555" t="s">
        <v>55</v>
      </c>
      <c r="B555" t="s">
        <v>37</v>
      </c>
      <c r="C555">
        <v>2</v>
      </c>
      <c r="D555">
        <v>6</v>
      </c>
      <c r="E555" t="s">
        <v>47</v>
      </c>
      <c r="F555">
        <v>0.44220999999999999</v>
      </c>
      <c r="G555" s="1">
        <v>45933</v>
      </c>
      <c r="H555">
        <v>2.06765</v>
      </c>
      <c r="I555" s="1">
        <v>45967</v>
      </c>
      <c r="J555">
        <v>63.617251160000002</v>
      </c>
      <c r="K555">
        <v>5.31</v>
      </c>
      <c r="L555">
        <v>1</v>
      </c>
      <c r="M555">
        <v>2.8619300000000001</v>
      </c>
      <c r="N555">
        <f>L555*F555</f>
        <v>0.44220999999999999</v>
      </c>
      <c r="O555">
        <f>L555*J555</f>
        <v>63.617251160000002</v>
      </c>
      <c r="P555">
        <f>M555-N555-H555</f>
        <v>0.35206999999999988</v>
      </c>
      <c r="Q555">
        <f>P555/O555</f>
        <v>5.5341907042561356E-3</v>
      </c>
      <c r="R555">
        <f>I555-G555</f>
        <v>34</v>
      </c>
      <c r="S555">
        <f>Q555/R555</f>
        <v>1.6277031483106282E-4</v>
      </c>
      <c r="T555">
        <f>S555*10000</f>
        <v>1.6277031483106281</v>
      </c>
    </row>
    <row r="556" spans="1:20" x14ac:dyDescent="0.3">
      <c r="A556" t="s">
        <v>55</v>
      </c>
      <c r="B556" t="s">
        <v>37</v>
      </c>
      <c r="C556">
        <v>2</v>
      </c>
      <c r="D556">
        <v>6</v>
      </c>
      <c r="E556" t="s">
        <v>23</v>
      </c>
      <c r="F556">
        <v>0.45294000000000001</v>
      </c>
      <c r="G556" s="1">
        <v>45933</v>
      </c>
      <c r="H556">
        <v>2.1105999999999998</v>
      </c>
      <c r="I556" s="1">
        <v>45967</v>
      </c>
      <c r="J556">
        <v>63.617251160000002</v>
      </c>
      <c r="K556">
        <v>5.31</v>
      </c>
      <c r="L556">
        <v>1</v>
      </c>
      <c r="M556">
        <v>3.01085</v>
      </c>
      <c r="N556">
        <f>L556*F556</f>
        <v>0.45294000000000001</v>
      </c>
      <c r="O556">
        <f>L556*J556</f>
        <v>63.617251160000002</v>
      </c>
      <c r="P556">
        <f>M556-N556-H556</f>
        <v>0.44731000000000032</v>
      </c>
      <c r="Q556">
        <f>P556/O556</f>
        <v>7.0312689065265849E-3</v>
      </c>
      <c r="R556">
        <f>I556-G556</f>
        <v>34</v>
      </c>
      <c r="S556">
        <f>Q556/R556</f>
        <v>2.0680202666254662E-4</v>
      </c>
      <c r="T556">
        <f>S556*10000</f>
        <v>2.0680202666254663</v>
      </c>
    </row>
    <row r="557" spans="1:20" x14ac:dyDescent="0.3">
      <c r="A557" t="s">
        <v>55</v>
      </c>
      <c r="B557" t="s">
        <v>37</v>
      </c>
      <c r="C557">
        <v>2</v>
      </c>
      <c r="D557">
        <v>6</v>
      </c>
      <c r="E557" t="s">
        <v>24</v>
      </c>
      <c r="F557">
        <v>0.44058999999999998</v>
      </c>
      <c r="G557" s="1">
        <v>45933</v>
      </c>
      <c r="H557">
        <v>2.0895000000000001</v>
      </c>
      <c r="I557" s="1">
        <v>45967</v>
      </c>
      <c r="J557">
        <v>63.617251160000002</v>
      </c>
      <c r="K557">
        <v>5.31</v>
      </c>
      <c r="L557">
        <v>1</v>
      </c>
      <c r="M557">
        <v>2.6976300000000002</v>
      </c>
      <c r="N557">
        <f>L557*F557</f>
        <v>0.44058999999999998</v>
      </c>
      <c r="O557">
        <f>L557*J557</f>
        <v>63.617251160000002</v>
      </c>
      <c r="P557">
        <f>M557-N557-H557</f>
        <v>0.16754000000000024</v>
      </c>
      <c r="Q557">
        <f>P557/O557</f>
        <v>2.6335623898403005E-3</v>
      </c>
      <c r="R557">
        <f>I557-G557</f>
        <v>34</v>
      </c>
      <c r="S557">
        <f>Q557/R557</f>
        <v>7.7457717348244134E-5</v>
      </c>
      <c r="T557">
        <f>S557*10000</f>
        <v>0.77457717348244137</v>
      </c>
    </row>
    <row r="558" spans="1:20" x14ac:dyDescent="0.3">
      <c r="A558" t="s">
        <v>55</v>
      </c>
      <c r="B558" t="s">
        <v>37</v>
      </c>
      <c r="C558">
        <v>2</v>
      </c>
      <c r="D558">
        <v>12</v>
      </c>
      <c r="E558" t="s">
        <v>47</v>
      </c>
      <c r="F558">
        <v>0.45243</v>
      </c>
      <c r="G558" s="1">
        <v>45933</v>
      </c>
      <c r="H558">
        <v>2.0854200000000001</v>
      </c>
      <c r="I558" s="1">
        <v>45967</v>
      </c>
      <c r="J558">
        <v>63.617251160000002</v>
      </c>
      <c r="K558">
        <v>5.31</v>
      </c>
      <c r="L558">
        <v>1</v>
      </c>
      <c r="M558">
        <v>2.7782900000000001</v>
      </c>
      <c r="N558">
        <f>L558*F558</f>
        <v>0.45243</v>
      </c>
      <c r="O558">
        <f>L558*J558</f>
        <v>63.617251160000002</v>
      </c>
      <c r="P558">
        <f>M558-N558-H558</f>
        <v>0.24043999999999999</v>
      </c>
      <c r="Q558">
        <f>P558/O558</f>
        <v>3.7794779814563743E-3</v>
      </c>
      <c r="R558">
        <f>I558-G558</f>
        <v>34</v>
      </c>
      <c r="S558">
        <f>Q558/R558</f>
        <v>1.1116111710165807E-4</v>
      </c>
      <c r="T558">
        <f>S558*10000</f>
        <v>1.1116111710165808</v>
      </c>
    </row>
    <row r="559" spans="1:20" x14ac:dyDescent="0.3">
      <c r="A559" t="s">
        <v>55</v>
      </c>
      <c r="B559" t="s">
        <v>37</v>
      </c>
      <c r="C559">
        <v>2</v>
      </c>
      <c r="D559">
        <v>12</v>
      </c>
      <c r="E559" t="s">
        <v>23</v>
      </c>
      <c r="F559">
        <v>0.44034000000000001</v>
      </c>
      <c r="G559" s="1">
        <v>45933</v>
      </c>
      <c r="H559">
        <v>2.0811500000000001</v>
      </c>
      <c r="I559" s="1">
        <v>45967</v>
      </c>
      <c r="J559">
        <v>63.617251160000002</v>
      </c>
      <c r="K559">
        <v>5.31</v>
      </c>
      <c r="L559">
        <v>1</v>
      </c>
      <c r="M559">
        <v>2.66927</v>
      </c>
      <c r="N559">
        <f>L559*F559</f>
        <v>0.44034000000000001</v>
      </c>
      <c r="O559">
        <f>L559*J559</f>
        <v>63.617251160000002</v>
      </c>
      <c r="P559">
        <f>M559-N559-H559</f>
        <v>0.14778000000000002</v>
      </c>
      <c r="Q559">
        <f>P559/O559</f>
        <v>2.3229548165846908E-3</v>
      </c>
      <c r="R559">
        <f>I559-G559</f>
        <v>34</v>
      </c>
      <c r="S559">
        <f>Q559/R559</f>
        <v>6.8322200487785025E-5</v>
      </c>
      <c r="T559">
        <f>S559*10000</f>
        <v>0.68322200487785023</v>
      </c>
    </row>
    <row r="560" spans="1:20" x14ac:dyDescent="0.3">
      <c r="A560" t="s">
        <v>55</v>
      </c>
      <c r="B560" t="s">
        <v>37</v>
      </c>
      <c r="C560">
        <v>2</v>
      </c>
      <c r="D560">
        <v>12</v>
      </c>
      <c r="E560" t="s">
        <v>24</v>
      </c>
      <c r="F560">
        <v>0.44044</v>
      </c>
      <c r="G560" s="1">
        <v>45933</v>
      </c>
      <c r="H560">
        <v>2.1021299999999998</v>
      </c>
      <c r="I560" s="1">
        <v>45967</v>
      </c>
      <c r="J560">
        <v>63.617251160000002</v>
      </c>
      <c r="K560">
        <v>5.31</v>
      </c>
      <c r="L560">
        <v>1</v>
      </c>
      <c r="M560">
        <v>2.7910499999999998</v>
      </c>
      <c r="N560">
        <f>L560*F560</f>
        <v>0.44044</v>
      </c>
      <c r="O560">
        <f>L560*J560</f>
        <v>63.617251160000002</v>
      </c>
      <c r="P560">
        <f>M560-N560-H560</f>
        <v>0.24847999999999981</v>
      </c>
      <c r="Q560">
        <f>P560/O560</f>
        <v>3.9058587956757578E-3</v>
      </c>
      <c r="R560">
        <f>I560-G560</f>
        <v>34</v>
      </c>
      <c r="S560">
        <f>Q560/R560</f>
        <v>1.1487819987281641E-4</v>
      </c>
      <c r="T560">
        <f>S560*10000</f>
        <v>1.1487819987281642</v>
      </c>
    </row>
    <row r="561" spans="1:20" x14ac:dyDescent="0.3">
      <c r="A561" t="s">
        <v>55</v>
      </c>
      <c r="B561" t="s">
        <v>37</v>
      </c>
      <c r="C561">
        <v>2</v>
      </c>
      <c r="D561">
        <v>24</v>
      </c>
      <c r="E561" t="s">
        <v>22</v>
      </c>
      <c r="F561">
        <v>0.44153999999999999</v>
      </c>
      <c r="G561" s="1">
        <v>45933</v>
      </c>
      <c r="H561">
        <v>2.1587000000000001</v>
      </c>
      <c r="I561" s="1">
        <v>45967</v>
      </c>
      <c r="J561">
        <v>63.617251160000002</v>
      </c>
      <c r="K561">
        <v>5.31</v>
      </c>
      <c r="L561">
        <v>0.5</v>
      </c>
      <c r="M561">
        <v>2.8115700000000001</v>
      </c>
      <c r="N561">
        <f>L561*F561</f>
        <v>0.22076999999999999</v>
      </c>
      <c r="O561">
        <f>L561*J561</f>
        <v>31.808625580000001</v>
      </c>
      <c r="P561">
        <f>M561-N561-H561</f>
        <v>0.43210000000000015</v>
      </c>
      <c r="Q561">
        <f>P561/O561</f>
        <v>1.3584365627909665E-2</v>
      </c>
      <c r="R561">
        <f>I561-G561</f>
        <v>34</v>
      </c>
      <c r="S561">
        <f>Q561/R561</f>
        <v>3.9954016552675483E-4</v>
      </c>
      <c r="T561">
        <f>S561*10000</f>
        <v>3.9954016552675484</v>
      </c>
    </row>
    <row r="562" spans="1:20" x14ac:dyDescent="0.3">
      <c r="A562" t="s">
        <v>55</v>
      </c>
      <c r="B562" t="s">
        <v>37</v>
      </c>
      <c r="C562">
        <v>2</v>
      </c>
      <c r="D562">
        <v>24</v>
      </c>
      <c r="E562" t="s">
        <v>23</v>
      </c>
      <c r="F562">
        <v>0.45349</v>
      </c>
      <c r="G562" s="1">
        <v>45933</v>
      </c>
      <c r="H562">
        <v>2.1166800000000001</v>
      </c>
      <c r="I562" s="1">
        <v>45967</v>
      </c>
      <c r="J562">
        <v>63.617251160000002</v>
      </c>
      <c r="K562">
        <v>5.31</v>
      </c>
      <c r="L562">
        <v>1</v>
      </c>
      <c r="M562">
        <v>2.9871099999999999</v>
      </c>
      <c r="N562">
        <f>L562*F562</f>
        <v>0.45349</v>
      </c>
      <c r="O562">
        <f>L562*J562</f>
        <v>63.617251160000002</v>
      </c>
      <c r="P562">
        <f>M562-N562-H562</f>
        <v>0.41693999999999987</v>
      </c>
      <c r="Q562">
        <f>P562/O562</f>
        <v>6.5538826717202641E-3</v>
      </c>
      <c r="R562">
        <f>I562-G562</f>
        <v>34</v>
      </c>
      <c r="S562">
        <f>Q562/R562</f>
        <v>1.9276125505059599E-4</v>
      </c>
      <c r="T562">
        <f>S562*10000</f>
        <v>1.92761255050596</v>
      </c>
    </row>
    <row r="563" spans="1:20" x14ac:dyDescent="0.3">
      <c r="A563" t="s">
        <v>55</v>
      </c>
      <c r="B563" t="s">
        <v>37</v>
      </c>
      <c r="C563">
        <v>2</v>
      </c>
      <c r="D563">
        <v>24</v>
      </c>
      <c r="E563" t="s">
        <v>24</v>
      </c>
      <c r="F563">
        <v>0.44092999999999999</v>
      </c>
      <c r="G563" s="1">
        <v>45933</v>
      </c>
      <c r="H563">
        <v>2.11755</v>
      </c>
      <c r="I563" s="1">
        <v>45967</v>
      </c>
      <c r="J563">
        <v>63.617251160000002</v>
      </c>
      <c r="K563">
        <v>5.31</v>
      </c>
      <c r="L563">
        <v>1</v>
      </c>
      <c r="M563">
        <v>3.1720199999999998</v>
      </c>
      <c r="N563">
        <f>L563*F563</f>
        <v>0.44092999999999999</v>
      </c>
      <c r="O563">
        <f>L563*J563</f>
        <v>63.617251160000002</v>
      </c>
      <c r="P563">
        <f>M563-N563-H563</f>
        <v>0.61353999999999997</v>
      </c>
      <c r="Q563">
        <f>P563/O563</f>
        <v>9.644239397532622E-3</v>
      </c>
      <c r="R563">
        <f>I563-G563</f>
        <v>34</v>
      </c>
      <c r="S563">
        <f>Q563/R563</f>
        <v>2.8365409992743004E-4</v>
      </c>
      <c r="T563">
        <f>S563*10000</f>
        <v>2.8365409992743005</v>
      </c>
    </row>
    <row r="564" spans="1:20" x14ac:dyDescent="0.3">
      <c r="A564" t="s">
        <v>55</v>
      </c>
      <c r="B564" t="s">
        <v>37</v>
      </c>
      <c r="C564">
        <v>2</v>
      </c>
      <c r="D564">
        <v>48</v>
      </c>
      <c r="E564" t="s">
        <v>47</v>
      </c>
      <c r="F564">
        <v>0.45212999999999998</v>
      </c>
      <c r="G564" s="1">
        <v>45933</v>
      </c>
      <c r="H564">
        <v>2.1243300000000001</v>
      </c>
      <c r="I564" s="1">
        <v>45967</v>
      </c>
      <c r="J564">
        <v>63.617251160000002</v>
      </c>
      <c r="K564">
        <v>5.31</v>
      </c>
      <c r="L564">
        <v>1</v>
      </c>
      <c r="M564">
        <v>3.9849100000000002</v>
      </c>
      <c r="N564">
        <f>L564*F564</f>
        <v>0.45212999999999998</v>
      </c>
      <c r="O564">
        <f>L564*J564</f>
        <v>63.617251160000002</v>
      </c>
      <c r="P564">
        <f>M564-N564-H564</f>
        <v>1.4084500000000002</v>
      </c>
      <c r="Q564">
        <f>P564/O564</f>
        <v>2.2139435048170984E-2</v>
      </c>
      <c r="R564">
        <f>I564-G564</f>
        <v>34</v>
      </c>
      <c r="S564">
        <f>Q564/R564</f>
        <v>6.5115985435797012E-4</v>
      </c>
      <c r="T564">
        <f>S564*10000</f>
        <v>6.5115985435797015</v>
      </c>
    </row>
    <row r="565" spans="1:20" x14ac:dyDescent="0.3">
      <c r="A565" t="s">
        <v>55</v>
      </c>
      <c r="B565" t="s">
        <v>37</v>
      </c>
      <c r="C565">
        <v>2</v>
      </c>
      <c r="D565">
        <v>48</v>
      </c>
      <c r="E565" t="s">
        <v>23</v>
      </c>
      <c r="F565">
        <v>0.44147999999999998</v>
      </c>
      <c r="G565" s="1">
        <v>45933</v>
      </c>
      <c r="H565">
        <v>2.1422400000000001</v>
      </c>
      <c r="I565" s="1">
        <v>45967</v>
      </c>
      <c r="J565">
        <v>63.617251160000002</v>
      </c>
      <c r="K565">
        <v>5.31</v>
      </c>
      <c r="L565">
        <v>1</v>
      </c>
      <c r="M565">
        <v>3.7796400000000001</v>
      </c>
      <c r="N565">
        <f>L565*F565</f>
        <v>0.44147999999999998</v>
      </c>
      <c r="O565">
        <f>L565*J565</f>
        <v>63.617251160000002</v>
      </c>
      <c r="P565">
        <f>M565-N565-H565</f>
        <v>1.1959200000000001</v>
      </c>
      <c r="Q565">
        <f>P565/O565</f>
        <v>1.8798674544931407E-2</v>
      </c>
      <c r="R565">
        <f>I565-G565</f>
        <v>34</v>
      </c>
      <c r="S565">
        <f>Q565/R565</f>
        <v>5.5290219249798259E-4</v>
      </c>
      <c r="T565">
        <f>S565*10000</f>
        <v>5.5290219249798263</v>
      </c>
    </row>
    <row r="566" spans="1:20" x14ac:dyDescent="0.3">
      <c r="A566" t="s">
        <v>55</v>
      </c>
      <c r="B566" t="s">
        <v>37</v>
      </c>
      <c r="C566">
        <v>2</v>
      </c>
      <c r="D566">
        <v>48</v>
      </c>
      <c r="E566" t="s">
        <v>24</v>
      </c>
      <c r="F566">
        <v>0.43974000000000002</v>
      </c>
      <c r="G566" s="1">
        <v>45933</v>
      </c>
      <c r="H566">
        <v>2.10419</v>
      </c>
      <c r="I566" s="1">
        <v>45967</v>
      </c>
      <c r="J566">
        <v>63.617251160000002</v>
      </c>
      <c r="K566">
        <v>5.31</v>
      </c>
      <c r="L566">
        <v>1</v>
      </c>
      <c r="M566">
        <v>3.8042400000000001</v>
      </c>
      <c r="N566">
        <f>L566*F566</f>
        <v>0.43974000000000002</v>
      </c>
      <c r="O566">
        <f>L566*J566</f>
        <v>63.617251160000002</v>
      </c>
      <c r="P566">
        <f>M566-N566-H566</f>
        <v>1.26031</v>
      </c>
      <c r="Q566">
        <f>P566/O566</f>
        <v>1.9810821389158555E-2</v>
      </c>
      <c r="R566">
        <f>I566-G566</f>
        <v>34</v>
      </c>
      <c r="S566">
        <f>Q566/R566</f>
        <v>5.8267121732819276E-4</v>
      </c>
      <c r="T566">
        <f>S566*10000</f>
        <v>5.826712173281928</v>
      </c>
    </row>
    <row r="567" spans="1:20" x14ac:dyDescent="0.3">
      <c r="A567" t="s">
        <v>55</v>
      </c>
      <c r="B567" t="s">
        <v>37</v>
      </c>
      <c r="E567" t="s">
        <v>48</v>
      </c>
      <c r="F567" t="s">
        <v>27</v>
      </c>
      <c r="G567" t="s">
        <v>27</v>
      </c>
      <c r="H567">
        <v>2.0783800000000001</v>
      </c>
      <c r="I567" t="s">
        <v>27</v>
      </c>
      <c r="J567">
        <v>63.617251160000002</v>
      </c>
      <c r="K567">
        <v>5.31</v>
      </c>
      <c r="L567" t="s">
        <v>27</v>
      </c>
      <c r="M567" t="s">
        <v>27</v>
      </c>
      <c r="N567" t="e">
        <f>L567*F567</f>
        <v>#VALUE!</v>
      </c>
      <c r="O567" t="e">
        <f>L567*J567</f>
        <v>#VALUE!</v>
      </c>
      <c r="P567" t="e">
        <f>M567-N567-H567</f>
        <v>#VALUE!</v>
      </c>
      <c r="Q567" t="e">
        <f>P567/O567</f>
        <v>#VALUE!</v>
      </c>
      <c r="R567" t="e">
        <f>I567-G567</f>
        <v>#VALUE!</v>
      </c>
      <c r="S567" t="e">
        <f>Q567/R567</f>
        <v>#VALUE!</v>
      </c>
      <c r="T567" t="e">
        <f>S567*10000</f>
        <v>#VALUE!</v>
      </c>
    </row>
    <row r="568" spans="1:20" x14ac:dyDescent="0.3">
      <c r="A568" t="s">
        <v>55</v>
      </c>
      <c r="B568" t="s">
        <v>37</v>
      </c>
      <c r="E568" t="s">
        <v>49</v>
      </c>
      <c r="F568" t="s">
        <v>27</v>
      </c>
      <c r="G568" t="s">
        <v>27</v>
      </c>
      <c r="H568">
        <v>2.09206</v>
      </c>
      <c r="I568" t="s">
        <v>27</v>
      </c>
      <c r="J568">
        <v>63.617251160000002</v>
      </c>
      <c r="K568">
        <v>5.31</v>
      </c>
      <c r="L568" t="s">
        <v>27</v>
      </c>
      <c r="M568" t="s">
        <v>27</v>
      </c>
      <c r="N568" t="e">
        <f>L568*F568</f>
        <v>#VALUE!</v>
      </c>
      <c r="O568" t="e">
        <f>L568*J568</f>
        <v>#VALUE!</v>
      </c>
      <c r="P568" t="e">
        <f>M568-N568-H568</f>
        <v>#VALUE!</v>
      </c>
      <c r="Q568" t="e">
        <f>P568/O568</f>
        <v>#VALUE!</v>
      </c>
      <c r="R568" t="e">
        <f>I568-G568</f>
        <v>#VALUE!</v>
      </c>
      <c r="S568" t="e">
        <f>Q568/R568</f>
        <v>#VALUE!</v>
      </c>
      <c r="T568" t="e">
        <f>S568*10000</f>
        <v>#VALUE!</v>
      </c>
    </row>
    <row r="569" spans="1:20" x14ac:dyDescent="0.3">
      <c r="A569" t="s">
        <v>55</v>
      </c>
      <c r="B569" t="s">
        <v>37</v>
      </c>
      <c r="E569" t="s">
        <v>50</v>
      </c>
      <c r="F569" t="s">
        <v>27</v>
      </c>
      <c r="G569" t="s">
        <v>27</v>
      </c>
      <c r="H569">
        <v>2.2292670000000001</v>
      </c>
      <c r="I569" t="s">
        <v>27</v>
      </c>
      <c r="J569">
        <v>63.617251160000002</v>
      </c>
      <c r="K569">
        <v>5.31</v>
      </c>
      <c r="L569" t="s">
        <v>27</v>
      </c>
      <c r="M569" t="s">
        <v>27</v>
      </c>
      <c r="N569" t="e">
        <f>L569*F569</f>
        <v>#VALUE!</v>
      </c>
      <c r="O569" t="e">
        <f>L569*J569</f>
        <v>#VALUE!</v>
      </c>
      <c r="P569" t="e">
        <f>M569-N569-H569</f>
        <v>#VALUE!</v>
      </c>
      <c r="Q569" t="e">
        <f>P569/O569</f>
        <v>#VALUE!</v>
      </c>
      <c r="R569" t="e">
        <f>I569-G569</f>
        <v>#VALUE!</v>
      </c>
      <c r="S569" t="e">
        <f>Q569/R569</f>
        <v>#VALUE!</v>
      </c>
      <c r="T569" t="e">
        <f>S569*10000</f>
        <v>#VALUE!</v>
      </c>
    </row>
    <row r="570" spans="1:20" x14ac:dyDescent="0.3">
      <c r="A570" t="s">
        <v>55</v>
      </c>
      <c r="B570" t="s">
        <v>37</v>
      </c>
      <c r="E570" t="s">
        <v>51</v>
      </c>
      <c r="F570" t="s">
        <v>27</v>
      </c>
      <c r="G570" t="s">
        <v>27</v>
      </c>
      <c r="H570">
        <v>2.3037200000000002</v>
      </c>
      <c r="I570" t="s">
        <v>27</v>
      </c>
      <c r="J570">
        <v>63.617251160000002</v>
      </c>
      <c r="K570">
        <v>5.31</v>
      </c>
      <c r="L570" t="s">
        <v>27</v>
      </c>
      <c r="M570" t="s">
        <v>27</v>
      </c>
      <c r="N570" t="e">
        <f>L570*F570</f>
        <v>#VALUE!</v>
      </c>
      <c r="O570" t="e">
        <f>L570*J570</f>
        <v>#VALUE!</v>
      </c>
      <c r="P570" t="e">
        <f>M570-N570-H570</f>
        <v>#VALUE!</v>
      </c>
      <c r="Q570" t="e">
        <f>P570/O570</f>
        <v>#VALUE!</v>
      </c>
      <c r="R570" t="e">
        <f>I570-G570</f>
        <v>#VALUE!</v>
      </c>
      <c r="S570" t="e">
        <f>Q570/R570</f>
        <v>#VALUE!</v>
      </c>
      <c r="T570" t="e">
        <f>S570*10000</f>
        <v>#VALUE!</v>
      </c>
    </row>
    <row r="571" spans="1:20" x14ac:dyDescent="0.3">
      <c r="A571" t="s">
        <v>55</v>
      </c>
      <c r="B571" t="s">
        <v>36</v>
      </c>
      <c r="C571">
        <v>1</v>
      </c>
      <c r="D571">
        <v>0.5</v>
      </c>
      <c r="E571" t="s">
        <v>47</v>
      </c>
      <c r="F571">
        <v>4.5516399999999999</v>
      </c>
      <c r="G571" s="1">
        <v>45937</v>
      </c>
      <c r="H571">
        <v>2.0691000000000002</v>
      </c>
      <c r="I571" s="1">
        <v>45965</v>
      </c>
      <c r="J571">
        <v>63.617251160000002</v>
      </c>
      <c r="K571">
        <v>5.31</v>
      </c>
      <c r="L571">
        <v>1</v>
      </c>
      <c r="M571">
        <v>7.2740499999999999</v>
      </c>
      <c r="N571">
        <f>L571*F571</f>
        <v>4.5516399999999999</v>
      </c>
      <c r="O571">
        <f>L571*J571</f>
        <v>63.617251160000002</v>
      </c>
      <c r="P571">
        <f>M571-N571-H571</f>
        <v>0.65330999999999984</v>
      </c>
      <c r="Q571">
        <f>P571/O571</f>
        <v>1.026938429572976E-2</v>
      </c>
      <c r="R571">
        <f>I571-G571</f>
        <v>28</v>
      </c>
      <c r="S571">
        <f>Q571/R571</f>
        <v>3.6676372484749142E-4</v>
      </c>
      <c r="T571">
        <f>S571*10000</f>
        <v>3.667637248474914</v>
      </c>
    </row>
    <row r="572" spans="1:20" x14ac:dyDescent="0.3">
      <c r="A572" t="s">
        <v>55</v>
      </c>
      <c r="B572" t="s">
        <v>36</v>
      </c>
      <c r="C572">
        <v>1</v>
      </c>
      <c r="D572">
        <v>0.5</v>
      </c>
      <c r="E572" t="s">
        <v>23</v>
      </c>
      <c r="F572">
        <v>4.3146000000000004</v>
      </c>
      <c r="G572" s="1">
        <v>45937</v>
      </c>
      <c r="H572">
        <v>2.1320899999999998</v>
      </c>
      <c r="I572" s="1">
        <v>45965</v>
      </c>
      <c r="J572">
        <v>63.617251160000002</v>
      </c>
      <c r="K572">
        <v>5.31</v>
      </c>
      <c r="L572">
        <v>1</v>
      </c>
      <c r="M572">
        <v>6.7233700000000001</v>
      </c>
      <c r="N572">
        <f>L572*F572</f>
        <v>4.3146000000000004</v>
      </c>
      <c r="O572">
        <f>L572*J572</f>
        <v>63.617251160000002</v>
      </c>
      <c r="P572">
        <f>M572-N572-H572</f>
        <v>0.27667999999999981</v>
      </c>
      <c r="Q572">
        <f>P572/O572</f>
        <v>4.3491347858482321E-3</v>
      </c>
      <c r="R572">
        <f>I572-G572</f>
        <v>28</v>
      </c>
      <c r="S572">
        <f>Q572/R572</f>
        <v>1.5532624235172258E-4</v>
      </c>
      <c r="T572">
        <f>S572*10000</f>
        <v>1.5532624235172257</v>
      </c>
    </row>
    <row r="573" spans="1:20" x14ac:dyDescent="0.3">
      <c r="A573" t="s">
        <v>55</v>
      </c>
      <c r="B573" t="s">
        <v>36</v>
      </c>
      <c r="C573">
        <v>1</v>
      </c>
      <c r="D573">
        <v>0.5</v>
      </c>
      <c r="E573" t="s">
        <v>24</v>
      </c>
      <c r="F573">
        <v>4.26492</v>
      </c>
      <c r="G573" s="1">
        <v>45937</v>
      </c>
      <c r="H573">
        <v>2.0828500000000001</v>
      </c>
      <c r="I573" s="1">
        <v>45965</v>
      </c>
      <c r="J573">
        <v>63.617251160000002</v>
      </c>
      <c r="K573">
        <v>5.31</v>
      </c>
      <c r="L573">
        <v>1</v>
      </c>
      <c r="M573">
        <v>6.8000100000000003</v>
      </c>
      <c r="N573">
        <f>L573*F573</f>
        <v>4.26492</v>
      </c>
      <c r="O573">
        <f>L573*J573</f>
        <v>63.617251160000002</v>
      </c>
      <c r="P573">
        <f>M573-N573-H573</f>
        <v>0.4522400000000002</v>
      </c>
      <c r="Q573">
        <f>P573/O573</f>
        <v>7.1087636097730477E-3</v>
      </c>
      <c r="R573">
        <f>I573-G573</f>
        <v>28</v>
      </c>
      <c r="S573">
        <f>Q573/R573</f>
        <v>2.5388441463475173E-4</v>
      </c>
      <c r="T573">
        <f>S573*10000</f>
        <v>2.5388441463475173</v>
      </c>
    </row>
    <row r="574" spans="1:20" x14ac:dyDescent="0.3">
      <c r="A574" t="s">
        <v>55</v>
      </c>
      <c r="B574" t="s">
        <v>36</v>
      </c>
      <c r="C574">
        <v>1</v>
      </c>
      <c r="D574">
        <v>2</v>
      </c>
      <c r="E574" t="s">
        <v>47</v>
      </c>
      <c r="F574">
        <v>4.3782199999999998</v>
      </c>
      <c r="G574" s="1">
        <v>45937</v>
      </c>
      <c r="H574">
        <v>2.1618900000000001</v>
      </c>
      <c r="I574" s="1">
        <v>45965</v>
      </c>
      <c r="J574">
        <v>63.617251160000002</v>
      </c>
      <c r="K574">
        <v>5.31</v>
      </c>
      <c r="L574">
        <v>1</v>
      </c>
      <c r="M574">
        <v>8.6479400000000002</v>
      </c>
      <c r="N574">
        <f>L574*F574</f>
        <v>4.3782199999999998</v>
      </c>
      <c r="O574">
        <f>L574*J574</f>
        <v>63.617251160000002</v>
      </c>
      <c r="P574">
        <f>M574-N574-H574</f>
        <v>2.1078300000000003</v>
      </c>
      <c r="Q574">
        <f>P574/O574</f>
        <v>3.3132993984583227E-2</v>
      </c>
      <c r="R574">
        <f>I574-G574</f>
        <v>28</v>
      </c>
      <c r="S574">
        <f>Q574/R574</f>
        <v>1.1833212137351153E-3</v>
      </c>
      <c r="T574">
        <f>S574*10000</f>
        <v>11.833212137351152</v>
      </c>
    </row>
    <row r="575" spans="1:20" x14ac:dyDescent="0.3">
      <c r="A575" t="s">
        <v>55</v>
      </c>
      <c r="B575" t="s">
        <v>36</v>
      </c>
      <c r="C575">
        <v>1</v>
      </c>
      <c r="D575">
        <v>2</v>
      </c>
      <c r="E575" t="s">
        <v>23</v>
      </c>
      <c r="F575">
        <v>4.5739799999999997</v>
      </c>
      <c r="G575" s="1">
        <v>45937</v>
      </c>
      <c r="H575">
        <v>2.12086</v>
      </c>
      <c r="I575" s="1">
        <v>45965</v>
      </c>
      <c r="J575">
        <v>63.617251160000002</v>
      </c>
      <c r="K575">
        <v>5.31</v>
      </c>
      <c r="L575">
        <v>1</v>
      </c>
      <c r="M575">
        <v>10.391679999999999</v>
      </c>
      <c r="N575">
        <f>L575*F575</f>
        <v>4.5739799999999997</v>
      </c>
      <c r="O575">
        <f>L575*J575</f>
        <v>63.617251160000002</v>
      </c>
      <c r="P575">
        <f>M575-N575-H575</f>
        <v>3.6968399999999995</v>
      </c>
      <c r="Q575">
        <f>P575/O575</f>
        <v>5.8110652890397525E-2</v>
      </c>
      <c r="R575">
        <f>I575-G575</f>
        <v>28</v>
      </c>
      <c r="S575">
        <f>Q575/R575</f>
        <v>2.0753804603713404E-3</v>
      </c>
      <c r="T575">
        <f>S575*10000</f>
        <v>20.753804603713405</v>
      </c>
    </row>
    <row r="576" spans="1:20" x14ac:dyDescent="0.3">
      <c r="A576" t="s">
        <v>55</v>
      </c>
      <c r="B576" t="s">
        <v>36</v>
      </c>
      <c r="C576">
        <v>1</v>
      </c>
      <c r="D576">
        <v>2</v>
      </c>
      <c r="E576" t="s">
        <v>24</v>
      </c>
      <c r="F576">
        <v>4.5185000000000004</v>
      </c>
      <c r="G576" s="1">
        <v>45937</v>
      </c>
      <c r="H576">
        <v>2.1563599999999998</v>
      </c>
      <c r="I576" s="1">
        <v>45965</v>
      </c>
      <c r="J576">
        <v>63.617251160000002</v>
      </c>
      <c r="K576">
        <v>5.31</v>
      </c>
      <c r="L576">
        <v>1</v>
      </c>
      <c r="M576">
        <v>13.053050000000001</v>
      </c>
      <c r="N576">
        <f>L576*F576</f>
        <v>4.5185000000000004</v>
      </c>
      <c r="O576">
        <f>L576*J576</f>
        <v>63.617251160000002</v>
      </c>
      <c r="P576">
        <f>M576-N576-H576</f>
        <v>6.37819</v>
      </c>
      <c r="Q576">
        <f>P576/O576</f>
        <v>0.10025881162263031</v>
      </c>
      <c r="R576">
        <f>I576-G576</f>
        <v>28</v>
      </c>
      <c r="S576">
        <f>Q576/R576</f>
        <v>3.5806718436653681E-3</v>
      </c>
      <c r="T576">
        <f>S576*10000</f>
        <v>35.806718436653682</v>
      </c>
    </row>
    <row r="577" spans="1:20" x14ac:dyDescent="0.3">
      <c r="A577" t="s">
        <v>55</v>
      </c>
      <c r="B577" t="s">
        <v>36</v>
      </c>
      <c r="C577">
        <v>1</v>
      </c>
      <c r="D577">
        <v>6</v>
      </c>
      <c r="E577" t="s">
        <v>47</v>
      </c>
      <c r="F577">
        <v>0.45629999999999998</v>
      </c>
      <c r="G577" s="1">
        <v>45937</v>
      </c>
      <c r="H577">
        <v>2.1508099999999999</v>
      </c>
      <c r="I577" s="1">
        <v>45965</v>
      </c>
      <c r="J577">
        <v>63.617251160000002</v>
      </c>
      <c r="K577">
        <v>5.31</v>
      </c>
      <c r="L577">
        <v>1</v>
      </c>
      <c r="M577">
        <v>4.1639499999999998</v>
      </c>
      <c r="N577">
        <f>L577*F577</f>
        <v>0.45629999999999998</v>
      </c>
      <c r="O577">
        <f>L577*J577</f>
        <v>63.617251160000002</v>
      </c>
      <c r="P577">
        <f>M577-N577-H577</f>
        <v>1.5568399999999998</v>
      </c>
      <c r="Q577">
        <f>P577/O577</f>
        <v>2.4471978458869326E-2</v>
      </c>
      <c r="R577">
        <f>I577-G577</f>
        <v>28</v>
      </c>
      <c r="S577">
        <f>Q577/R577</f>
        <v>8.7399923067390454E-4</v>
      </c>
      <c r="T577">
        <f>S577*10000</f>
        <v>8.7399923067390457</v>
      </c>
    </row>
    <row r="578" spans="1:20" x14ac:dyDescent="0.3">
      <c r="A578" t="s">
        <v>55</v>
      </c>
      <c r="B578" t="s">
        <v>36</v>
      </c>
      <c r="C578">
        <v>1</v>
      </c>
      <c r="D578">
        <v>6</v>
      </c>
      <c r="E578" t="s">
        <v>23</v>
      </c>
      <c r="F578">
        <v>0.44799</v>
      </c>
      <c r="G578" s="1">
        <v>45937</v>
      </c>
      <c r="H578">
        <v>2.1429800000000001</v>
      </c>
      <c r="I578" s="1">
        <v>45965</v>
      </c>
      <c r="J578">
        <v>63.617251160000002</v>
      </c>
      <c r="K578">
        <v>5.31</v>
      </c>
      <c r="L578">
        <v>1</v>
      </c>
      <c r="M578">
        <v>3.7014300000000002</v>
      </c>
      <c r="N578">
        <f>L578*F578</f>
        <v>0.44799</v>
      </c>
      <c r="O578">
        <f>L578*J578</f>
        <v>63.617251160000002</v>
      </c>
      <c r="P578">
        <f>M578-N578-H578</f>
        <v>1.1104600000000002</v>
      </c>
      <c r="Q578">
        <f>P578/O578</f>
        <v>1.7455328228614401E-2</v>
      </c>
      <c r="R578">
        <f>I578-G578</f>
        <v>28</v>
      </c>
      <c r="S578">
        <f>Q578/R578</f>
        <v>6.2340457959337149E-4</v>
      </c>
      <c r="T578">
        <f>S578*10000</f>
        <v>6.2340457959337146</v>
      </c>
    </row>
    <row r="579" spans="1:20" x14ac:dyDescent="0.3">
      <c r="A579" t="s">
        <v>55</v>
      </c>
      <c r="B579" t="s">
        <v>36</v>
      </c>
      <c r="C579">
        <v>1</v>
      </c>
      <c r="D579">
        <v>6</v>
      </c>
      <c r="E579" t="s">
        <v>24</v>
      </c>
      <c r="F579">
        <v>0.45455000000000001</v>
      </c>
      <c r="G579" s="1">
        <v>45937</v>
      </c>
      <c r="H579">
        <v>2.1716199999999999</v>
      </c>
      <c r="I579" s="1">
        <v>45965</v>
      </c>
      <c r="J579">
        <v>63.617251160000002</v>
      </c>
      <c r="K579">
        <v>5.31</v>
      </c>
      <c r="L579">
        <v>1</v>
      </c>
      <c r="M579">
        <v>4.45913</v>
      </c>
      <c r="N579">
        <f>L579*F579</f>
        <v>0.45455000000000001</v>
      </c>
      <c r="O579">
        <f>L579*J579</f>
        <v>63.617251160000002</v>
      </c>
      <c r="P579">
        <f>M579-N579-H579</f>
        <v>1.8329599999999999</v>
      </c>
      <c r="Q579">
        <f>P579/O579</f>
        <v>2.8812310600941089E-2</v>
      </c>
      <c r="R579">
        <f>I579-G579</f>
        <v>28</v>
      </c>
      <c r="S579">
        <f>Q579/R579</f>
        <v>1.0290110928907533E-3</v>
      </c>
      <c r="T579">
        <f>S579*10000</f>
        <v>10.290110928907533</v>
      </c>
    </row>
    <row r="580" spans="1:20" x14ac:dyDescent="0.3">
      <c r="A580" t="s">
        <v>55</v>
      </c>
      <c r="B580" t="s">
        <v>36</v>
      </c>
      <c r="C580">
        <v>1</v>
      </c>
      <c r="D580">
        <v>12</v>
      </c>
      <c r="E580" t="s">
        <v>47</v>
      </c>
      <c r="F580">
        <v>0.45528000000000002</v>
      </c>
      <c r="G580" s="1">
        <v>45937</v>
      </c>
      <c r="H580">
        <v>2.0924700000000001</v>
      </c>
      <c r="I580" s="1">
        <v>45965</v>
      </c>
      <c r="J580">
        <v>63.617251160000002</v>
      </c>
      <c r="K580">
        <v>5.31</v>
      </c>
      <c r="L580">
        <v>1</v>
      </c>
      <c r="M580">
        <v>3.1016300000000001</v>
      </c>
      <c r="N580">
        <f>L580*F580</f>
        <v>0.45528000000000002</v>
      </c>
      <c r="O580">
        <f>L580*J580</f>
        <v>63.617251160000002</v>
      </c>
      <c r="P580">
        <f>M580-N580-H580</f>
        <v>0.55387999999999993</v>
      </c>
      <c r="Q580">
        <f>P580/O580</f>
        <v>8.7064434552031958E-3</v>
      </c>
      <c r="R580">
        <f>I580-G580</f>
        <v>28</v>
      </c>
      <c r="S580">
        <f>Q580/R580</f>
        <v>3.1094440911439987E-4</v>
      </c>
      <c r="T580">
        <f>S580*10000</f>
        <v>3.1094440911439984</v>
      </c>
    </row>
    <row r="581" spans="1:20" x14ac:dyDescent="0.3">
      <c r="A581" t="s">
        <v>55</v>
      </c>
      <c r="B581" t="s">
        <v>36</v>
      </c>
      <c r="C581">
        <v>1</v>
      </c>
      <c r="D581">
        <v>12</v>
      </c>
      <c r="E581" t="s">
        <v>23</v>
      </c>
      <c r="F581">
        <v>0.45372000000000001</v>
      </c>
      <c r="G581" s="1">
        <v>45937</v>
      </c>
      <c r="H581">
        <v>2.1397599999999999</v>
      </c>
      <c r="I581" s="1">
        <v>45965</v>
      </c>
      <c r="J581">
        <v>63.617251160000002</v>
      </c>
      <c r="K581">
        <v>5.31</v>
      </c>
      <c r="L581">
        <v>1</v>
      </c>
      <c r="M581">
        <v>3.0606399999999998</v>
      </c>
      <c r="N581">
        <f>L581*F581</f>
        <v>0.45372000000000001</v>
      </c>
      <c r="O581">
        <f>L581*J581</f>
        <v>63.617251160000002</v>
      </c>
      <c r="P581">
        <f>M581-N581-H581</f>
        <v>0.4671599999999998</v>
      </c>
      <c r="Q581">
        <f>P581/O581</f>
        <v>7.343291190389116E-3</v>
      </c>
      <c r="R581">
        <f>I581-G581</f>
        <v>28</v>
      </c>
      <c r="S581">
        <f>Q581/R581</f>
        <v>2.6226039965675414E-4</v>
      </c>
      <c r="T581">
        <f>S581*10000</f>
        <v>2.6226039965675416</v>
      </c>
    </row>
    <row r="582" spans="1:20" x14ac:dyDescent="0.3">
      <c r="A582" t="s">
        <v>55</v>
      </c>
      <c r="B582" t="s">
        <v>36</v>
      </c>
      <c r="C582">
        <v>1</v>
      </c>
      <c r="D582">
        <v>12</v>
      </c>
      <c r="E582" t="s">
        <v>24</v>
      </c>
      <c r="F582">
        <v>0.45785999999999999</v>
      </c>
      <c r="G582" s="1">
        <v>45937</v>
      </c>
      <c r="H582">
        <v>2.1213899999999999</v>
      </c>
      <c r="I582" s="1">
        <v>45965</v>
      </c>
      <c r="J582">
        <v>63.617251160000002</v>
      </c>
      <c r="K582">
        <v>5.31</v>
      </c>
      <c r="L582">
        <v>1</v>
      </c>
      <c r="M582">
        <v>3.15422</v>
      </c>
      <c r="N582">
        <f>L582*F582</f>
        <v>0.45785999999999999</v>
      </c>
      <c r="O582">
        <f>L582*J582</f>
        <v>63.617251160000002</v>
      </c>
      <c r="P582">
        <f>M582-N582-H582</f>
        <v>0.57496999999999998</v>
      </c>
      <c r="Q582">
        <f>P582/O582</f>
        <v>9.0379573074279296E-3</v>
      </c>
      <c r="R582">
        <f>I582-G582</f>
        <v>28</v>
      </c>
      <c r="S582">
        <f>Q582/R582</f>
        <v>3.2278418955099746E-4</v>
      </c>
      <c r="T582">
        <f>S582*10000</f>
        <v>3.2278418955099748</v>
      </c>
    </row>
    <row r="583" spans="1:20" x14ac:dyDescent="0.3">
      <c r="A583" t="s">
        <v>55</v>
      </c>
      <c r="B583" t="s">
        <v>36</v>
      </c>
      <c r="C583">
        <v>1</v>
      </c>
      <c r="D583">
        <v>24</v>
      </c>
      <c r="E583" t="s">
        <v>22</v>
      </c>
      <c r="F583">
        <v>0.45112000000000002</v>
      </c>
      <c r="G583" s="1">
        <v>45937</v>
      </c>
      <c r="H583">
        <v>2.09457</v>
      </c>
      <c r="I583" s="1">
        <v>45965</v>
      </c>
      <c r="J583">
        <v>63.617251160000002</v>
      </c>
      <c r="K583">
        <v>5.31</v>
      </c>
      <c r="L583">
        <v>1</v>
      </c>
      <c r="M583">
        <v>2.8740299999999999</v>
      </c>
      <c r="N583">
        <f>L583*F583</f>
        <v>0.45112000000000002</v>
      </c>
      <c r="O583">
        <f>L583*J583</f>
        <v>63.617251160000002</v>
      </c>
      <c r="P583">
        <f>M583-N583-H583</f>
        <v>0.32833999999999985</v>
      </c>
      <c r="Q583">
        <f>P583/O583</f>
        <v>5.1611786742280213E-3</v>
      </c>
      <c r="R583">
        <f>I583-G583</f>
        <v>28</v>
      </c>
      <c r="S583">
        <f>Q583/R583</f>
        <v>1.8432780979385789E-4</v>
      </c>
      <c r="T583">
        <f>S583*10000</f>
        <v>1.843278097938579</v>
      </c>
    </row>
    <row r="584" spans="1:20" x14ac:dyDescent="0.3">
      <c r="A584" t="s">
        <v>55</v>
      </c>
      <c r="B584" t="s">
        <v>36</v>
      </c>
      <c r="C584">
        <v>1</v>
      </c>
      <c r="D584">
        <v>24</v>
      </c>
      <c r="E584" t="s">
        <v>23</v>
      </c>
      <c r="F584">
        <v>0.45746999999999999</v>
      </c>
      <c r="G584" s="1">
        <v>45937</v>
      </c>
      <c r="H584">
        <v>2.1047400000000001</v>
      </c>
      <c r="I584" s="1">
        <v>45965</v>
      </c>
      <c r="J584">
        <v>63.617251160000002</v>
      </c>
      <c r="K584">
        <v>5.31</v>
      </c>
      <c r="L584">
        <v>1</v>
      </c>
      <c r="M584">
        <v>2.76553</v>
      </c>
      <c r="N584">
        <f>L584*F584</f>
        <v>0.45746999999999999</v>
      </c>
      <c r="O584">
        <f>L584*J584</f>
        <v>63.617251160000002</v>
      </c>
      <c r="P584">
        <f>M584-N584-H584</f>
        <v>0.20332000000000017</v>
      </c>
      <c r="Q584">
        <f>P584/O584</f>
        <v>3.1959884511300559E-3</v>
      </c>
      <c r="R584">
        <f>I584-G584</f>
        <v>28</v>
      </c>
      <c r="S584">
        <f>Q584/R584</f>
        <v>1.1414244468321628E-4</v>
      </c>
      <c r="T584">
        <f>S584*10000</f>
        <v>1.1414244468321628</v>
      </c>
    </row>
    <row r="585" spans="1:20" x14ac:dyDescent="0.3">
      <c r="A585" t="s">
        <v>55</v>
      </c>
      <c r="B585" t="s">
        <v>36</v>
      </c>
      <c r="C585">
        <v>1</v>
      </c>
      <c r="D585">
        <v>24</v>
      </c>
      <c r="E585" t="s">
        <v>24</v>
      </c>
      <c r="F585">
        <v>0.45521</v>
      </c>
      <c r="G585" s="1">
        <v>45937</v>
      </c>
      <c r="H585">
        <v>2.1025100000000001</v>
      </c>
      <c r="I585" s="1">
        <v>45965</v>
      </c>
      <c r="J585">
        <v>63.617251160000002</v>
      </c>
      <c r="K585">
        <v>5.31</v>
      </c>
      <c r="L585">
        <v>1</v>
      </c>
      <c r="M585">
        <v>2.7621799999999999</v>
      </c>
      <c r="N585">
        <f>L585*F585</f>
        <v>0.45521</v>
      </c>
      <c r="O585">
        <f>L585*J585</f>
        <v>63.617251160000002</v>
      </c>
      <c r="P585">
        <f>M585-N585-H585</f>
        <v>0.20445999999999964</v>
      </c>
      <c r="Q585">
        <f>P585/O585</f>
        <v>3.213908118817871E-3</v>
      </c>
      <c r="R585">
        <f>I585-G585</f>
        <v>28</v>
      </c>
      <c r="S585">
        <f>Q585/R585</f>
        <v>1.1478243281492397E-4</v>
      </c>
      <c r="T585">
        <f>S585*10000</f>
        <v>1.1478243281492397</v>
      </c>
    </row>
    <row r="586" spans="1:20" x14ac:dyDescent="0.3">
      <c r="A586" t="s">
        <v>55</v>
      </c>
      <c r="B586" t="s">
        <v>36</v>
      </c>
      <c r="C586">
        <v>1</v>
      </c>
      <c r="D586">
        <v>48</v>
      </c>
      <c r="E586" t="s">
        <v>47</v>
      </c>
      <c r="F586">
        <v>0.45823000000000003</v>
      </c>
      <c r="G586" s="1">
        <v>45937</v>
      </c>
      <c r="H586">
        <v>2.3736799999999998</v>
      </c>
      <c r="I586" s="1">
        <v>45965</v>
      </c>
      <c r="J586">
        <v>63.617251160000002</v>
      </c>
      <c r="K586">
        <v>5.31</v>
      </c>
      <c r="L586">
        <v>1</v>
      </c>
      <c r="M586">
        <v>2.7586400000000002</v>
      </c>
      <c r="N586">
        <f>L586*F586</f>
        <v>0.45823000000000003</v>
      </c>
      <c r="O586">
        <f>L586*J586</f>
        <v>63.617251160000002</v>
      </c>
      <c r="P586">
        <f>M586-N586-H586</f>
        <v>-7.3269999999999502E-2</v>
      </c>
      <c r="Q586">
        <f>P586/O586</f>
        <v>-1.1517316241112406E-3</v>
      </c>
      <c r="R586">
        <f>I586-G586</f>
        <v>28</v>
      </c>
      <c r="S586">
        <f>Q586/R586</f>
        <v>-4.1133272289687163E-5</v>
      </c>
      <c r="T586">
        <f>S586*10000</f>
        <v>-0.41133272289687162</v>
      </c>
    </row>
    <row r="587" spans="1:20" x14ac:dyDescent="0.3">
      <c r="A587" t="s">
        <v>55</v>
      </c>
      <c r="B587" t="s">
        <v>36</v>
      </c>
      <c r="C587">
        <v>1</v>
      </c>
      <c r="D587">
        <v>48</v>
      </c>
      <c r="E587" t="s">
        <v>23</v>
      </c>
      <c r="F587">
        <v>0.45693</v>
      </c>
      <c r="G587" s="1">
        <v>45937</v>
      </c>
      <c r="H587">
        <v>2.2861400000000001</v>
      </c>
      <c r="I587" s="1">
        <v>45965</v>
      </c>
      <c r="J587">
        <v>63.617251160000002</v>
      </c>
      <c r="K587">
        <v>5.31</v>
      </c>
      <c r="L587">
        <v>1</v>
      </c>
      <c r="M587">
        <v>2.6822599999999999</v>
      </c>
      <c r="N587">
        <f>L587*F587</f>
        <v>0.45693</v>
      </c>
      <c r="O587">
        <f>L587*J587</f>
        <v>63.617251160000002</v>
      </c>
      <c r="P587">
        <f>M587-N587-H587</f>
        <v>-6.0810000000000031E-2</v>
      </c>
      <c r="Q587">
        <f>P587/O587</f>
        <v>-9.5587280008468738E-4</v>
      </c>
      <c r="R587">
        <f>I587-G587</f>
        <v>28</v>
      </c>
      <c r="S587">
        <f>Q587/R587</f>
        <v>-3.4138314288738837E-5</v>
      </c>
      <c r="T587">
        <f>S587*10000</f>
        <v>-0.34138314288738836</v>
      </c>
    </row>
    <row r="588" spans="1:20" x14ac:dyDescent="0.3">
      <c r="A588" t="s">
        <v>55</v>
      </c>
      <c r="B588" t="s">
        <v>36</v>
      </c>
      <c r="C588">
        <v>1</v>
      </c>
      <c r="D588">
        <v>48</v>
      </c>
      <c r="E588" t="s">
        <v>24</v>
      </c>
      <c r="F588">
        <v>0.45443</v>
      </c>
      <c r="G588" s="1">
        <v>45937</v>
      </c>
      <c r="H588">
        <v>2.2767499999999998</v>
      </c>
      <c r="I588" s="1">
        <v>45965</v>
      </c>
      <c r="J588">
        <v>63.617251160000002</v>
      </c>
      <c r="K588">
        <v>5.31</v>
      </c>
      <c r="L588">
        <v>1</v>
      </c>
      <c r="M588">
        <v>2.7158699999999998</v>
      </c>
      <c r="N588">
        <f>L588*F588</f>
        <v>0.45443</v>
      </c>
      <c r="O588">
        <f>L588*J588</f>
        <v>63.617251160000002</v>
      </c>
      <c r="P588">
        <f>M588-N588-H588</f>
        <v>-1.5309999999999935E-2</v>
      </c>
      <c r="Q588">
        <f>P588/O588</f>
        <v>-2.4065799324611897E-4</v>
      </c>
      <c r="R588">
        <f>I588-G588</f>
        <v>28</v>
      </c>
      <c r="S588">
        <f>Q588/R588</f>
        <v>-8.5949283302185351E-6</v>
      </c>
      <c r="T588">
        <f>S588*10000</f>
        <v>-8.5949283302185348E-2</v>
      </c>
    </row>
    <row r="589" spans="1:20" x14ac:dyDescent="0.3">
      <c r="A589" t="s">
        <v>55</v>
      </c>
      <c r="B589" t="s">
        <v>36</v>
      </c>
      <c r="C589">
        <v>2</v>
      </c>
      <c r="D589">
        <v>0.5</v>
      </c>
      <c r="E589" t="s">
        <v>47</v>
      </c>
      <c r="F589">
        <v>4.3530800000000003</v>
      </c>
      <c r="G589" s="1">
        <v>45937</v>
      </c>
      <c r="H589">
        <v>2.0721599999999998</v>
      </c>
      <c r="I589" s="1">
        <v>45965</v>
      </c>
      <c r="J589">
        <v>63.617251160000002</v>
      </c>
      <c r="K589">
        <v>5.31</v>
      </c>
      <c r="L589">
        <v>1</v>
      </c>
      <c r="M589">
        <v>126.97</v>
      </c>
      <c r="N589">
        <f>L589*F589</f>
        <v>4.3530800000000003</v>
      </c>
      <c r="O589">
        <f>L589*J589</f>
        <v>63.617251160000002</v>
      </c>
      <c r="P589">
        <f>M589-N589-H589</f>
        <v>120.54476</v>
      </c>
      <c r="Q589">
        <f>P589/O589</f>
        <v>1.8948438953582727</v>
      </c>
      <c r="R589">
        <f>I589-G589</f>
        <v>28</v>
      </c>
      <c r="S589">
        <f>Q589/R589</f>
        <v>6.7672996262795451E-2</v>
      </c>
      <c r="T589">
        <f>S589*10000</f>
        <v>676.72996262795448</v>
      </c>
    </row>
    <row r="590" spans="1:20" x14ac:dyDescent="0.3">
      <c r="A590" t="s">
        <v>55</v>
      </c>
      <c r="B590" t="s">
        <v>36</v>
      </c>
      <c r="C590">
        <v>2</v>
      </c>
      <c r="D590">
        <v>0.5</v>
      </c>
      <c r="E590" t="s">
        <v>23</v>
      </c>
      <c r="F590">
        <v>4.5567299999999999</v>
      </c>
      <c r="G590" s="1">
        <v>45937</v>
      </c>
      <c r="H590">
        <v>2.1282100000000002</v>
      </c>
      <c r="I590" s="1">
        <v>45965</v>
      </c>
      <c r="J590">
        <v>63.617251160000002</v>
      </c>
      <c r="K590">
        <v>5.31</v>
      </c>
      <c r="L590">
        <v>1</v>
      </c>
      <c r="M590">
        <v>9.70885</v>
      </c>
      <c r="N590">
        <f>L590*F590</f>
        <v>4.5567299999999999</v>
      </c>
      <c r="O590">
        <f>L590*J590</f>
        <v>63.617251160000002</v>
      </c>
      <c r="P590">
        <f>M590-N590-H590</f>
        <v>3.0239099999999999</v>
      </c>
      <c r="Q590">
        <f>P590/O590</f>
        <v>4.7532861682356285E-2</v>
      </c>
      <c r="R590">
        <f>I590-G590</f>
        <v>28</v>
      </c>
      <c r="S590">
        <f>Q590/R590</f>
        <v>1.6976022029412958E-3</v>
      </c>
      <c r="T590">
        <f>S590*10000</f>
        <v>16.97602202941296</v>
      </c>
    </row>
    <row r="591" spans="1:20" x14ac:dyDescent="0.3">
      <c r="A591" t="s">
        <v>55</v>
      </c>
      <c r="B591" t="s">
        <v>36</v>
      </c>
      <c r="C591">
        <v>2</v>
      </c>
      <c r="D591">
        <v>0.5</v>
      </c>
      <c r="E591" t="s">
        <v>24</v>
      </c>
      <c r="F591">
        <v>4.6661799999999998</v>
      </c>
      <c r="G591" s="1">
        <v>45937</v>
      </c>
      <c r="H591">
        <v>2.1039599999999998</v>
      </c>
      <c r="I591" s="1">
        <v>45965</v>
      </c>
      <c r="J591">
        <v>63.617251160000002</v>
      </c>
      <c r="K591">
        <v>5.31</v>
      </c>
      <c r="L591">
        <v>1</v>
      </c>
      <c r="M591">
        <v>8.2391000000000005</v>
      </c>
      <c r="N591">
        <f>L591*F591</f>
        <v>4.6661799999999998</v>
      </c>
      <c r="O591">
        <f>L591*J591</f>
        <v>63.617251160000002</v>
      </c>
      <c r="P591">
        <f>M591-N591-H591</f>
        <v>1.4689600000000009</v>
      </c>
      <c r="Q591">
        <f>P591/O591</f>
        <v>2.3090592146232571E-2</v>
      </c>
      <c r="R591">
        <f>I591-G591</f>
        <v>28</v>
      </c>
      <c r="S591">
        <f>Q591/R591</f>
        <v>8.246640052225918E-4</v>
      </c>
      <c r="T591">
        <f>S591*10000</f>
        <v>8.2466400522259171</v>
      </c>
    </row>
    <row r="592" spans="1:20" x14ac:dyDescent="0.3">
      <c r="A592" t="s">
        <v>55</v>
      </c>
      <c r="B592" t="s">
        <v>36</v>
      </c>
      <c r="C592">
        <v>2</v>
      </c>
      <c r="D592">
        <v>2</v>
      </c>
      <c r="E592" t="s">
        <v>47</v>
      </c>
      <c r="F592">
        <v>4.3345000000000002</v>
      </c>
      <c r="G592" s="1">
        <v>45937</v>
      </c>
      <c r="H592">
        <v>2.1425399999999999</v>
      </c>
      <c r="I592" s="1">
        <v>45965</v>
      </c>
      <c r="J592">
        <v>63.617251160000002</v>
      </c>
      <c r="K592">
        <v>5.31</v>
      </c>
      <c r="L592">
        <v>1</v>
      </c>
      <c r="M592">
        <v>7.4475300000000004</v>
      </c>
      <c r="N592">
        <f>L592*F592</f>
        <v>4.3345000000000002</v>
      </c>
      <c r="O592">
        <f>L592*J592</f>
        <v>63.617251160000002</v>
      </c>
      <c r="P592">
        <f>M592-N592-H592</f>
        <v>0.9704900000000003</v>
      </c>
      <c r="Q592">
        <f>P592/O592</f>
        <v>1.5255138854698045E-2</v>
      </c>
      <c r="R592">
        <f>I592-G592</f>
        <v>28</v>
      </c>
      <c r="S592">
        <f>Q592/R592</f>
        <v>5.4482638766778729E-4</v>
      </c>
      <c r="T592">
        <f>S592*10000</f>
        <v>5.4482638766778733</v>
      </c>
    </row>
    <row r="593" spans="1:20" x14ac:dyDescent="0.3">
      <c r="A593" t="s">
        <v>55</v>
      </c>
      <c r="B593" t="s">
        <v>36</v>
      </c>
      <c r="C593">
        <v>2</v>
      </c>
      <c r="D593">
        <v>2</v>
      </c>
      <c r="E593" t="s">
        <v>23</v>
      </c>
      <c r="F593">
        <v>4.3854199999999999</v>
      </c>
      <c r="G593" s="1">
        <v>45937</v>
      </c>
      <c r="H593">
        <v>2.0918000000000001</v>
      </c>
      <c r="I593" s="1">
        <v>45965</v>
      </c>
      <c r="J593">
        <v>63.617251160000002</v>
      </c>
      <c r="K593">
        <v>5.31</v>
      </c>
      <c r="L593">
        <v>1</v>
      </c>
      <c r="M593">
        <v>365.33</v>
      </c>
      <c r="N593">
        <f>L593*F593</f>
        <v>4.3854199999999999</v>
      </c>
      <c r="O593">
        <f>L593*J593</f>
        <v>63.617251160000002</v>
      </c>
      <c r="P593">
        <f>M593-N593-H593</f>
        <v>358.85278</v>
      </c>
      <c r="Q593">
        <f>P593/O593</f>
        <v>5.6408092688172031</v>
      </c>
      <c r="R593">
        <f>I593-G593</f>
        <v>28</v>
      </c>
      <c r="S593">
        <f>Q593/R593</f>
        <v>0.20145747388632868</v>
      </c>
      <c r="T593">
        <f>S593*10000</f>
        <v>2014.5747388632867</v>
      </c>
    </row>
    <row r="594" spans="1:20" x14ac:dyDescent="0.3">
      <c r="A594" t="s">
        <v>55</v>
      </c>
      <c r="B594" t="s">
        <v>36</v>
      </c>
      <c r="C594">
        <v>2</v>
      </c>
      <c r="D594">
        <v>2</v>
      </c>
      <c r="E594" t="s">
        <v>24</v>
      </c>
      <c r="F594">
        <v>4.1576500000000003</v>
      </c>
      <c r="G594" s="1">
        <v>45937</v>
      </c>
      <c r="H594">
        <v>2.3130299999999999</v>
      </c>
      <c r="I594" s="1">
        <v>45965</v>
      </c>
      <c r="J594">
        <v>63.617251160000002</v>
      </c>
      <c r="K594">
        <v>5.31</v>
      </c>
      <c r="L594">
        <v>1</v>
      </c>
      <c r="M594">
        <v>231.85</v>
      </c>
      <c r="N594">
        <f>L594*F594</f>
        <v>4.1576500000000003</v>
      </c>
      <c r="O594">
        <f>L594*J594</f>
        <v>63.617251160000002</v>
      </c>
      <c r="P594">
        <f>M594-N594-H594</f>
        <v>225.37932000000001</v>
      </c>
      <c r="Q594">
        <f>P594/O594</f>
        <v>3.542739050971595</v>
      </c>
      <c r="R594">
        <f>I594-G594</f>
        <v>28</v>
      </c>
      <c r="S594">
        <f>Q594/R594</f>
        <v>0.12652639467755697</v>
      </c>
      <c r="T594">
        <f>S594*10000</f>
        <v>1265.2639467755696</v>
      </c>
    </row>
    <row r="595" spans="1:20" x14ac:dyDescent="0.3">
      <c r="A595" t="s">
        <v>55</v>
      </c>
      <c r="B595" t="s">
        <v>36</v>
      </c>
      <c r="C595">
        <v>2</v>
      </c>
      <c r="D595">
        <v>6</v>
      </c>
      <c r="E595" t="s">
        <v>47</v>
      </c>
      <c r="F595">
        <v>0.45839999999999997</v>
      </c>
      <c r="G595" s="1">
        <v>45937</v>
      </c>
      <c r="H595">
        <v>2.1006200000000002</v>
      </c>
      <c r="I595" s="1">
        <v>45965</v>
      </c>
      <c r="J595">
        <v>63.617251160000002</v>
      </c>
      <c r="K595">
        <v>5.31</v>
      </c>
      <c r="L595">
        <v>1</v>
      </c>
      <c r="M595">
        <v>3.5255299999999998</v>
      </c>
      <c r="N595">
        <f>L595*F595</f>
        <v>0.45839999999999997</v>
      </c>
      <c r="O595">
        <f>L595*J595</f>
        <v>63.617251160000002</v>
      </c>
      <c r="P595">
        <f>M595-N595-H595</f>
        <v>0.96650999999999954</v>
      </c>
      <c r="Q595">
        <f>P595/O595</f>
        <v>1.5192577207858087E-2</v>
      </c>
      <c r="R595">
        <f>I595-G595</f>
        <v>28</v>
      </c>
      <c r="S595">
        <f>Q595/R595</f>
        <v>5.4259204313778886E-4</v>
      </c>
      <c r="T595">
        <f>S595*10000</f>
        <v>5.4259204313778886</v>
      </c>
    </row>
    <row r="596" spans="1:20" x14ac:dyDescent="0.3">
      <c r="A596" t="s">
        <v>55</v>
      </c>
      <c r="B596" t="s">
        <v>36</v>
      </c>
      <c r="C596">
        <v>2</v>
      </c>
      <c r="D596">
        <v>6</v>
      </c>
      <c r="E596" t="s">
        <v>23</v>
      </c>
      <c r="F596">
        <v>0.45358999999999999</v>
      </c>
      <c r="G596" s="1">
        <v>45937</v>
      </c>
      <c r="H596">
        <v>2.0727099999999998</v>
      </c>
      <c r="I596" s="1">
        <v>45965</v>
      </c>
      <c r="J596">
        <v>63.617251160000002</v>
      </c>
      <c r="K596">
        <v>5.31</v>
      </c>
      <c r="L596">
        <v>1</v>
      </c>
      <c r="M596">
        <v>3.5267400000000002</v>
      </c>
      <c r="N596">
        <f>L596*F596</f>
        <v>0.45358999999999999</v>
      </c>
      <c r="O596">
        <f>L596*J596</f>
        <v>63.617251160000002</v>
      </c>
      <c r="P596">
        <f>M596-N596-H596</f>
        <v>1.0004400000000002</v>
      </c>
      <c r="Q596">
        <f>P596/O596</f>
        <v>1.5725923106672E-2</v>
      </c>
      <c r="R596">
        <f>I596-G596</f>
        <v>28</v>
      </c>
      <c r="S596">
        <f>Q596/R596</f>
        <v>5.6164011095257143E-4</v>
      </c>
      <c r="T596">
        <f>S596*10000</f>
        <v>5.6164011095257145</v>
      </c>
    </row>
    <row r="597" spans="1:20" x14ac:dyDescent="0.3">
      <c r="A597" t="s">
        <v>55</v>
      </c>
      <c r="B597" t="s">
        <v>36</v>
      </c>
      <c r="C597">
        <v>2</v>
      </c>
      <c r="D597">
        <v>6</v>
      </c>
      <c r="E597" t="s">
        <v>24</v>
      </c>
      <c r="F597">
        <v>0.45900999999999997</v>
      </c>
      <c r="G597" s="1">
        <v>45937</v>
      </c>
      <c r="H597">
        <v>2.1139199999999998</v>
      </c>
      <c r="I597" s="1">
        <v>45965</v>
      </c>
      <c r="J597">
        <v>63.617251160000002</v>
      </c>
      <c r="K597">
        <v>5.31</v>
      </c>
      <c r="L597">
        <v>1</v>
      </c>
      <c r="M597">
        <v>3.6340180000000002</v>
      </c>
      <c r="N597">
        <f>L597*F597</f>
        <v>0.45900999999999997</v>
      </c>
      <c r="O597">
        <f>L597*J597</f>
        <v>63.617251160000002</v>
      </c>
      <c r="P597">
        <f>M597-N597-H597</f>
        <v>1.0610880000000003</v>
      </c>
      <c r="Q597">
        <f>P597/O597</f>
        <v>1.667924942766421E-2</v>
      </c>
      <c r="R597">
        <f>I597-G597</f>
        <v>28</v>
      </c>
      <c r="S597">
        <f>Q597/R597</f>
        <v>5.9568747955943602E-4</v>
      </c>
      <c r="T597">
        <f>S597*10000</f>
        <v>5.9568747955943602</v>
      </c>
    </row>
    <row r="598" spans="1:20" x14ac:dyDescent="0.3">
      <c r="A598" t="s">
        <v>55</v>
      </c>
      <c r="B598" t="s">
        <v>36</v>
      </c>
      <c r="C598">
        <v>2</v>
      </c>
      <c r="D598">
        <v>12</v>
      </c>
      <c r="E598" t="s">
        <v>47</v>
      </c>
      <c r="F598">
        <v>0.45422000000000001</v>
      </c>
      <c r="G598" s="1">
        <v>45937</v>
      </c>
      <c r="H598">
        <v>2.2690199999999998</v>
      </c>
      <c r="I598" s="1">
        <v>45965</v>
      </c>
      <c r="J598">
        <v>63.617251160000002</v>
      </c>
      <c r="K598">
        <v>5.31</v>
      </c>
      <c r="L598">
        <v>1</v>
      </c>
      <c r="M598">
        <v>3.1475399999999998</v>
      </c>
      <c r="N598">
        <f>L598*F598</f>
        <v>0.45422000000000001</v>
      </c>
      <c r="O598">
        <f>L598*J598</f>
        <v>63.617251160000002</v>
      </c>
      <c r="P598">
        <f>M598-N598-H598</f>
        <v>0.42430000000000012</v>
      </c>
      <c r="Q598">
        <f>P598/O598</f>
        <v>6.6695745613539349E-3</v>
      </c>
      <c r="R598">
        <f>I598-G598</f>
        <v>28</v>
      </c>
      <c r="S598">
        <f>Q598/R598</f>
        <v>2.3819909147692624E-4</v>
      </c>
      <c r="T598">
        <f>S598*10000</f>
        <v>2.3819909147692626</v>
      </c>
    </row>
    <row r="599" spans="1:20" x14ac:dyDescent="0.3">
      <c r="A599" t="s">
        <v>55</v>
      </c>
      <c r="B599" t="s">
        <v>36</v>
      </c>
      <c r="C599">
        <v>2</v>
      </c>
      <c r="D599">
        <v>12</v>
      </c>
      <c r="E599" t="s">
        <v>23</v>
      </c>
      <c r="F599">
        <v>0.45829999999999999</v>
      </c>
      <c r="G599" s="1">
        <v>45937</v>
      </c>
      <c r="H599">
        <v>2.3355100000000002</v>
      </c>
      <c r="I599" s="1">
        <v>45965</v>
      </c>
      <c r="J599">
        <v>63.617251160000002</v>
      </c>
      <c r="K599">
        <v>5.31</v>
      </c>
      <c r="L599">
        <v>1</v>
      </c>
      <c r="M599">
        <v>3.1594699999999998</v>
      </c>
      <c r="N599">
        <f>L599*F599</f>
        <v>0.45829999999999999</v>
      </c>
      <c r="O599">
        <f>L599*J599</f>
        <v>63.617251160000002</v>
      </c>
      <c r="P599">
        <f>M599-N599-H599</f>
        <v>0.36565999999999965</v>
      </c>
      <c r="Q599">
        <f>P599/O599</f>
        <v>5.7478120059030798E-3</v>
      </c>
      <c r="R599">
        <f>I599-G599</f>
        <v>28</v>
      </c>
      <c r="S599">
        <f>Q599/R599</f>
        <v>2.0527900021082428E-4</v>
      </c>
      <c r="T599">
        <f>S599*10000</f>
        <v>2.0527900021082428</v>
      </c>
    </row>
    <row r="600" spans="1:20" x14ac:dyDescent="0.3">
      <c r="A600" t="s">
        <v>55</v>
      </c>
      <c r="B600" t="s">
        <v>36</v>
      </c>
      <c r="C600">
        <v>2</v>
      </c>
      <c r="D600">
        <v>12</v>
      </c>
      <c r="E600" t="s">
        <v>24</v>
      </c>
      <c r="F600">
        <v>0.45345000000000002</v>
      </c>
      <c r="G600" s="1">
        <v>45937</v>
      </c>
      <c r="H600">
        <v>2.3471099999999998</v>
      </c>
      <c r="I600" s="1">
        <v>45965</v>
      </c>
      <c r="J600">
        <v>63.617251160000002</v>
      </c>
      <c r="K600">
        <v>5.31</v>
      </c>
      <c r="L600">
        <v>1</v>
      </c>
      <c r="M600">
        <v>3.2197399999999998</v>
      </c>
      <c r="N600">
        <f>L600*F600</f>
        <v>0.45345000000000002</v>
      </c>
      <c r="O600">
        <f>L600*J600</f>
        <v>63.617251160000002</v>
      </c>
      <c r="P600">
        <f>M600-N600-H600</f>
        <v>0.41917999999999989</v>
      </c>
      <c r="Q600">
        <f>P600/O600</f>
        <v>6.5890932468261627E-3</v>
      </c>
      <c r="R600">
        <f>I600-G600</f>
        <v>28</v>
      </c>
      <c r="S600">
        <f>Q600/R600</f>
        <v>2.353247588152201E-4</v>
      </c>
      <c r="T600">
        <f>S600*10000</f>
        <v>2.3532475881522008</v>
      </c>
    </row>
    <row r="601" spans="1:20" x14ac:dyDescent="0.3">
      <c r="A601" t="s">
        <v>55</v>
      </c>
      <c r="B601" t="s">
        <v>36</v>
      </c>
      <c r="C601">
        <v>2</v>
      </c>
      <c r="D601">
        <v>24</v>
      </c>
      <c r="E601" t="s">
        <v>22</v>
      </c>
      <c r="F601">
        <v>0.45483000000000001</v>
      </c>
      <c r="G601" s="1">
        <v>45937</v>
      </c>
      <c r="H601">
        <v>2.3297099999999999</v>
      </c>
      <c r="I601" s="1">
        <v>45965</v>
      </c>
      <c r="J601">
        <v>63.617251160000002</v>
      </c>
      <c r="K601">
        <v>5.31</v>
      </c>
      <c r="L601">
        <v>1</v>
      </c>
      <c r="M601">
        <v>2.9301599999999999</v>
      </c>
      <c r="N601">
        <f>L601*F601</f>
        <v>0.45483000000000001</v>
      </c>
      <c r="O601">
        <f>L601*J601</f>
        <v>63.617251160000002</v>
      </c>
      <c r="P601">
        <f>M601-N601-H601</f>
        <v>0.14562000000000008</v>
      </c>
      <c r="Q601">
        <f>P601/O601</f>
        <v>2.2890017620182898E-3</v>
      </c>
      <c r="R601">
        <f>I601-G601</f>
        <v>28</v>
      </c>
      <c r="S601">
        <f>Q601/R601</f>
        <v>8.1750062929224638E-5</v>
      </c>
      <c r="T601">
        <f>S601*10000</f>
        <v>0.81750062929224643</v>
      </c>
    </row>
    <row r="602" spans="1:20" x14ac:dyDescent="0.3">
      <c r="A602" t="s">
        <v>55</v>
      </c>
      <c r="B602" t="s">
        <v>36</v>
      </c>
      <c r="C602">
        <v>2</v>
      </c>
      <c r="D602">
        <v>24</v>
      </c>
      <c r="E602" t="s">
        <v>23</v>
      </c>
      <c r="F602">
        <v>0.45773000000000003</v>
      </c>
      <c r="G602" s="1">
        <v>45937</v>
      </c>
      <c r="H602">
        <v>2.1087799999999999</v>
      </c>
      <c r="I602" s="1">
        <v>45965</v>
      </c>
      <c r="J602">
        <v>63.617251160000002</v>
      </c>
      <c r="K602">
        <v>5.31</v>
      </c>
      <c r="L602">
        <v>1</v>
      </c>
      <c r="M602">
        <v>2.7153700000000001</v>
      </c>
      <c r="N602">
        <f>L602*F602</f>
        <v>0.45773000000000003</v>
      </c>
      <c r="O602">
        <f>L602*J602</f>
        <v>63.617251160000002</v>
      </c>
      <c r="P602">
        <f>M602-N602-H602</f>
        <v>0.14885999999999999</v>
      </c>
      <c r="Q602">
        <f>P602/O602</f>
        <v>2.3399313438678916E-3</v>
      </c>
      <c r="R602">
        <f>I602-G602</f>
        <v>28</v>
      </c>
      <c r="S602">
        <f>Q602/R602</f>
        <v>8.3568976566710416E-5</v>
      </c>
      <c r="T602">
        <f>S602*10000</f>
        <v>0.83568976566710418</v>
      </c>
    </row>
    <row r="603" spans="1:20" x14ac:dyDescent="0.3">
      <c r="A603" t="s">
        <v>55</v>
      </c>
      <c r="B603" t="s">
        <v>36</v>
      </c>
      <c r="C603">
        <v>2</v>
      </c>
      <c r="D603">
        <v>24</v>
      </c>
      <c r="E603" t="s">
        <v>24</v>
      </c>
      <c r="F603">
        <v>0.45405000000000001</v>
      </c>
      <c r="G603" s="1">
        <v>45937</v>
      </c>
      <c r="H603">
        <v>2.34036</v>
      </c>
      <c r="I603" s="1">
        <v>45965</v>
      </c>
      <c r="J603">
        <v>63.617251160000002</v>
      </c>
      <c r="K603">
        <v>5.31</v>
      </c>
      <c r="L603">
        <v>1</v>
      </c>
      <c r="M603">
        <v>2.9272999999999998</v>
      </c>
      <c r="N603">
        <f>L603*F603</f>
        <v>0.45405000000000001</v>
      </c>
      <c r="O603">
        <f>L603*J603</f>
        <v>63.617251160000002</v>
      </c>
      <c r="P603">
        <f>M603-N603-H603</f>
        <v>0.13288999999999973</v>
      </c>
      <c r="Q603">
        <f>P603/O603</f>
        <v>2.0888988061709222E-3</v>
      </c>
      <c r="R603">
        <f>I603-G603</f>
        <v>28</v>
      </c>
      <c r="S603">
        <f>Q603/R603</f>
        <v>7.4603528791818645E-5</v>
      </c>
      <c r="T603">
        <f>S603*10000</f>
        <v>0.74603528791818641</v>
      </c>
    </row>
    <row r="604" spans="1:20" x14ac:dyDescent="0.3">
      <c r="A604" t="s">
        <v>55</v>
      </c>
      <c r="B604" t="s">
        <v>36</v>
      </c>
      <c r="C604">
        <v>2</v>
      </c>
      <c r="D604">
        <v>48</v>
      </c>
      <c r="E604" t="s">
        <v>47</v>
      </c>
      <c r="F604">
        <v>0.45706999999999998</v>
      </c>
      <c r="G604" s="1">
        <v>45937</v>
      </c>
      <c r="H604">
        <v>2.1283799999999999</v>
      </c>
      <c r="I604" s="1">
        <v>45965</v>
      </c>
      <c r="J604">
        <v>63.617251160000002</v>
      </c>
      <c r="K604">
        <v>5.31</v>
      </c>
      <c r="L604">
        <v>1</v>
      </c>
      <c r="M604">
        <v>3.0817800000000002</v>
      </c>
      <c r="N604">
        <f>L604*F604</f>
        <v>0.45706999999999998</v>
      </c>
      <c r="O604">
        <f>L604*J604</f>
        <v>63.617251160000002</v>
      </c>
      <c r="P604">
        <f>M604-N604-H604</f>
        <v>0.49633000000000038</v>
      </c>
      <c r="Q604">
        <f>P604/O604</f>
        <v>7.8018146171029935E-3</v>
      </c>
      <c r="R604">
        <f>I604-G604</f>
        <v>28</v>
      </c>
      <c r="S604">
        <f>Q604/R604</f>
        <v>2.7863623632510691E-4</v>
      </c>
      <c r="T604">
        <f>S604*10000</f>
        <v>2.7863623632510692</v>
      </c>
    </row>
    <row r="605" spans="1:20" x14ac:dyDescent="0.3">
      <c r="A605" t="s">
        <v>55</v>
      </c>
      <c r="B605" t="s">
        <v>36</v>
      </c>
      <c r="C605">
        <v>2</v>
      </c>
      <c r="D605">
        <v>48</v>
      </c>
      <c r="E605" t="s">
        <v>23</v>
      </c>
      <c r="F605">
        <v>0.45479000000000003</v>
      </c>
      <c r="G605" s="1">
        <v>45937</v>
      </c>
      <c r="H605">
        <v>2.09436</v>
      </c>
      <c r="I605" s="1">
        <v>45965</v>
      </c>
      <c r="J605">
        <v>63.617251160000002</v>
      </c>
      <c r="K605">
        <v>5.31</v>
      </c>
      <c r="L605">
        <v>1</v>
      </c>
      <c r="M605">
        <v>3.07694</v>
      </c>
      <c r="N605">
        <f>L605*F605</f>
        <v>0.45479000000000003</v>
      </c>
      <c r="O605">
        <f>L605*J605</f>
        <v>63.617251160000002</v>
      </c>
      <c r="P605">
        <f>M605-N605-H605</f>
        <v>0.52778999999999998</v>
      </c>
      <c r="Q605">
        <f>P605/O605</f>
        <v>8.2963345692599385E-3</v>
      </c>
      <c r="R605">
        <f>I605-G605</f>
        <v>28</v>
      </c>
      <c r="S605">
        <f>Q605/R605</f>
        <v>2.9629766318785495E-4</v>
      </c>
      <c r="T605">
        <f>S605*10000</f>
        <v>2.9629766318785493</v>
      </c>
    </row>
    <row r="606" spans="1:20" x14ac:dyDescent="0.3">
      <c r="A606" t="s">
        <v>55</v>
      </c>
      <c r="B606" t="s">
        <v>36</v>
      </c>
      <c r="C606">
        <v>2</v>
      </c>
      <c r="D606">
        <v>48</v>
      </c>
      <c r="E606" t="s">
        <v>24</v>
      </c>
      <c r="F606">
        <v>0.45722000000000002</v>
      </c>
      <c r="G606" s="1">
        <v>45937</v>
      </c>
      <c r="H606">
        <v>2.0282200000000001</v>
      </c>
      <c r="I606" s="1">
        <v>45965</v>
      </c>
      <c r="J606">
        <v>63.617251160000002</v>
      </c>
      <c r="K606">
        <v>5.31</v>
      </c>
      <c r="L606">
        <v>1</v>
      </c>
      <c r="M606">
        <v>2.9824199999999998</v>
      </c>
      <c r="N606">
        <f>L606*F606</f>
        <v>0.45722000000000002</v>
      </c>
      <c r="O606">
        <f>L606*J606</f>
        <v>63.617251160000002</v>
      </c>
      <c r="P606">
        <f>M606-N606-H606</f>
        <v>0.49697999999999976</v>
      </c>
      <c r="Q606">
        <f>P606/O606</f>
        <v>7.8120319714863919E-3</v>
      </c>
      <c r="R606">
        <f>I606-G606</f>
        <v>28</v>
      </c>
      <c r="S606">
        <f>Q606/R606</f>
        <v>2.7900114183879973E-4</v>
      </c>
      <c r="T606">
        <f>S606*10000</f>
        <v>2.7900114183879974</v>
      </c>
    </row>
    <row r="607" spans="1:20" x14ac:dyDescent="0.3">
      <c r="A607" t="s">
        <v>55</v>
      </c>
      <c r="B607" t="s">
        <v>36</v>
      </c>
      <c r="E607" t="s">
        <v>48</v>
      </c>
      <c r="F607">
        <v>0.45650000000000002</v>
      </c>
      <c r="G607" t="s">
        <v>27</v>
      </c>
      <c r="H607">
        <v>2.73482</v>
      </c>
      <c r="I607" t="s">
        <v>27</v>
      </c>
      <c r="J607">
        <v>63.617251160000002</v>
      </c>
      <c r="K607">
        <v>5.31</v>
      </c>
      <c r="L607" t="s">
        <v>27</v>
      </c>
      <c r="M607" t="s">
        <v>27</v>
      </c>
      <c r="N607" t="e">
        <f>L607*F607</f>
        <v>#VALUE!</v>
      </c>
      <c r="O607" t="e">
        <f>L607*J607</f>
        <v>#VALUE!</v>
      </c>
      <c r="P607" t="e">
        <f>M607-N607-H607</f>
        <v>#VALUE!</v>
      </c>
      <c r="Q607" t="e">
        <f>P607/O607</f>
        <v>#VALUE!</v>
      </c>
      <c r="R607" t="e">
        <f>I607-G607</f>
        <v>#VALUE!</v>
      </c>
      <c r="S607" t="e">
        <f>Q607/R607</f>
        <v>#VALUE!</v>
      </c>
      <c r="T607" t="e">
        <f>S607*10000</f>
        <v>#VALUE!</v>
      </c>
    </row>
    <row r="608" spans="1:20" x14ac:dyDescent="0.3">
      <c r="A608" t="s">
        <v>55</v>
      </c>
      <c r="B608" t="s">
        <v>36</v>
      </c>
      <c r="E608" t="s">
        <v>49</v>
      </c>
      <c r="F608">
        <v>0.45498</v>
      </c>
      <c r="G608" t="s">
        <v>27</v>
      </c>
      <c r="H608">
        <v>2.7195399999999998</v>
      </c>
      <c r="I608" t="s">
        <v>27</v>
      </c>
      <c r="J608">
        <v>63.617251160000002</v>
      </c>
      <c r="K608">
        <v>5.31</v>
      </c>
      <c r="L608" t="s">
        <v>27</v>
      </c>
      <c r="M608" t="s">
        <v>27</v>
      </c>
      <c r="N608" t="e">
        <f>L608*F608</f>
        <v>#VALUE!</v>
      </c>
      <c r="O608" t="e">
        <f>L608*J608</f>
        <v>#VALUE!</v>
      </c>
      <c r="P608" t="e">
        <f>M608-N608-H608</f>
        <v>#VALUE!</v>
      </c>
      <c r="Q608" t="e">
        <f>P608/O608</f>
        <v>#VALUE!</v>
      </c>
      <c r="R608" t="e">
        <f>I608-G608</f>
        <v>#VALUE!</v>
      </c>
      <c r="S608" t="e">
        <f>Q608/R608</f>
        <v>#VALUE!</v>
      </c>
      <c r="T608" t="e">
        <f>S608*10000</f>
        <v>#VALUE!</v>
      </c>
    </row>
    <row r="609" spans="1:20" x14ac:dyDescent="0.3">
      <c r="A609" t="s">
        <v>55</v>
      </c>
      <c r="B609" t="s">
        <v>36</v>
      </c>
      <c r="E609" t="s">
        <v>50</v>
      </c>
      <c r="F609">
        <v>0.45745999999999998</v>
      </c>
      <c r="G609" t="s">
        <v>27</v>
      </c>
      <c r="H609">
        <v>2.7252299999999998</v>
      </c>
      <c r="I609" t="s">
        <v>27</v>
      </c>
      <c r="J609">
        <v>63.617251160000002</v>
      </c>
      <c r="K609">
        <v>5.31</v>
      </c>
      <c r="L609" t="s">
        <v>27</v>
      </c>
      <c r="M609" t="s">
        <v>27</v>
      </c>
      <c r="N609" t="e">
        <f>L609*F609</f>
        <v>#VALUE!</v>
      </c>
      <c r="O609" t="e">
        <f>L609*J609</f>
        <v>#VALUE!</v>
      </c>
      <c r="P609" t="e">
        <f>M609-N609-H609</f>
        <v>#VALUE!</v>
      </c>
      <c r="Q609" t="e">
        <f>P609/O609</f>
        <v>#VALUE!</v>
      </c>
      <c r="R609" t="e">
        <f>I609-G609</f>
        <v>#VALUE!</v>
      </c>
      <c r="S609" t="e">
        <f>Q609/R609</f>
        <v>#VALUE!</v>
      </c>
      <c r="T609" t="e">
        <f>S609*10000</f>
        <v>#VALUE!</v>
      </c>
    </row>
    <row r="610" spans="1:20" x14ac:dyDescent="0.3">
      <c r="A610" t="s">
        <v>55</v>
      </c>
      <c r="B610" t="s">
        <v>36</v>
      </c>
      <c r="E610" t="s">
        <v>51</v>
      </c>
      <c r="F610">
        <v>0.45700000000000002</v>
      </c>
      <c r="G610" t="s">
        <v>27</v>
      </c>
      <c r="H610">
        <v>2.71075</v>
      </c>
      <c r="I610" t="s">
        <v>27</v>
      </c>
      <c r="J610">
        <v>63.617251160000002</v>
      </c>
      <c r="K610">
        <v>5.31</v>
      </c>
      <c r="L610" t="s">
        <v>27</v>
      </c>
      <c r="M610" t="s">
        <v>27</v>
      </c>
      <c r="N610" t="e">
        <f>L610*F610</f>
        <v>#VALUE!</v>
      </c>
      <c r="O610" t="e">
        <f>L610*J610</f>
        <v>#VALUE!</v>
      </c>
      <c r="P610" t="e">
        <f>M610-N610-H610</f>
        <v>#VALUE!</v>
      </c>
      <c r="Q610" t="e">
        <f>P610/O610</f>
        <v>#VALUE!</v>
      </c>
      <c r="R610" t="e">
        <f>I610-G610</f>
        <v>#VALUE!</v>
      </c>
      <c r="S610" t="e">
        <f>Q610/R610</f>
        <v>#VALUE!</v>
      </c>
      <c r="T610" t="e">
        <f>S610*10000</f>
        <v>#VALUE!</v>
      </c>
    </row>
    <row r="611" spans="1:20" x14ac:dyDescent="0.3">
      <c r="A611" t="s">
        <v>55</v>
      </c>
      <c r="B611" t="s">
        <v>40</v>
      </c>
      <c r="C611">
        <v>1</v>
      </c>
      <c r="D611">
        <v>0.5</v>
      </c>
      <c r="E611" t="s">
        <v>47</v>
      </c>
      <c r="F611">
        <v>4.7462</v>
      </c>
      <c r="G611" s="1">
        <v>45936</v>
      </c>
      <c r="H611">
        <v>2.3524799999999999</v>
      </c>
      <c r="I611" s="1">
        <v>45964</v>
      </c>
      <c r="J611">
        <v>63.617251160000002</v>
      </c>
      <c r="K611">
        <v>5.31</v>
      </c>
      <c r="L611">
        <v>1</v>
      </c>
      <c r="M611">
        <v>7.0060000000000002</v>
      </c>
      <c r="N611">
        <f>L611*F611</f>
        <v>4.7462</v>
      </c>
      <c r="O611">
        <f>L611*J611</f>
        <v>63.617251160000002</v>
      </c>
      <c r="P611">
        <f>M611-N611-H611</f>
        <v>-9.2679999999999652E-2</v>
      </c>
      <c r="Q611">
        <f>P611/O611</f>
        <v>-1.4568375450065524E-3</v>
      </c>
      <c r="R611">
        <f>I611-G611</f>
        <v>28</v>
      </c>
      <c r="S611">
        <f>Q611/R611</f>
        <v>-5.2029912321662585E-5</v>
      </c>
      <c r="T611">
        <f>S611*10000</f>
        <v>-0.52029912321662586</v>
      </c>
    </row>
    <row r="612" spans="1:20" x14ac:dyDescent="0.3">
      <c r="A612" t="s">
        <v>55</v>
      </c>
      <c r="B612" t="s">
        <v>40</v>
      </c>
      <c r="C612">
        <v>1</v>
      </c>
      <c r="D612">
        <v>0.5</v>
      </c>
      <c r="E612" t="s">
        <v>23</v>
      </c>
      <c r="F612">
        <v>4.8978099999999998</v>
      </c>
      <c r="G612" s="1">
        <v>45936</v>
      </c>
      <c r="H612">
        <v>2.31718</v>
      </c>
      <c r="I612" s="1">
        <v>45964</v>
      </c>
      <c r="J612">
        <v>63.617251160000002</v>
      </c>
      <c r="K612">
        <v>5.31</v>
      </c>
      <c r="L612">
        <v>1</v>
      </c>
      <c r="M612">
        <v>7.0010899999999996</v>
      </c>
      <c r="N612">
        <f>L612*F612</f>
        <v>4.8978099999999998</v>
      </c>
      <c r="O612">
        <f>L612*J612</f>
        <v>63.617251160000002</v>
      </c>
      <c r="P612">
        <f>M612-N612-H612</f>
        <v>-0.2139000000000002</v>
      </c>
      <c r="Q612">
        <f>P612/O612</f>
        <v>-3.3622955424784532E-3</v>
      </c>
      <c r="R612">
        <f>I612-G612</f>
        <v>28</v>
      </c>
      <c r="S612">
        <f>Q612/R612</f>
        <v>-1.2008198365994476E-4</v>
      </c>
      <c r="T612">
        <f>S612*10000</f>
        <v>-1.2008198365994476</v>
      </c>
    </row>
    <row r="613" spans="1:20" x14ac:dyDescent="0.3">
      <c r="A613" t="s">
        <v>55</v>
      </c>
      <c r="B613" t="s">
        <v>40</v>
      </c>
      <c r="C613">
        <v>1</v>
      </c>
      <c r="D613">
        <v>0.5</v>
      </c>
      <c r="E613" t="s">
        <v>24</v>
      </c>
      <c r="F613">
        <v>4.5781000000000001</v>
      </c>
      <c r="G613" s="1">
        <v>45936</v>
      </c>
      <c r="H613">
        <v>2.3169599999999999</v>
      </c>
      <c r="I613" s="1">
        <v>45964</v>
      </c>
      <c r="J613">
        <v>63.617251160000002</v>
      </c>
      <c r="K613">
        <v>5.31</v>
      </c>
      <c r="L613">
        <v>1</v>
      </c>
      <c r="M613">
        <v>6.9960000000000004</v>
      </c>
      <c r="N613">
        <f>L613*F613</f>
        <v>4.5781000000000001</v>
      </c>
      <c r="O613">
        <f>L613*J613</f>
        <v>63.617251160000002</v>
      </c>
      <c r="P613">
        <f>M613-N613-H613</f>
        <v>0.10094000000000047</v>
      </c>
      <c r="Q613">
        <f>P613/O613</f>
        <v>1.5866765407095667E-3</v>
      </c>
      <c r="R613">
        <f>I613-G613</f>
        <v>28</v>
      </c>
      <c r="S613">
        <f>Q613/R613</f>
        <v>5.6667019311055953E-5</v>
      </c>
      <c r="T613">
        <f>S613*10000</f>
        <v>0.56667019311055955</v>
      </c>
    </row>
    <row r="614" spans="1:20" x14ac:dyDescent="0.3">
      <c r="A614" t="s">
        <v>55</v>
      </c>
      <c r="B614" t="s">
        <v>40</v>
      </c>
      <c r="C614">
        <v>1</v>
      </c>
      <c r="D614">
        <v>2</v>
      </c>
      <c r="E614" t="s">
        <v>47</v>
      </c>
      <c r="F614">
        <v>4.5</v>
      </c>
      <c r="G614" s="1">
        <v>45936</v>
      </c>
      <c r="H614">
        <v>2.31684</v>
      </c>
      <c r="I614" s="1">
        <v>45964</v>
      </c>
      <c r="J614">
        <v>63.617251160000002</v>
      </c>
      <c r="K614">
        <v>5.31</v>
      </c>
      <c r="L614">
        <v>1</v>
      </c>
      <c r="M614">
        <v>7.4453199999999997</v>
      </c>
      <c r="N614">
        <f>L614*F614</f>
        <v>4.5</v>
      </c>
      <c r="O614">
        <f>L614*J614</f>
        <v>63.617251160000002</v>
      </c>
      <c r="P614">
        <f>M614-N614-H614</f>
        <v>0.62847999999999971</v>
      </c>
      <c r="Q614">
        <f>P614/O614</f>
        <v>9.8790813582835674E-3</v>
      </c>
      <c r="R614">
        <f>I614-G614</f>
        <v>28</v>
      </c>
      <c r="S614">
        <f>Q614/R614</f>
        <v>3.5282433422441313E-4</v>
      </c>
      <c r="T614">
        <f>S614*10000</f>
        <v>3.5282433422441315</v>
      </c>
    </row>
    <row r="615" spans="1:20" x14ac:dyDescent="0.3">
      <c r="A615" t="s">
        <v>55</v>
      </c>
      <c r="B615" t="s">
        <v>40</v>
      </c>
      <c r="C615">
        <v>1</v>
      </c>
      <c r="D615">
        <v>2</v>
      </c>
      <c r="E615" t="s">
        <v>23</v>
      </c>
      <c r="F615">
        <v>4.5141999999999998</v>
      </c>
      <c r="G615" s="1">
        <v>45936</v>
      </c>
      <c r="H615">
        <v>2.3153000000000001</v>
      </c>
      <c r="I615" s="1">
        <v>45964</v>
      </c>
      <c r="J615">
        <v>63.617251160000002</v>
      </c>
      <c r="K615">
        <v>5.31</v>
      </c>
      <c r="L615">
        <v>1</v>
      </c>
      <c r="M615">
        <v>7.1791299999999998</v>
      </c>
      <c r="N615">
        <f>L615*F615</f>
        <v>4.5141999999999998</v>
      </c>
      <c r="O615">
        <f>L615*J615</f>
        <v>63.617251160000002</v>
      </c>
      <c r="P615">
        <f>M615-N615-H615</f>
        <v>0.34962999999999989</v>
      </c>
      <c r="Q615">
        <f>P615/O615</f>
        <v>5.4958363278014965E-3</v>
      </c>
      <c r="R615">
        <f>I615-G615</f>
        <v>28</v>
      </c>
      <c r="S615">
        <f>Q615/R615</f>
        <v>1.9627986885005345E-4</v>
      </c>
      <c r="T615">
        <f>S615*10000</f>
        <v>1.9627986885005344</v>
      </c>
    </row>
    <row r="616" spans="1:20" x14ac:dyDescent="0.3">
      <c r="A616" t="s">
        <v>55</v>
      </c>
      <c r="B616" t="s">
        <v>40</v>
      </c>
      <c r="C616">
        <v>1</v>
      </c>
      <c r="D616">
        <v>2</v>
      </c>
      <c r="E616" t="s">
        <v>24</v>
      </c>
      <c r="F616">
        <v>5.0058199999999999</v>
      </c>
      <c r="G616" s="1">
        <v>45936</v>
      </c>
      <c r="H616">
        <v>2.3492700000000002</v>
      </c>
      <c r="I616" s="1">
        <v>45964</v>
      </c>
      <c r="J616">
        <v>63.617251160000002</v>
      </c>
      <c r="K616">
        <v>5.31</v>
      </c>
      <c r="L616">
        <v>1</v>
      </c>
      <c r="M616">
        <v>6.96638</v>
      </c>
      <c r="N616">
        <f>L616*F616</f>
        <v>5.0058199999999999</v>
      </c>
      <c r="O616">
        <f>L616*J616</f>
        <v>63.617251160000002</v>
      </c>
      <c r="P616">
        <f>M616-N616-H616</f>
        <v>-0.38871000000000011</v>
      </c>
      <c r="Q616">
        <f>P616/O616</f>
        <v>-6.1101351113454824E-3</v>
      </c>
      <c r="R616">
        <f>I616-G616</f>
        <v>28</v>
      </c>
      <c r="S616">
        <f>Q616/R616</f>
        <v>-2.182191111194815E-4</v>
      </c>
      <c r="T616">
        <f>S616*10000</f>
        <v>-2.1821911111948151</v>
      </c>
    </row>
    <row r="617" spans="1:20" x14ac:dyDescent="0.3">
      <c r="A617" t="s">
        <v>55</v>
      </c>
      <c r="B617" t="s">
        <v>40</v>
      </c>
      <c r="C617">
        <v>1</v>
      </c>
      <c r="D617">
        <v>6</v>
      </c>
      <c r="E617" t="s">
        <v>47</v>
      </c>
      <c r="F617">
        <v>0.45384000000000002</v>
      </c>
      <c r="G617" s="1">
        <v>45936</v>
      </c>
      <c r="H617">
        <v>2.3238400000000001</v>
      </c>
      <c r="I617" s="1">
        <v>45964</v>
      </c>
      <c r="J617">
        <v>63.617251160000002</v>
      </c>
      <c r="K617">
        <v>5.31</v>
      </c>
      <c r="L617">
        <v>1</v>
      </c>
      <c r="M617">
        <v>3.1912799999999999</v>
      </c>
      <c r="N617">
        <f>L617*F617</f>
        <v>0.45384000000000002</v>
      </c>
      <c r="O617">
        <f>L617*J617</f>
        <v>63.617251160000002</v>
      </c>
      <c r="P617">
        <f>M617-N617-H617</f>
        <v>0.41359999999999975</v>
      </c>
      <c r="Q617">
        <f>P617/O617</f>
        <v>6.5013811891962876E-3</v>
      </c>
      <c r="R617">
        <f>I617-G617</f>
        <v>28</v>
      </c>
      <c r="S617">
        <f>Q617/R617</f>
        <v>2.3219218532843884E-4</v>
      </c>
      <c r="T617">
        <f>S617*10000</f>
        <v>2.3219218532843882</v>
      </c>
    </row>
    <row r="618" spans="1:20" x14ac:dyDescent="0.3">
      <c r="A618" t="s">
        <v>55</v>
      </c>
      <c r="B618" t="s">
        <v>40</v>
      </c>
      <c r="C618">
        <v>1</v>
      </c>
      <c r="D618">
        <v>6</v>
      </c>
      <c r="E618" t="s">
        <v>23</v>
      </c>
      <c r="F618">
        <v>0.44089</v>
      </c>
      <c r="G618" s="1">
        <v>45936</v>
      </c>
      <c r="H618">
        <v>2.3397700000000001</v>
      </c>
      <c r="I618" s="1">
        <v>45964</v>
      </c>
      <c r="J618">
        <v>63.617251160000002</v>
      </c>
      <c r="K618">
        <v>5.31</v>
      </c>
      <c r="L618">
        <v>1</v>
      </c>
      <c r="M618">
        <v>3.1575199999999999</v>
      </c>
      <c r="N618">
        <f>L618*F618</f>
        <v>0.44089</v>
      </c>
      <c r="O618">
        <f>L618*J618</f>
        <v>63.617251160000002</v>
      </c>
      <c r="P618">
        <f>M618-N618-H618</f>
        <v>0.37685999999999975</v>
      </c>
      <c r="Q618">
        <f>P618/O618</f>
        <v>5.9238648814325745E-3</v>
      </c>
      <c r="R618">
        <f>I618-G618</f>
        <v>28</v>
      </c>
      <c r="S618">
        <f>Q618/R618</f>
        <v>2.1156660290830623E-4</v>
      </c>
      <c r="T618">
        <f>S618*10000</f>
        <v>2.1156660290830622</v>
      </c>
    </row>
    <row r="619" spans="1:20" x14ac:dyDescent="0.3">
      <c r="A619" t="s">
        <v>55</v>
      </c>
      <c r="B619" t="s">
        <v>40</v>
      </c>
      <c r="C619">
        <v>1</v>
      </c>
      <c r="D619">
        <v>6</v>
      </c>
      <c r="E619" t="s">
        <v>24</v>
      </c>
      <c r="F619">
        <v>0.45318999999999998</v>
      </c>
      <c r="G619" s="1">
        <v>45936</v>
      </c>
      <c r="H619">
        <v>2.34016</v>
      </c>
      <c r="I619" s="1">
        <v>45964</v>
      </c>
      <c r="J619">
        <v>63.617251160000002</v>
      </c>
      <c r="K619">
        <v>5.31</v>
      </c>
      <c r="L619">
        <v>0</v>
      </c>
      <c r="M619">
        <v>2.8201100000000001</v>
      </c>
      <c r="N619">
        <f>L619*F619</f>
        <v>0</v>
      </c>
      <c r="O619">
        <f>L619*J619</f>
        <v>0</v>
      </c>
      <c r="P619">
        <f>M619-N619-H619</f>
        <v>0.4799500000000001</v>
      </c>
      <c r="Q619" t="e">
        <f>P619/O619</f>
        <v>#DIV/0!</v>
      </c>
      <c r="R619">
        <f>I619-G619</f>
        <v>28</v>
      </c>
      <c r="S619" t="e">
        <f>Q619/R619</f>
        <v>#DIV/0!</v>
      </c>
      <c r="T619" t="e">
        <f>S619*10000</f>
        <v>#DIV/0!</v>
      </c>
    </row>
    <row r="620" spans="1:20" x14ac:dyDescent="0.3">
      <c r="A620" t="s">
        <v>55</v>
      </c>
      <c r="B620" t="s">
        <v>40</v>
      </c>
      <c r="C620">
        <v>1</v>
      </c>
      <c r="D620">
        <v>12</v>
      </c>
      <c r="E620" t="s">
        <v>47</v>
      </c>
      <c r="F620">
        <v>0.45258999999999999</v>
      </c>
      <c r="G620" s="1">
        <v>45936</v>
      </c>
      <c r="H620">
        <v>2.2797999999999998</v>
      </c>
      <c r="I620" s="1">
        <v>45964</v>
      </c>
      <c r="J620">
        <v>63.617251160000002</v>
      </c>
      <c r="K620">
        <v>5.31</v>
      </c>
      <c r="L620">
        <v>1</v>
      </c>
      <c r="M620">
        <v>2.94631</v>
      </c>
      <c r="N620">
        <f>L620*F620</f>
        <v>0.45258999999999999</v>
      </c>
      <c r="O620">
        <f>L620*J620</f>
        <v>63.617251160000002</v>
      </c>
      <c r="P620">
        <f>M620-N620-H620</f>
        <v>0.21392000000000033</v>
      </c>
      <c r="Q620">
        <f>P620/O620</f>
        <v>3.362609922613329E-3</v>
      </c>
      <c r="R620">
        <f>I620-G620</f>
        <v>28</v>
      </c>
      <c r="S620">
        <f>Q620/R620</f>
        <v>1.2009321152190461E-4</v>
      </c>
      <c r="T620">
        <f>S620*10000</f>
        <v>1.2009321152190462</v>
      </c>
    </row>
    <row r="621" spans="1:20" x14ac:dyDescent="0.3">
      <c r="A621" t="s">
        <v>55</v>
      </c>
      <c r="B621" t="s">
        <v>40</v>
      </c>
      <c r="C621">
        <v>1</v>
      </c>
      <c r="D621">
        <v>12</v>
      </c>
      <c r="E621" t="s">
        <v>23</v>
      </c>
      <c r="F621">
        <v>0.45223999999999998</v>
      </c>
      <c r="G621" s="1">
        <v>45936</v>
      </c>
      <c r="H621">
        <v>2.29975</v>
      </c>
      <c r="I621" s="1">
        <v>45964</v>
      </c>
      <c r="J621">
        <v>63.617251160000002</v>
      </c>
      <c r="K621">
        <v>5.31</v>
      </c>
      <c r="L621">
        <v>1</v>
      </c>
      <c r="M621">
        <v>2.9388000000000001</v>
      </c>
      <c r="N621">
        <f>L621*F621</f>
        <v>0.45223999999999998</v>
      </c>
      <c r="O621">
        <f>L621*J621</f>
        <v>63.617251160000002</v>
      </c>
      <c r="P621">
        <f>M621-N621-H621</f>
        <v>0.18680999999999992</v>
      </c>
      <c r="Q621">
        <f>P621/O621</f>
        <v>2.9364676497914866E-3</v>
      </c>
      <c r="R621">
        <f>I621-G621</f>
        <v>28</v>
      </c>
      <c r="S621">
        <f>Q621/R621</f>
        <v>1.0487384463541023E-4</v>
      </c>
      <c r="T621">
        <f>S621*10000</f>
        <v>1.0487384463541023</v>
      </c>
    </row>
    <row r="622" spans="1:20" x14ac:dyDescent="0.3">
      <c r="A622" t="s">
        <v>55</v>
      </c>
      <c r="B622" t="s">
        <v>40</v>
      </c>
      <c r="C622">
        <v>1</v>
      </c>
      <c r="D622">
        <v>12</v>
      </c>
      <c r="E622" t="s">
        <v>24</v>
      </c>
      <c r="F622">
        <v>0.45689999999999997</v>
      </c>
      <c r="G622" s="1">
        <v>45936</v>
      </c>
      <c r="H622">
        <v>2.3171400000000002</v>
      </c>
      <c r="I622" s="1">
        <v>45964</v>
      </c>
      <c r="J622">
        <v>63.617251160000002</v>
      </c>
      <c r="K622">
        <v>5.31</v>
      </c>
      <c r="L622">
        <v>1</v>
      </c>
      <c r="M622" t="s">
        <v>27</v>
      </c>
      <c r="N622">
        <f>L622*F622</f>
        <v>0.45689999999999997</v>
      </c>
      <c r="O622">
        <f>L622*J622</f>
        <v>63.617251160000002</v>
      </c>
      <c r="P622" t="e">
        <f>M622-N622-H622</f>
        <v>#VALUE!</v>
      </c>
      <c r="Q622" t="e">
        <f>P622/O622</f>
        <v>#VALUE!</v>
      </c>
      <c r="R622">
        <f>I622-G622</f>
        <v>28</v>
      </c>
      <c r="S622" t="e">
        <f>Q622/R622</f>
        <v>#VALUE!</v>
      </c>
      <c r="T622" t="e">
        <f>S622*10000</f>
        <v>#VALUE!</v>
      </c>
    </row>
    <row r="623" spans="1:20" x14ac:dyDescent="0.3">
      <c r="A623" t="s">
        <v>55</v>
      </c>
      <c r="B623" t="s">
        <v>40</v>
      </c>
      <c r="C623">
        <v>1</v>
      </c>
      <c r="D623">
        <v>24</v>
      </c>
      <c r="E623" t="s">
        <v>22</v>
      </c>
      <c r="F623">
        <v>0.45227000000000001</v>
      </c>
      <c r="G623" s="1">
        <v>45936</v>
      </c>
      <c r="H623">
        <v>2.2953199999999998</v>
      </c>
      <c r="I623" s="1">
        <v>45964</v>
      </c>
      <c r="J623">
        <v>63.617251160000002</v>
      </c>
      <c r="K623">
        <v>5.31</v>
      </c>
      <c r="L623">
        <v>1</v>
      </c>
      <c r="M623">
        <v>2.98664</v>
      </c>
      <c r="N623">
        <f>L623*F623</f>
        <v>0.45227000000000001</v>
      </c>
      <c r="O623">
        <f>L623*J623</f>
        <v>63.617251160000002</v>
      </c>
      <c r="P623">
        <f>M623-N623-H623</f>
        <v>0.23905000000000021</v>
      </c>
      <c r="Q623">
        <f>P623/O623</f>
        <v>3.7576285620826281E-3</v>
      </c>
      <c r="R623">
        <f>I623-G623</f>
        <v>28</v>
      </c>
      <c r="S623">
        <f>Q623/R623</f>
        <v>1.3420102007437958E-4</v>
      </c>
      <c r="T623">
        <f>S623*10000</f>
        <v>1.3420102007437957</v>
      </c>
    </row>
    <row r="624" spans="1:20" x14ac:dyDescent="0.3">
      <c r="A624" t="s">
        <v>55</v>
      </c>
      <c r="B624" t="s">
        <v>40</v>
      </c>
      <c r="C624">
        <v>1</v>
      </c>
      <c r="D624">
        <v>24</v>
      </c>
      <c r="E624" t="s">
        <v>23</v>
      </c>
      <c r="F624">
        <v>0.45065</v>
      </c>
      <c r="G624" s="1">
        <v>45936</v>
      </c>
      <c r="H624">
        <v>2.2831299999999999</v>
      </c>
      <c r="I624" s="1">
        <v>45964</v>
      </c>
      <c r="J624">
        <v>63.617251160000002</v>
      </c>
      <c r="K624">
        <v>5.31</v>
      </c>
      <c r="L624">
        <v>1</v>
      </c>
      <c r="M624">
        <v>3.1358899999999998</v>
      </c>
      <c r="N624">
        <f>L624*F624</f>
        <v>0.45065</v>
      </c>
      <c r="O624">
        <f>L624*J624</f>
        <v>63.617251160000002</v>
      </c>
      <c r="P624">
        <f>M624-N624-H624</f>
        <v>0.40210999999999997</v>
      </c>
      <c r="Q624">
        <f>P624/O624</f>
        <v>6.3207698017111241E-3</v>
      </c>
      <c r="R624">
        <f>I624-G624</f>
        <v>28</v>
      </c>
      <c r="S624">
        <f>Q624/R624</f>
        <v>2.2574177863254015E-4</v>
      </c>
      <c r="T624">
        <f>S624*10000</f>
        <v>2.2574177863254015</v>
      </c>
    </row>
    <row r="625" spans="1:20" x14ac:dyDescent="0.3">
      <c r="A625" t="s">
        <v>55</v>
      </c>
      <c r="B625" t="s">
        <v>40</v>
      </c>
      <c r="C625">
        <v>1</v>
      </c>
      <c r="D625">
        <v>24</v>
      </c>
      <c r="E625" t="s">
        <v>24</v>
      </c>
      <c r="F625">
        <v>0.45812999999999998</v>
      </c>
      <c r="G625" s="1">
        <v>45936</v>
      </c>
      <c r="H625">
        <v>2.3021099999999999</v>
      </c>
      <c r="I625" s="1">
        <v>45964</v>
      </c>
      <c r="J625">
        <v>63.617251160000002</v>
      </c>
      <c r="K625">
        <v>5.31</v>
      </c>
      <c r="L625">
        <v>1</v>
      </c>
      <c r="M625">
        <v>2.9381599999999999</v>
      </c>
      <c r="N625">
        <f>L625*F625</f>
        <v>0.45812999999999998</v>
      </c>
      <c r="O625">
        <f>L625*J625</f>
        <v>63.617251160000002</v>
      </c>
      <c r="P625">
        <f>M625-N625-H625</f>
        <v>0.17791999999999986</v>
      </c>
      <c r="Q625">
        <f>P625/O625</f>
        <v>2.7967256798399499E-3</v>
      </c>
      <c r="R625">
        <f>I625-G625</f>
        <v>28</v>
      </c>
      <c r="S625">
        <f>Q625/R625</f>
        <v>9.988305999428392E-5</v>
      </c>
      <c r="T625">
        <f>S625*10000</f>
        <v>0.99883059994283918</v>
      </c>
    </row>
    <row r="626" spans="1:20" x14ac:dyDescent="0.3">
      <c r="A626" t="s">
        <v>55</v>
      </c>
      <c r="B626" t="s">
        <v>40</v>
      </c>
      <c r="C626">
        <v>1</v>
      </c>
      <c r="D626">
        <v>48</v>
      </c>
      <c r="E626" t="s">
        <v>47</v>
      </c>
      <c r="F626">
        <v>0.45569999999999999</v>
      </c>
      <c r="G626" s="1">
        <v>45936</v>
      </c>
      <c r="H626">
        <v>2.35005</v>
      </c>
      <c r="I626" s="1">
        <v>45964</v>
      </c>
      <c r="J626">
        <v>63.617251160000002</v>
      </c>
      <c r="K626">
        <v>5.31</v>
      </c>
      <c r="L626">
        <v>1</v>
      </c>
      <c r="M626">
        <v>2.94001</v>
      </c>
      <c r="N626">
        <f>L626*F626</f>
        <v>0.45569999999999999</v>
      </c>
      <c r="O626">
        <f>L626*J626</f>
        <v>63.617251160000002</v>
      </c>
      <c r="P626">
        <f>M626-N626-H626</f>
        <v>0.13425999999999982</v>
      </c>
      <c r="Q626">
        <f>P626/O626</f>
        <v>2.1104338454097996E-3</v>
      </c>
      <c r="R626">
        <f>I626-G626</f>
        <v>28</v>
      </c>
      <c r="S626">
        <f>Q626/R626</f>
        <v>7.5372637336064264E-5</v>
      </c>
      <c r="T626">
        <f>S626*10000</f>
        <v>0.75372637336064263</v>
      </c>
    </row>
    <row r="627" spans="1:20" x14ac:dyDescent="0.3">
      <c r="A627" t="s">
        <v>55</v>
      </c>
      <c r="B627" t="s">
        <v>40</v>
      </c>
      <c r="C627">
        <v>1</v>
      </c>
      <c r="D627">
        <v>48</v>
      </c>
      <c r="E627" t="s">
        <v>23</v>
      </c>
      <c r="F627">
        <v>0.45628000000000002</v>
      </c>
      <c r="G627" s="1">
        <v>45936</v>
      </c>
      <c r="H627">
        <v>2.30938</v>
      </c>
      <c r="I627" s="1">
        <v>45964</v>
      </c>
      <c r="J627">
        <v>63.617251160000002</v>
      </c>
      <c r="K627">
        <v>5.31</v>
      </c>
      <c r="L627">
        <v>1</v>
      </c>
      <c r="M627">
        <v>2.9904799999999998</v>
      </c>
      <c r="N627">
        <f>L627*F627</f>
        <v>0.45628000000000002</v>
      </c>
      <c r="O627">
        <f>L627*J627</f>
        <v>63.617251160000002</v>
      </c>
      <c r="P627">
        <f>M627-N627-H627</f>
        <v>0.2248199999999998</v>
      </c>
      <c r="Q627">
        <f>P627/O627</f>
        <v>3.5339470961197029E-3</v>
      </c>
      <c r="R627">
        <f>I627-G627</f>
        <v>28</v>
      </c>
      <c r="S627">
        <f>Q627/R627</f>
        <v>1.2621239628998938E-4</v>
      </c>
      <c r="T627">
        <f>S627*10000</f>
        <v>1.2621239628998937</v>
      </c>
    </row>
    <row r="628" spans="1:20" x14ac:dyDescent="0.3">
      <c r="A628" t="s">
        <v>55</v>
      </c>
      <c r="B628" t="s">
        <v>40</v>
      </c>
      <c r="C628">
        <v>1</v>
      </c>
      <c r="D628">
        <v>48</v>
      </c>
      <c r="E628" t="s">
        <v>24</v>
      </c>
      <c r="F628">
        <v>0.45826</v>
      </c>
      <c r="G628" s="1">
        <v>45936</v>
      </c>
      <c r="H628">
        <v>2.34741</v>
      </c>
      <c r="I628" s="1">
        <v>45964</v>
      </c>
      <c r="J628">
        <v>63.617251160000002</v>
      </c>
      <c r="K628">
        <v>5.31</v>
      </c>
      <c r="L628">
        <v>1</v>
      </c>
      <c r="M628">
        <v>3.02312</v>
      </c>
      <c r="N628">
        <f>L628*F628</f>
        <v>0.45826</v>
      </c>
      <c r="O628">
        <f>L628*J628</f>
        <v>63.617251160000002</v>
      </c>
      <c r="P628">
        <f>M628-N628-H628</f>
        <v>0.21744999999999992</v>
      </c>
      <c r="Q628">
        <f>P628/O628</f>
        <v>3.4180980164186005E-3</v>
      </c>
      <c r="R628">
        <f>I628-G628</f>
        <v>28</v>
      </c>
      <c r="S628">
        <f>Q628/R628</f>
        <v>1.2207492915780716E-4</v>
      </c>
      <c r="T628">
        <f>S628*10000</f>
        <v>1.2207492915780715</v>
      </c>
    </row>
    <row r="629" spans="1:20" x14ac:dyDescent="0.3">
      <c r="A629" t="s">
        <v>55</v>
      </c>
      <c r="B629" t="s">
        <v>40</v>
      </c>
      <c r="C629">
        <v>2</v>
      </c>
      <c r="D629">
        <v>0.5</v>
      </c>
      <c r="E629" t="s">
        <v>47</v>
      </c>
      <c r="F629">
        <v>4.4370000000000003</v>
      </c>
      <c r="G629" s="1">
        <v>45936</v>
      </c>
      <c r="H629">
        <v>2.3242799999999999</v>
      </c>
      <c r="I629" s="1">
        <v>45964</v>
      </c>
      <c r="J629">
        <v>63.617251160000002</v>
      </c>
      <c r="K629">
        <v>5.31</v>
      </c>
      <c r="L629">
        <v>1</v>
      </c>
      <c r="M629">
        <v>7.0372500000000002</v>
      </c>
      <c r="N629">
        <f>L629*F629</f>
        <v>4.4370000000000003</v>
      </c>
      <c r="O629">
        <f>L629*J629</f>
        <v>63.617251160000002</v>
      </c>
      <c r="P629">
        <f>M629-N629-H629</f>
        <v>0.27597000000000005</v>
      </c>
      <c r="Q629">
        <f>P629/O629</f>
        <v>4.337974291060206E-3</v>
      </c>
      <c r="R629">
        <f>I629-G629</f>
        <v>28</v>
      </c>
      <c r="S629">
        <f>Q629/R629</f>
        <v>1.5492765325215022E-4</v>
      </c>
      <c r="T629">
        <f>S629*10000</f>
        <v>1.5492765325215023</v>
      </c>
    </row>
    <row r="630" spans="1:20" x14ac:dyDescent="0.3">
      <c r="A630" t="s">
        <v>55</v>
      </c>
      <c r="B630" t="s">
        <v>40</v>
      </c>
      <c r="C630">
        <v>2</v>
      </c>
      <c r="D630">
        <v>0.5</v>
      </c>
      <c r="E630" t="s">
        <v>23</v>
      </c>
      <c r="F630">
        <v>4.4971500000000004</v>
      </c>
      <c r="G630" s="1">
        <v>45936</v>
      </c>
      <c r="H630">
        <v>2.3664399999999999</v>
      </c>
      <c r="I630" s="1">
        <v>45964</v>
      </c>
      <c r="J630">
        <v>63.617251160000002</v>
      </c>
      <c r="K630">
        <v>5.31</v>
      </c>
      <c r="L630">
        <v>1</v>
      </c>
      <c r="M630">
        <v>6.8907999999999996</v>
      </c>
      <c r="N630">
        <f>L630*F630</f>
        <v>4.4971500000000004</v>
      </c>
      <c r="O630">
        <f>L630*J630</f>
        <v>63.617251160000002</v>
      </c>
      <c r="P630">
        <f>M630-N630-H630</f>
        <v>2.720999999999929E-2</v>
      </c>
      <c r="Q630">
        <f>P630/O630</f>
        <v>4.2771417349619559E-4</v>
      </c>
      <c r="R630">
        <f>I630-G630</f>
        <v>28</v>
      </c>
      <c r="S630">
        <f>Q630/R630</f>
        <v>1.5275506196292699E-5</v>
      </c>
      <c r="T630">
        <f>S630*10000</f>
        <v>0.15275506196292699</v>
      </c>
    </row>
    <row r="631" spans="1:20" x14ac:dyDescent="0.3">
      <c r="A631" t="s">
        <v>55</v>
      </c>
      <c r="B631" t="s">
        <v>40</v>
      </c>
      <c r="C631">
        <v>2</v>
      </c>
      <c r="D631">
        <v>0.5</v>
      </c>
      <c r="E631" t="s">
        <v>24</v>
      </c>
      <c r="F631">
        <v>4.6760700000000002</v>
      </c>
      <c r="G631" s="1">
        <v>45936</v>
      </c>
      <c r="H631">
        <v>2.3569599999999999</v>
      </c>
      <c r="I631" s="1">
        <v>45964</v>
      </c>
      <c r="J631">
        <v>63.617251160000002</v>
      </c>
      <c r="K631">
        <v>5.31</v>
      </c>
      <c r="L631">
        <v>1</v>
      </c>
      <c r="M631">
        <v>6.9309900000000004</v>
      </c>
      <c r="N631">
        <f>L631*F631</f>
        <v>4.6760700000000002</v>
      </c>
      <c r="O631">
        <f>L631*J631</f>
        <v>63.617251160000002</v>
      </c>
      <c r="P631">
        <f>M631-N631-H631</f>
        <v>-0.10203999999999969</v>
      </c>
      <c r="Q631">
        <f>P631/O631</f>
        <v>-1.6039674481276296E-3</v>
      </c>
      <c r="R631">
        <f>I631-G631</f>
        <v>28</v>
      </c>
      <c r="S631">
        <f>Q631/R631</f>
        <v>-5.7284551718843912E-5</v>
      </c>
      <c r="T631">
        <f>S631*10000</f>
        <v>-0.57284551718843912</v>
      </c>
    </row>
    <row r="632" spans="1:20" x14ac:dyDescent="0.3">
      <c r="A632" t="s">
        <v>55</v>
      </c>
      <c r="B632" t="s">
        <v>40</v>
      </c>
      <c r="C632">
        <v>2</v>
      </c>
      <c r="D632">
        <v>2</v>
      </c>
      <c r="E632" t="s">
        <v>47</v>
      </c>
      <c r="F632">
        <v>4.53329</v>
      </c>
      <c r="G632" s="1">
        <v>45936</v>
      </c>
      <c r="H632">
        <v>2.3651900000000001</v>
      </c>
      <c r="I632" s="1">
        <v>45964</v>
      </c>
      <c r="J632">
        <v>63.617251160000002</v>
      </c>
      <c r="K632">
        <v>5.31</v>
      </c>
      <c r="L632">
        <v>1</v>
      </c>
      <c r="M632">
        <v>10.03707</v>
      </c>
      <c r="N632">
        <f>L632*F632</f>
        <v>4.53329</v>
      </c>
      <c r="O632">
        <f>L632*J632</f>
        <v>63.617251160000002</v>
      </c>
      <c r="P632">
        <f>M632-N632-H632</f>
        <v>3.1385899999999998</v>
      </c>
      <c r="Q632">
        <f>P632/O632</f>
        <v>4.9335517375724343E-2</v>
      </c>
      <c r="R632">
        <f>I632-G632</f>
        <v>28</v>
      </c>
      <c r="S632">
        <f>Q632/R632</f>
        <v>1.7619827634187265E-3</v>
      </c>
      <c r="T632">
        <f>S632*10000</f>
        <v>17.619827634187263</v>
      </c>
    </row>
    <row r="633" spans="1:20" x14ac:dyDescent="0.3">
      <c r="A633" t="s">
        <v>55</v>
      </c>
      <c r="B633" t="s">
        <v>40</v>
      </c>
      <c r="C633">
        <v>2</v>
      </c>
      <c r="D633">
        <v>2</v>
      </c>
      <c r="E633" t="s">
        <v>23</v>
      </c>
      <c r="F633">
        <v>4.6360000000000001</v>
      </c>
      <c r="G633" s="1">
        <v>45936</v>
      </c>
      <c r="H633">
        <v>2.3272300000000001</v>
      </c>
      <c r="I633" s="1">
        <v>45964</v>
      </c>
      <c r="J633">
        <v>63.617251160000002</v>
      </c>
      <c r="K633">
        <v>5.31</v>
      </c>
      <c r="L633">
        <v>1</v>
      </c>
      <c r="M633">
        <v>7.3186200000000001</v>
      </c>
      <c r="N633">
        <f>L633*F633</f>
        <v>4.6360000000000001</v>
      </c>
      <c r="O633">
        <f>L633*J633</f>
        <v>63.617251160000002</v>
      </c>
      <c r="P633">
        <f>M633-N633-H633</f>
        <v>0.35538999999999987</v>
      </c>
      <c r="Q633">
        <f>P633/O633</f>
        <v>5.5863778066452359E-3</v>
      </c>
      <c r="R633">
        <f>I633-G633</f>
        <v>28</v>
      </c>
      <c r="S633">
        <f>Q633/R633</f>
        <v>1.9951349309447271E-4</v>
      </c>
      <c r="T633">
        <f>S633*10000</f>
        <v>1.995134930944727</v>
      </c>
    </row>
    <row r="634" spans="1:20" x14ac:dyDescent="0.3">
      <c r="A634" t="s">
        <v>55</v>
      </c>
      <c r="B634" t="s">
        <v>40</v>
      </c>
      <c r="C634">
        <v>2</v>
      </c>
      <c r="D634">
        <v>2</v>
      </c>
      <c r="E634" t="s">
        <v>24</v>
      </c>
      <c r="F634">
        <v>4.694</v>
      </c>
      <c r="G634" s="1">
        <v>45936</v>
      </c>
      <c r="H634">
        <v>2.30674</v>
      </c>
      <c r="I634" s="1">
        <v>45964</v>
      </c>
      <c r="J634">
        <v>63.617251160000002</v>
      </c>
      <c r="K634">
        <v>5.31</v>
      </c>
      <c r="L634">
        <v>1</v>
      </c>
      <c r="M634">
        <v>7.2050200000000002</v>
      </c>
      <c r="N634">
        <f>L634*F634</f>
        <v>4.694</v>
      </c>
      <c r="O634">
        <f>L634*J634</f>
        <v>63.617251160000002</v>
      </c>
      <c r="P634">
        <f>M634-N634-H634</f>
        <v>0.20428000000000024</v>
      </c>
      <c r="Q634">
        <f>P634/O634</f>
        <v>3.2110786976040136E-3</v>
      </c>
      <c r="R634">
        <f>I634-G634</f>
        <v>28</v>
      </c>
      <c r="S634">
        <f>Q634/R634</f>
        <v>1.1468138205728621E-4</v>
      </c>
      <c r="T634">
        <f>S634*10000</f>
        <v>1.146813820572862</v>
      </c>
    </row>
    <row r="635" spans="1:20" x14ac:dyDescent="0.3">
      <c r="A635" t="s">
        <v>55</v>
      </c>
      <c r="B635" t="s">
        <v>40</v>
      </c>
      <c r="C635">
        <v>2</v>
      </c>
      <c r="D635">
        <v>6</v>
      </c>
      <c r="E635" t="s">
        <v>47</v>
      </c>
      <c r="F635">
        <v>0.45024999999999998</v>
      </c>
      <c r="G635" s="1">
        <v>45936</v>
      </c>
      <c r="H635">
        <v>2.20973</v>
      </c>
      <c r="I635" s="1">
        <v>45964</v>
      </c>
      <c r="J635">
        <v>63.617251160000002</v>
      </c>
      <c r="K635">
        <v>5.31</v>
      </c>
      <c r="L635">
        <v>1</v>
      </c>
      <c r="M635">
        <v>3.2081200000000001</v>
      </c>
      <c r="N635">
        <f>L635*F635</f>
        <v>0.45024999999999998</v>
      </c>
      <c r="O635">
        <f>L635*J635</f>
        <v>63.617251160000002</v>
      </c>
      <c r="P635">
        <f>M635-N635-H635</f>
        <v>0.54814000000000007</v>
      </c>
      <c r="Q635">
        <f>P635/O635</f>
        <v>8.6162163564943318E-3</v>
      </c>
      <c r="R635">
        <f>I635-G635</f>
        <v>28</v>
      </c>
      <c r="S635">
        <f>Q635/R635</f>
        <v>3.0772201273194041E-4</v>
      </c>
      <c r="T635">
        <f>S635*10000</f>
        <v>3.077220127319404</v>
      </c>
    </row>
    <row r="636" spans="1:20" x14ac:dyDescent="0.3">
      <c r="A636" t="s">
        <v>55</v>
      </c>
      <c r="B636" t="s">
        <v>40</v>
      </c>
      <c r="C636">
        <v>2</v>
      </c>
      <c r="D636">
        <v>6</v>
      </c>
      <c r="E636" t="s">
        <v>23</v>
      </c>
      <c r="F636">
        <v>0.4587</v>
      </c>
      <c r="G636" s="1">
        <v>45936</v>
      </c>
      <c r="H636">
        <v>2.31914</v>
      </c>
      <c r="I636" s="1">
        <v>45964</v>
      </c>
      <c r="J636">
        <v>63.617251160000002</v>
      </c>
      <c r="K636">
        <v>5.31</v>
      </c>
      <c r="L636">
        <v>1</v>
      </c>
      <c r="M636">
        <v>3.1872500000000001</v>
      </c>
      <c r="N636">
        <f>L636*F636</f>
        <v>0.4587</v>
      </c>
      <c r="O636">
        <f>L636*J636</f>
        <v>63.617251160000002</v>
      </c>
      <c r="P636">
        <f>M636-N636-H636</f>
        <v>0.40941000000000027</v>
      </c>
      <c r="Q636">
        <f>P636/O636</f>
        <v>6.4355185509401731E-3</v>
      </c>
      <c r="R636">
        <f>I636-G636</f>
        <v>28</v>
      </c>
      <c r="S636">
        <f>Q636/R636</f>
        <v>2.2983994824786333E-4</v>
      </c>
      <c r="T636">
        <f>S636*10000</f>
        <v>2.2983994824786333</v>
      </c>
    </row>
    <row r="637" spans="1:20" x14ac:dyDescent="0.3">
      <c r="A637" t="s">
        <v>55</v>
      </c>
      <c r="B637" t="s">
        <v>40</v>
      </c>
      <c r="C637">
        <v>2</v>
      </c>
      <c r="D637">
        <v>6</v>
      </c>
      <c r="E637" t="s">
        <v>24</v>
      </c>
      <c r="F637">
        <v>0.44836999999999999</v>
      </c>
      <c r="G637" s="1">
        <v>45936</v>
      </c>
      <c r="H637">
        <v>2.2827600000000001</v>
      </c>
      <c r="I637" s="1">
        <v>45964</v>
      </c>
      <c r="J637">
        <v>63.617251160000002</v>
      </c>
      <c r="K637">
        <v>5.31</v>
      </c>
      <c r="L637">
        <v>1</v>
      </c>
      <c r="M637">
        <v>3.6009799999999998</v>
      </c>
      <c r="N637">
        <f>L637*F637</f>
        <v>0.44836999999999999</v>
      </c>
      <c r="O637">
        <f>L637*J637</f>
        <v>63.617251160000002</v>
      </c>
      <c r="P637">
        <f>M637-N637-H637</f>
        <v>0.86984999999999957</v>
      </c>
      <c r="Q637">
        <f>P637/O637</f>
        <v>1.3673178016011586E-2</v>
      </c>
      <c r="R637">
        <f>I637-G637</f>
        <v>28</v>
      </c>
      <c r="S637">
        <f>Q637/R637</f>
        <v>4.883277862861281E-4</v>
      </c>
      <c r="T637">
        <f>S637*10000</f>
        <v>4.8832778628612807</v>
      </c>
    </row>
    <row r="638" spans="1:20" x14ac:dyDescent="0.3">
      <c r="A638" t="s">
        <v>55</v>
      </c>
      <c r="B638" t="s">
        <v>40</v>
      </c>
      <c r="C638">
        <v>2</v>
      </c>
      <c r="D638">
        <v>12</v>
      </c>
      <c r="E638" t="s">
        <v>47</v>
      </c>
      <c r="F638">
        <v>0.44827</v>
      </c>
      <c r="G638" s="1">
        <v>45936</v>
      </c>
      <c r="H638">
        <v>2.2532399999999999</v>
      </c>
      <c r="I638" s="1">
        <v>45964</v>
      </c>
      <c r="J638">
        <v>63.617251160000002</v>
      </c>
      <c r="K638">
        <v>5.31</v>
      </c>
      <c r="L638">
        <v>1</v>
      </c>
      <c r="M638">
        <v>2.88334</v>
      </c>
      <c r="N638">
        <f>L638*F638</f>
        <v>0.44827</v>
      </c>
      <c r="O638">
        <f>L638*J638</f>
        <v>63.617251160000002</v>
      </c>
      <c r="P638">
        <f>M638-N638-H638</f>
        <v>0.18183000000000016</v>
      </c>
      <c r="Q638">
        <f>P638/O638</f>
        <v>2.8581869962078406E-3</v>
      </c>
      <c r="R638">
        <f>I638-G638</f>
        <v>28</v>
      </c>
      <c r="S638">
        <f>Q638/R638</f>
        <v>1.0207810700742288E-4</v>
      </c>
      <c r="T638">
        <f>S638*10000</f>
        <v>1.0207810700742288</v>
      </c>
    </row>
    <row r="639" spans="1:20" x14ac:dyDescent="0.3">
      <c r="A639" t="s">
        <v>55</v>
      </c>
      <c r="B639" t="s">
        <v>40</v>
      </c>
      <c r="C639">
        <v>2</v>
      </c>
      <c r="D639">
        <v>12</v>
      </c>
      <c r="E639" t="s">
        <v>23</v>
      </c>
      <c r="F639">
        <v>0.45750000000000002</v>
      </c>
      <c r="G639" s="1">
        <v>45936</v>
      </c>
      <c r="H639">
        <v>2.2764500000000001</v>
      </c>
      <c r="I639" s="1">
        <v>45964</v>
      </c>
      <c r="J639">
        <v>63.617251160000002</v>
      </c>
      <c r="K639">
        <v>5.31</v>
      </c>
      <c r="L639">
        <v>1</v>
      </c>
      <c r="M639">
        <v>2.9335399999999998</v>
      </c>
      <c r="N639">
        <f>L639*F639</f>
        <v>0.45750000000000002</v>
      </c>
      <c r="O639">
        <f>L639*J639</f>
        <v>63.617251160000002</v>
      </c>
      <c r="P639">
        <f>M639-N639-H639</f>
        <v>0.19958999999999971</v>
      </c>
      <c r="Q639">
        <f>P639/O639</f>
        <v>3.13735655597603E-3</v>
      </c>
      <c r="R639">
        <f>I639-G639</f>
        <v>28</v>
      </c>
      <c r="S639">
        <f>Q639/R639</f>
        <v>1.1204844842771535E-4</v>
      </c>
      <c r="T639">
        <f>S639*10000</f>
        <v>1.1204844842771535</v>
      </c>
    </row>
    <row r="640" spans="1:20" x14ac:dyDescent="0.3">
      <c r="A640" t="s">
        <v>55</v>
      </c>
      <c r="B640" t="s">
        <v>40</v>
      </c>
      <c r="C640">
        <v>2</v>
      </c>
      <c r="D640">
        <v>12</v>
      </c>
      <c r="E640" t="s">
        <v>24</v>
      </c>
      <c r="F640">
        <v>0.45717999999999998</v>
      </c>
      <c r="G640" s="1">
        <v>45936</v>
      </c>
      <c r="H640">
        <v>2.3444600000000002</v>
      </c>
      <c r="I640" s="1">
        <v>45964</v>
      </c>
      <c r="J640">
        <v>63.617251160000002</v>
      </c>
      <c r="K640">
        <v>5.31</v>
      </c>
      <c r="L640">
        <v>1</v>
      </c>
      <c r="M640">
        <v>3.0377900000000002</v>
      </c>
      <c r="N640">
        <f>L640*F640</f>
        <v>0.45717999999999998</v>
      </c>
      <c r="O640">
        <f>L640*J640</f>
        <v>63.617251160000002</v>
      </c>
      <c r="P640">
        <f>M640-N640-H640</f>
        <v>0.23614999999999986</v>
      </c>
      <c r="Q640">
        <f>P640/O640</f>
        <v>3.7120434425258787E-3</v>
      </c>
      <c r="R640">
        <f>I640-G640</f>
        <v>28</v>
      </c>
      <c r="S640">
        <f>Q640/R640</f>
        <v>1.3257298009020996E-4</v>
      </c>
      <c r="T640">
        <f>S640*10000</f>
        <v>1.3257298009020997</v>
      </c>
    </row>
    <row r="641" spans="1:20" x14ac:dyDescent="0.3">
      <c r="A641" t="s">
        <v>55</v>
      </c>
      <c r="B641" t="s">
        <v>40</v>
      </c>
      <c r="C641">
        <v>2</v>
      </c>
      <c r="D641">
        <v>24</v>
      </c>
      <c r="E641" t="s">
        <v>22</v>
      </c>
      <c r="F641">
        <v>0.45061000000000001</v>
      </c>
      <c r="G641" s="1">
        <v>45936</v>
      </c>
      <c r="H641">
        <v>2.3000699999999998</v>
      </c>
      <c r="I641" s="1">
        <v>45964</v>
      </c>
      <c r="J641">
        <v>63.617251160000002</v>
      </c>
      <c r="K641">
        <v>5.31</v>
      </c>
      <c r="L641">
        <v>1</v>
      </c>
      <c r="M641">
        <v>3.01939</v>
      </c>
      <c r="N641">
        <f>L641*F641</f>
        <v>0.45061000000000001</v>
      </c>
      <c r="O641">
        <f>L641*J641</f>
        <v>63.617251160000002</v>
      </c>
      <c r="P641">
        <f>M641-N641-H641</f>
        <v>0.26871</v>
      </c>
      <c r="Q641">
        <f>P641/O641</f>
        <v>4.2238543021009085E-3</v>
      </c>
      <c r="R641">
        <f>I641-G641</f>
        <v>28</v>
      </c>
      <c r="S641">
        <f>Q641/R641</f>
        <v>1.5085193936074674E-4</v>
      </c>
      <c r="T641">
        <f>S641*10000</f>
        <v>1.5085193936074675</v>
      </c>
    </row>
    <row r="642" spans="1:20" x14ac:dyDescent="0.3">
      <c r="A642" t="s">
        <v>55</v>
      </c>
      <c r="B642" t="s">
        <v>40</v>
      </c>
      <c r="C642">
        <v>2</v>
      </c>
      <c r="D642">
        <v>24</v>
      </c>
      <c r="E642" t="s">
        <v>23</v>
      </c>
      <c r="F642">
        <v>0.45722000000000002</v>
      </c>
      <c r="G642" s="1">
        <v>45936</v>
      </c>
      <c r="H642">
        <v>2.33324</v>
      </c>
      <c r="I642" s="1">
        <v>45964</v>
      </c>
      <c r="J642">
        <v>63.617251160000002</v>
      </c>
      <c r="K642">
        <v>5.31</v>
      </c>
      <c r="L642">
        <v>1</v>
      </c>
      <c r="M642">
        <v>3.0897999999999999</v>
      </c>
      <c r="N642">
        <f>L642*F642</f>
        <v>0.45722000000000002</v>
      </c>
      <c r="O642">
        <f>L642*J642</f>
        <v>63.617251160000002</v>
      </c>
      <c r="P642">
        <f>M642-N642-H642</f>
        <v>0.29933999999999994</v>
      </c>
      <c r="Q642">
        <f>P642/O642</f>
        <v>4.7053274786605839E-3</v>
      </c>
      <c r="R642">
        <f>I642-G642</f>
        <v>28</v>
      </c>
      <c r="S642">
        <f>Q642/R642</f>
        <v>1.6804740995216371E-4</v>
      </c>
      <c r="T642">
        <f>S642*10000</f>
        <v>1.6804740995216372</v>
      </c>
    </row>
    <row r="643" spans="1:20" x14ac:dyDescent="0.3">
      <c r="A643" t="s">
        <v>55</v>
      </c>
      <c r="B643" t="s">
        <v>40</v>
      </c>
      <c r="C643">
        <v>2</v>
      </c>
      <c r="D643">
        <v>24</v>
      </c>
      <c r="E643" t="s">
        <v>24</v>
      </c>
      <c r="F643">
        <v>0.45511000000000001</v>
      </c>
      <c r="G643" s="1">
        <v>45936</v>
      </c>
      <c r="H643">
        <v>2.2795299999999998</v>
      </c>
      <c r="I643" s="1">
        <v>45964</v>
      </c>
      <c r="J643">
        <v>63.617251160000002</v>
      </c>
      <c r="K643">
        <v>5.31</v>
      </c>
      <c r="L643">
        <v>1</v>
      </c>
      <c r="M643">
        <v>3.0235599999999998</v>
      </c>
      <c r="N643">
        <f>L643*F643</f>
        <v>0.45511000000000001</v>
      </c>
      <c r="O643">
        <f>L643*J643</f>
        <v>63.617251160000002</v>
      </c>
      <c r="P643">
        <f>M643-N643-H643</f>
        <v>0.28892000000000007</v>
      </c>
      <c r="Q643">
        <f>P643/O643</f>
        <v>4.541535428391183E-3</v>
      </c>
      <c r="R643">
        <f>I643-G643</f>
        <v>28</v>
      </c>
      <c r="S643">
        <f>Q643/R643</f>
        <v>1.6219769387111369E-4</v>
      </c>
      <c r="T643">
        <f>S643*10000</f>
        <v>1.6219769387111369</v>
      </c>
    </row>
    <row r="644" spans="1:20" x14ac:dyDescent="0.3">
      <c r="A644" t="s">
        <v>55</v>
      </c>
      <c r="B644" t="s">
        <v>40</v>
      </c>
      <c r="C644">
        <v>2</v>
      </c>
      <c r="D644">
        <v>48</v>
      </c>
      <c r="E644" t="s">
        <v>47</v>
      </c>
      <c r="F644">
        <v>0.44877</v>
      </c>
      <c r="G644" s="1">
        <v>45936</v>
      </c>
      <c r="H644">
        <v>2.3036799999999999</v>
      </c>
      <c r="I644" s="1">
        <v>45964</v>
      </c>
      <c r="J644">
        <v>63.617251160000002</v>
      </c>
      <c r="K644">
        <v>5.31</v>
      </c>
      <c r="L644">
        <v>1</v>
      </c>
      <c r="M644">
        <v>2.8708999999999998</v>
      </c>
      <c r="N644">
        <f>L644*F644</f>
        <v>0.44877</v>
      </c>
      <c r="O644">
        <f>L644*J644</f>
        <v>63.617251160000002</v>
      </c>
      <c r="P644">
        <f>M644-N644-H644</f>
        <v>0.11844999999999972</v>
      </c>
      <c r="Q644">
        <f>P644/O644</f>
        <v>1.8619163487918254E-3</v>
      </c>
      <c r="R644">
        <f>I644-G644</f>
        <v>28</v>
      </c>
      <c r="S644">
        <f>Q644/R644</f>
        <v>6.649701245685091E-5</v>
      </c>
      <c r="T644">
        <f>S644*10000</f>
        <v>0.66497012456850912</v>
      </c>
    </row>
    <row r="645" spans="1:20" x14ac:dyDescent="0.3">
      <c r="A645" t="s">
        <v>55</v>
      </c>
      <c r="B645" t="s">
        <v>40</v>
      </c>
      <c r="C645">
        <v>2</v>
      </c>
      <c r="D645">
        <v>48</v>
      </c>
      <c r="E645" t="s">
        <v>23</v>
      </c>
      <c r="F645">
        <v>0.44338</v>
      </c>
      <c r="G645" s="1">
        <v>45936</v>
      </c>
      <c r="H645">
        <v>2.2990200000000001</v>
      </c>
      <c r="I645" s="1">
        <v>45964</v>
      </c>
      <c r="J645">
        <v>63.617251160000002</v>
      </c>
      <c r="K645">
        <v>5.31</v>
      </c>
      <c r="L645">
        <v>1</v>
      </c>
      <c r="M645">
        <v>3.17395</v>
      </c>
      <c r="N645">
        <f>L645*F645</f>
        <v>0.44338</v>
      </c>
      <c r="O645">
        <f>L645*J645</f>
        <v>63.617251160000002</v>
      </c>
      <c r="P645">
        <f>M645-N645-H645</f>
        <v>0.4315500000000001</v>
      </c>
      <c r="Q645">
        <f>P645/O645</f>
        <v>6.7835373602457942E-3</v>
      </c>
      <c r="R645">
        <f>I645-G645</f>
        <v>28</v>
      </c>
      <c r="S645">
        <f>Q645/R645</f>
        <v>2.4226919143734979E-4</v>
      </c>
      <c r="T645">
        <f>S645*10000</f>
        <v>2.4226919143734977</v>
      </c>
    </row>
    <row r="646" spans="1:20" x14ac:dyDescent="0.3">
      <c r="A646" t="s">
        <v>55</v>
      </c>
      <c r="B646" t="s">
        <v>40</v>
      </c>
      <c r="C646">
        <v>2</v>
      </c>
      <c r="D646">
        <v>48</v>
      </c>
      <c r="E646" t="s">
        <v>24</v>
      </c>
      <c r="F646">
        <v>0.45435999999999999</v>
      </c>
      <c r="G646" s="1">
        <v>45936</v>
      </c>
      <c r="H646">
        <v>2.25427</v>
      </c>
      <c r="I646" s="1">
        <v>45964</v>
      </c>
      <c r="J646">
        <v>63.617251160000002</v>
      </c>
      <c r="K646">
        <v>5.31</v>
      </c>
      <c r="L646">
        <v>1</v>
      </c>
      <c r="M646">
        <v>2.9629500000000002</v>
      </c>
      <c r="N646">
        <f>L646*F646</f>
        <v>0.45435999999999999</v>
      </c>
      <c r="O646">
        <f>L646*J646</f>
        <v>63.617251160000002</v>
      </c>
      <c r="P646">
        <f>M646-N646-H646</f>
        <v>0.25432000000000032</v>
      </c>
      <c r="Q646">
        <f>P646/O646</f>
        <v>3.9976577950590012E-3</v>
      </c>
      <c r="R646">
        <f>I646-G646</f>
        <v>28</v>
      </c>
      <c r="S646">
        <f>Q646/R646</f>
        <v>1.4277349268067863E-4</v>
      </c>
      <c r="T646">
        <f>S646*10000</f>
        <v>1.4277349268067863</v>
      </c>
    </row>
    <row r="647" spans="1:20" x14ac:dyDescent="0.3">
      <c r="A647" t="s">
        <v>55</v>
      </c>
      <c r="B647" t="s">
        <v>40</v>
      </c>
      <c r="E647" t="s">
        <v>48</v>
      </c>
      <c r="F647">
        <v>0.45469999999999999</v>
      </c>
      <c r="G647" t="s">
        <v>27</v>
      </c>
      <c r="H647">
        <v>2.45363</v>
      </c>
      <c r="I647" t="s">
        <v>27</v>
      </c>
      <c r="J647">
        <v>63.617251160000002</v>
      </c>
      <c r="K647">
        <v>5.31</v>
      </c>
      <c r="L647" t="s">
        <v>27</v>
      </c>
      <c r="M647" t="s">
        <v>27</v>
      </c>
      <c r="N647" t="e">
        <f>L647*F647</f>
        <v>#VALUE!</v>
      </c>
      <c r="O647" t="e">
        <f>L647*J647</f>
        <v>#VALUE!</v>
      </c>
      <c r="P647" t="e">
        <f>M647-N647-H647</f>
        <v>#VALUE!</v>
      </c>
      <c r="Q647" t="e">
        <f>P647/O647</f>
        <v>#VALUE!</v>
      </c>
      <c r="R647" t="e">
        <f>I647-G647</f>
        <v>#VALUE!</v>
      </c>
      <c r="S647" t="e">
        <f>Q647/R647</f>
        <v>#VALUE!</v>
      </c>
      <c r="T647" t="e">
        <f>S647*10000</f>
        <v>#VALUE!</v>
      </c>
    </row>
    <row r="648" spans="1:20" x14ac:dyDescent="0.3">
      <c r="A648" t="s">
        <v>55</v>
      </c>
      <c r="B648" t="s">
        <v>40</v>
      </c>
      <c r="E648" t="s">
        <v>49</v>
      </c>
      <c r="F648">
        <v>0.44812999999999997</v>
      </c>
      <c r="G648" t="s">
        <v>27</v>
      </c>
      <c r="H648">
        <v>2.4448300000000001</v>
      </c>
      <c r="I648" t="s">
        <v>27</v>
      </c>
      <c r="J648">
        <v>63.617251160000002</v>
      </c>
      <c r="K648">
        <v>5.31</v>
      </c>
      <c r="L648" t="s">
        <v>27</v>
      </c>
      <c r="M648" t="s">
        <v>27</v>
      </c>
      <c r="N648" t="e">
        <f>L648*F648</f>
        <v>#VALUE!</v>
      </c>
      <c r="O648" t="e">
        <f>L648*J648</f>
        <v>#VALUE!</v>
      </c>
      <c r="P648" t="e">
        <f>M648-N648-H648</f>
        <v>#VALUE!</v>
      </c>
      <c r="Q648" t="e">
        <f>P648/O648</f>
        <v>#VALUE!</v>
      </c>
      <c r="R648" t="e">
        <f>I648-G648</f>
        <v>#VALUE!</v>
      </c>
      <c r="S648" t="e">
        <f>Q648/R648</f>
        <v>#VALUE!</v>
      </c>
      <c r="T648" t="e">
        <f>S648*10000</f>
        <v>#VALUE!</v>
      </c>
    </row>
    <row r="649" spans="1:20" x14ac:dyDescent="0.3">
      <c r="A649" t="s">
        <v>55</v>
      </c>
      <c r="B649" t="s">
        <v>40</v>
      </c>
      <c r="E649" t="s">
        <v>50</v>
      </c>
      <c r="F649">
        <v>0.45596999999999999</v>
      </c>
      <c r="G649" t="s">
        <v>27</v>
      </c>
      <c r="H649">
        <v>2.0854300000000001</v>
      </c>
      <c r="I649" t="s">
        <v>27</v>
      </c>
      <c r="J649">
        <v>63.617251160000002</v>
      </c>
      <c r="K649">
        <v>5.31</v>
      </c>
      <c r="L649" t="s">
        <v>27</v>
      </c>
      <c r="M649" t="s">
        <v>27</v>
      </c>
      <c r="N649" t="e">
        <f>L649*F649</f>
        <v>#VALUE!</v>
      </c>
      <c r="O649" t="e">
        <f>L649*J649</f>
        <v>#VALUE!</v>
      </c>
      <c r="P649" t="e">
        <f>M649-N649-H649</f>
        <v>#VALUE!</v>
      </c>
      <c r="Q649" t="e">
        <f>P649/O649</f>
        <v>#VALUE!</v>
      </c>
      <c r="R649" t="e">
        <f>I649-G649</f>
        <v>#VALUE!</v>
      </c>
      <c r="S649" t="e">
        <f>Q649/R649</f>
        <v>#VALUE!</v>
      </c>
      <c r="T649" t="e">
        <f>S649*10000</f>
        <v>#VALUE!</v>
      </c>
    </row>
    <row r="650" spans="1:20" x14ac:dyDescent="0.3">
      <c r="A650" t="s">
        <v>55</v>
      </c>
      <c r="B650" t="s">
        <v>40</v>
      </c>
      <c r="E650" t="s">
        <v>51</v>
      </c>
      <c r="F650">
        <v>0.44681999999999999</v>
      </c>
      <c r="G650" t="s">
        <v>27</v>
      </c>
      <c r="H650">
        <v>2.0449099999999998</v>
      </c>
      <c r="I650" t="s">
        <v>27</v>
      </c>
      <c r="J650">
        <v>63.617251160000002</v>
      </c>
      <c r="K650">
        <v>5.31</v>
      </c>
      <c r="L650" t="s">
        <v>27</v>
      </c>
      <c r="M650" t="s">
        <v>27</v>
      </c>
      <c r="N650" t="e">
        <f>L650*F650</f>
        <v>#VALUE!</v>
      </c>
      <c r="O650" t="e">
        <f>L650*J650</f>
        <v>#VALUE!</v>
      </c>
      <c r="P650" t="e">
        <f>M650-N650-H650</f>
        <v>#VALUE!</v>
      </c>
      <c r="Q650" t="e">
        <f>P650/O650</f>
        <v>#VALUE!</v>
      </c>
      <c r="R650" t="e">
        <f>I650-G650</f>
        <v>#VALUE!</v>
      </c>
      <c r="S650" t="e">
        <f>Q650/R650</f>
        <v>#VALUE!</v>
      </c>
      <c r="T650" t="e">
        <f>S650*10000</f>
        <v>#VALUE!</v>
      </c>
    </row>
    <row r="651" spans="1:20" x14ac:dyDescent="0.3">
      <c r="A651" t="s">
        <v>57</v>
      </c>
      <c r="B651" t="s">
        <v>44</v>
      </c>
      <c r="C651">
        <v>1</v>
      </c>
      <c r="D651">
        <v>0.5</v>
      </c>
      <c r="E651" t="s">
        <v>23</v>
      </c>
      <c r="F651">
        <v>4.37235</v>
      </c>
      <c r="G651" s="1">
        <v>45976</v>
      </c>
      <c r="H651">
        <v>2.2563599999999999</v>
      </c>
      <c r="I651" s="1">
        <v>46003</v>
      </c>
      <c r="J651">
        <v>63.617251160000002</v>
      </c>
      <c r="K651">
        <v>5.31</v>
      </c>
      <c r="L651">
        <v>1</v>
      </c>
      <c r="M651">
        <v>7.08291</v>
      </c>
      <c r="N651">
        <f>L651*F651</f>
        <v>4.37235</v>
      </c>
      <c r="O651">
        <f>L651*J651</f>
        <v>63.617251160000002</v>
      </c>
      <c r="P651">
        <f>M651-N651-H651</f>
        <v>0.45420000000000016</v>
      </c>
      <c r="Q651">
        <f>P651/O651</f>
        <v>7.1395728629907078E-3</v>
      </c>
      <c r="R651">
        <f>I651-G651</f>
        <v>27</v>
      </c>
      <c r="S651">
        <f>Q651/R651</f>
        <v>2.644286245552114E-4</v>
      </c>
      <c r="T651">
        <f>S651*10000</f>
        <v>2.6442862455521139</v>
      </c>
    </row>
    <row r="652" spans="1:20" x14ac:dyDescent="0.3">
      <c r="A652" t="s">
        <v>57</v>
      </c>
      <c r="B652" t="s">
        <v>44</v>
      </c>
      <c r="C652">
        <v>1</v>
      </c>
      <c r="D652">
        <v>0.5</v>
      </c>
      <c r="E652" t="s">
        <v>24</v>
      </c>
      <c r="F652">
        <v>4.4813200000000002</v>
      </c>
      <c r="G652" s="1">
        <v>45976</v>
      </c>
      <c r="H652">
        <v>2.2307999999999999</v>
      </c>
      <c r="I652" s="1">
        <v>46003</v>
      </c>
      <c r="J652">
        <v>63.617251160000002</v>
      </c>
      <c r="K652">
        <v>5.31</v>
      </c>
      <c r="L652">
        <v>1</v>
      </c>
      <c r="M652">
        <v>7.3410299999999999</v>
      </c>
      <c r="N652">
        <f>L652*F652</f>
        <v>4.4813200000000002</v>
      </c>
      <c r="O652">
        <f>L652*J652</f>
        <v>63.617251160000002</v>
      </c>
      <c r="P652">
        <f>M652-N652-H652</f>
        <v>0.62890999999999986</v>
      </c>
      <c r="Q652">
        <f>P652/O652</f>
        <v>9.8858405311833628E-3</v>
      </c>
      <c r="R652">
        <f>I652-G652</f>
        <v>27</v>
      </c>
      <c r="S652">
        <f>Q652/R652</f>
        <v>3.661422418956801E-4</v>
      </c>
      <c r="T652">
        <f>S652*10000</f>
        <v>3.6614224189568012</v>
      </c>
    </row>
    <row r="653" spans="1:20" x14ac:dyDescent="0.3">
      <c r="A653" t="s">
        <v>57</v>
      </c>
      <c r="B653" t="s">
        <v>44</v>
      </c>
      <c r="C653">
        <v>1</v>
      </c>
      <c r="D653">
        <v>2</v>
      </c>
      <c r="E653" t="s">
        <v>22</v>
      </c>
      <c r="F653">
        <v>4.4108200000000002</v>
      </c>
      <c r="G653" s="1">
        <v>45976</v>
      </c>
      <c r="H653">
        <v>2.2609300000000001</v>
      </c>
      <c r="I653" s="1">
        <v>46003</v>
      </c>
      <c r="J653">
        <v>63.617251160000002</v>
      </c>
      <c r="K653">
        <v>5.31</v>
      </c>
      <c r="L653">
        <v>1</v>
      </c>
      <c r="M653">
        <v>6.8354900000000001</v>
      </c>
      <c r="N653">
        <f>L653*F653</f>
        <v>4.4108200000000002</v>
      </c>
      <c r="O653">
        <f>L653*J653</f>
        <v>63.617251160000002</v>
      </c>
      <c r="P653">
        <f>M653-N653-H653</f>
        <v>0.16373999999999977</v>
      </c>
      <c r="Q653">
        <f>P653/O653</f>
        <v>2.5738301642142152E-3</v>
      </c>
      <c r="R653">
        <f>I653-G653</f>
        <v>27</v>
      </c>
      <c r="S653">
        <f>Q653/R653</f>
        <v>9.5327043119045E-5</v>
      </c>
      <c r="T653">
        <f>S653*10000</f>
        <v>0.95327043119044996</v>
      </c>
    </row>
    <row r="654" spans="1:20" x14ac:dyDescent="0.3">
      <c r="A654" t="s">
        <v>57</v>
      </c>
      <c r="B654" t="s">
        <v>44</v>
      </c>
      <c r="C654">
        <v>1</v>
      </c>
      <c r="D654">
        <v>2</v>
      </c>
      <c r="E654" t="s">
        <v>23</v>
      </c>
      <c r="F654">
        <v>4.2492799999999997</v>
      </c>
      <c r="G654" s="1">
        <v>45976</v>
      </c>
      <c r="H654">
        <v>2.2686700000000002</v>
      </c>
      <c r="I654" s="1">
        <v>46003</v>
      </c>
      <c r="J654">
        <v>63.617251160000002</v>
      </c>
      <c r="K654">
        <v>5.31</v>
      </c>
      <c r="L654">
        <v>1</v>
      </c>
      <c r="M654">
        <v>6.6772</v>
      </c>
      <c r="N654">
        <f>L654*F654</f>
        <v>4.2492799999999997</v>
      </c>
      <c r="O654">
        <f>L654*J654</f>
        <v>63.617251160000002</v>
      </c>
      <c r="P654">
        <f>M654-N654-H654</f>
        <v>0.15925000000000011</v>
      </c>
      <c r="Q654">
        <f>P654/O654</f>
        <v>2.503251823934986E-3</v>
      </c>
      <c r="R654">
        <f>I654-G654</f>
        <v>27</v>
      </c>
      <c r="S654">
        <f>Q654/R654</f>
        <v>9.2713030516110585E-5</v>
      </c>
      <c r="T654">
        <f>S654*10000</f>
        <v>0.92713030516110584</v>
      </c>
    </row>
    <row r="655" spans="1:20" x14ac:dyDescent="0.3">
      <c r="A655" t="s">
        <v>57</v>
      </c>
      <c r="B655" t="s">
        <v>44</v>
      </c>
      <c r="C655">
        <v>1</v>
      </c>
      <c r="D655">
        <v>2</v>
      </c>
      <c r="E655" t="s">
        <v>24</v>
      </c>
      <c r="F655">
        <v>4.4612299999999996</v>
      </c>
      <c r="G655" s="1">
        <v>45976</v>
      </c>
      <c r="H655">
        <v>2.2818200000000002</v>
      </c>
      <c r="I655" s="1">
        <v>46003</v>
      </c>
      <c r="J655">
        <v>63.617251160000002</v>
      </c>
      <c r="K655">
        <v>5.31</v>
      </c>
      <c r="L655">
        <v>1</v>
      </c>
      <c r="M655">
        <v>6.8315599999999996</v>
      </c>
      <c r="N655">
        <f>L655*F655</f>
        <v>4.4612299999999996</v>
      </c>
      <c r="O655">
        <f>L655*J655</f>
        <v>63.617251160000002</v>
      </c>
      <c r="P655">
        <f>M655-N655-H655</f>
        <v>8.8509999999999867E-2</v>
      </c>
      <c r="Q655">
        <f>P655/O655</f>
        <v>1.3912892868853069E-3</v>
      </c>
      <c r="R655">
        <f>I655-G655</f>
        <v>27</v>
      </c>
      <c r="S655">
        <f>Q655/R655</f>
        <v>5.1529232847603958E-5</v>
      </c>
      <c r="T655">
        <f>S655*10000</f>
        <v>0.51529232847603956</v>
      </c>
    </row>
    <row r="656" spans="1:20" x14ac:dyDescent="0.3">
      <c r="A656" t="s">
        <v>57</v>
      </c>
      <c r="B656" t="s">
        <v>44</v>
      </c>
      <c r="C656">
        <v>1</v>
      </c>
      <c r="D656">
        <v>6</v>
      </c>
      <c r="E656" t="s">
        <v>22</v>
      </c>
      <c r="F656">
        <v>0.45451000000000003</v>
      </c>
      <c r="G656" s="1">
        <v>45976</v>
      </c>
      <c r="H656">
        <v>2.3189799999999998</v>
      </c>
      <c r="I656" s="1">
        <v>46003</v>
      </c>
      <c r="J656">
        <v>63.617251160000002</v>
      </c>
      <c r="K656">
        <v>5.31</v>
      </c>
      <c r="L656">
        <v>1</v>
      </c>
      <c r="M656">
        <v>4.4660099999999998</v>
      </c>
      <c r="N656">
        <f>L656*F656</f>
        <v>0.45451000000000003</v>
      </c>
      <c r="O656">
        <f>L656*J656</f>
        <v>63.617251160000002</v>
      </c>
      <c r="P656">
        <f>M656-N656-H656</f>
        <v>1.69252</v>
      </c>
      <c r="Q656">
        <f>P656/O656</f>
        <v>2.6604733293855196E-2</v>
      </c>
      <c r="R656">
        <f>I656-G656</f>
        <v>27</v>
      </c>
      <c r="S656">
        <f>Q656/R656</f>
        <v>9.8536049236500728E-4</v>
      </c>
      <c r="T656">
        <f>S656*10000</f>
        <v>9.8536049236500727</v>
      </c>
    </row>
    <row r="657" spans="1:20" x14ac:dyDescent="0.3">
      <c r="A657" t="s">
        <v>57</v>
      </c>
      <c r="B657" t="s">
        <v>44</v>
      </c>
      <c r="C657">
        <v>1</v>
      </c>
      <c r="D657">
        <v>6</v>
      </c>
      <c r="E657" t="s">
        <v>23</v>
      </c>
      <c r="F657">
        <v>0.45784999999999998</v>
      </c>
      <c r="G657" s="1">
        <v>45976</v>
      </c>
      <c r="H657">
        <v>2.3132000000000001</v>
      </c>
      <c r="I657" s="1">
        <v>46003</v>
      </c>
      <c r="J657">
        <v>63.617251160000002</v>
      </c>
      <c r="K657">
        <v>5.31</v>
      </c>
      <c r="L657">
        <v>1</v>
      </c>
      <c r="M657">
        <v>3.65937</v>
      </c>
      <c r="N657">
        <f>L657*F657</f>
        <v>0.45784999999999998</v>
      </c>
      <c r="O657">
        <f>L657*J657</f>
        <v>63.617251160000002</v>
      </c>
      <c r="P657">
        <f>M657-N657-H657</f>
        <v>0.88831999999999978</v>
      </c>
      <c r="Q657">
        <f>P657/O657</f>
        <v>1.3963508070567817E-2</v>
      </c>
      <c r="R657">
        <f>I657-G657</f>
        <v>27</v>
      </c>
      <c r="S657">
        <f>Q657/R657</f>
        <v>5.1716696557658581E-4</v>
      </c>
      <c r="T657">
        <f>S657*10000</f>
        <v>5.1716696557658581</v>
      </c>
    </row>
    <row r="658" spans="1:20" x14ac:dyDescent="0.3">
      <c r="A658" t="s">
        <v>57</v>
      </c>
      <c r="B658" t="s">
        <v>44</v>
      </c>
      <c r="C658">
        <v>1</v>
      </c>
      <c r="D658">
        <v>6</v>
      </c>
      <c r="E658" t="s">
        <v>24</v>
      </c>
      <c r="F658">
        <v>0.45297999999999999</v>
      </c>
      <c r="G658" s="1">
        <v>45976</v>
      </c>
      <c r="H658">
        <v>2.31081</v>
      </c>
      <c r="I658" s="1">
        <v>46003</v>
      </c>
      <c r="J658">
        <v>63.617251160000002</v>
      </c>
      <c r="K658">
        <v>5.31</v>
      </c>
      <c r="L658">
        <v>1</v>
      </c>
      <c r="M658">
        <v>4.2520499999999997</v>
      </c>
      <c r="N658">
        <f>L658*F658</f>
        <v>0.45297999999999999</v>
      </c>
      <c r="O658">
        <f>L658*J658</f>
        <v>63.617251160000002</v>
      </c>
      <c r="P658">
        <f>M658-N658-H658</f>
        <v>1.4882599999999995</v>
      </c>
      <c r="Q658">
        <f>P658/O658</f>
        <v>2.3393968976386049E-2</v>
      </c>
      <c r="R658">
        <f>I658-G658</f>
        <v>27</v>
      </c>
      <c r="S658">
        <f>Q658/R658</f>
        <v>8.6644329542170549E-4</v>
      </c>
      <c r="T658">
        <f>S658*10000</f>
        <v>8.6644329542170553</v>
      </c>
    </row>
    <row r="659" spans="1:20" x14ac:dyDescent="0.3">
      <c r="A659" t="s">
        <v>57</v>
      </c>
      <c r="B659" t="s">
        <v>44</v>
      </c>
      <c r="C659">
        <v>1</v>
      </c>
      <c r="D659">
        <v>12</v>
      </c>
      <c r="E659" t="s">
        <v>22</v>
      </c>
      <c r="F659">
        <v>0.45373999999999998</v>
      </c>
      <c r="G659" s="1">
        <v>45976</v>
      </c>
      <c r="H659">
        <v>2.3079499999999999</v>
      </c>
      <c r="I659" s="1">
        <v>46003</v>
      </c>
      <c r="J659">
        <v>63.617251160000002</v>
      </c>
      <c r="K659">
        <v>5.31</v>
      </c>
      <c r="L659">
        <v>1</v>
      </c>
      <c r="M659">
        <v>3.1167400000000001</v>
      </c>
      <c r="N659">
        <f>L659*F659</f>
        <v>0.45373999999999998</v>
      </c>
      <c r="O659">
        <f>L659*J659</f>
        <v>63.617251160000002</v>
      </c>
      <c r="P659">
        <f>M659-N659-H659</f>
        <v>0.35505000000000031</v>
      </c>
      <c r="Q659">
        <f>P659/O659</f>
        <v>5.5810333443523825E-3</v>
      </c>
      <c r="R659">
        <f>I659-G659</f>
        <v>27</v>
      </c>
      <c r="S659">
        <f>Q659/R659</f>
        <v>2.0670493867971788E-4</v>
      </c>
      <c r="T659">
        <f>S659*10000</f>
        <v>2.0670493867971786</v>
      </c>
    </row>
    <row r="660" spans="1:20" x14ac:dyDescent="0.3">
      <c r="A660" t="s">
        <v>57</v>
      </c>
      <c r="B660" t="s">
        <v>44</v>
      </c>
      <c r="C660">
        <v>1</v>
      </c>
      <c r="D660">
        <v>12</v>
      </c>
      <c r="E660" t="s">
        <v>23</v>
      </c>
      <c r="F660">
        <v>0.45158999999999999</v>
      </c>
      <c r="G660" s="1">
        <v>45976</v>
      </c>
      <c r="H660">
        <v>2.2663199999999999</v>
      </c>
      <c r="I660" s="1">
        <v>46003</v>
      </c>
      <c r="J660">
        <v>63.617251160000002</v>
      </c>
      <c r="K660">
        <v>5.31</v>
      </c>
      <c r="L660">
        <v>1</v>
      </c>
      <c r="M660">
        <v>3.0496599999999998</v>
      </c>
      <c r="N660">
        <f>L660*F660</f>
        <v>0.45158999999999999</v>
      </c>
      <c r="O660">
        <f>L660*J660</f>
        <v>63.617251160000002</v>
      </c>
      <c r="P660">
        <f>M660-N660-H660</f>
        <v>0.33174999999999999</v>
      </c>
      <c r="Q660">
        <f>P660/O660</f>
        <v>5.2147804872240567E-3</v>
      </c>
      <c r="R660">
        <f>I660-G660</f>
        <v>27</v>
      </c>
      <c r="S660">
        <f>Q660/R660</f>
        <v>1.9314001804533545E-4</v>
      </c>
      <c r="T660">
        <f>S660*10000</f>
        <v>1.9314001804533545</v>
      </c>
    </row>
    <row r="661" spans="1:20" x14ac:dyDescent="0.3">
      <c r="A661" t="s">
        <v>57</v>
      </c>
      <c r="B661" t="s">
        <v>44</v>
      </c>
      <c r="C661">
        <v>1</v>
      </c>
      <c r="D661">
        <v>12</v>
      </c>
      <c r="E661" t="s">
        <v>24</v>
      </c>
      <c r="F661">
        <v>0.45777000000000001</v>
      </c>
      <c r="G661" s="1">
        <v>45976</v>
      </c>
      <c r="H661">
        <v>2.3234900000000001</v>
      </c>
      <c r="I661" s="1">
        <v>46003</v>
      </c>
      <c r="J661">
        <v>63.617251160000002</v>
      </c>
      <c r="K661">
        <v>5.31</v>
      </c>
      <c r="L661">
        <v>1</v>
      </c>
      <c r="M661">
        <v>3.19042</v>
      </c>
      <c r="N661">
        <f>L661*F661</f>
        <v>0.45777000000000001</v>
      </c>
      <c r="O661">
        <f>L661*J661</f>
        <v>63.617251160000002</v>
      </c>
      <c r="P661">
        <f>M661-N661-H661</f>
        <v>0.40915999999999997</v>
      </c>
      <c r="Q661">
        <f>P661/O661</f>
        <v>6.431588799254242E-3</v>
      </c>
      <c r="R661">
        <f>I661-G661</f>
        <v>27</v>
      </c>
      <c r="S661">
        <f>Q661/R661</f>
        <v>2.3820699256497192E-4</v>
      </c>
      <c r="T661">
        <f>S661*10000</f>
        <v>2.3820699256497191</v>
      </c>
    </row>
    <row r="662" spans="1:20" x14ac:dyDescent="0.3">
      <c r="A662" t="s">
        <v>57</v>
      </c>
      <c r="B662" t="s">
        <v>44</v>
      </c>
      <c r="C662">
        <v>1</v>
      </c>
      <c r="D662">
        <v>18</v>
      </c>
      <c r="E662" t="s">
        <v>22</v>
      </c>
      <c r="F662">
        <v>0.45865</v>
      </c>
      <c r="G662" s="1">
        <v>45976</v>
      </c>
      <c r="H662">
        <v>2.3192200000000001</v>
      </c>
      <c r="I662" s="1">
        <v>46003</v>
      </c>
      <c r="J662">
        <v>63.617251160000002</v>
      </c>
      <c r="K662">
        <v>5.31</v>
      </c>
      <c r="L662">
        <v>1</v>
      </c>
      <c r="M662">
        <v>4.58392</v>
      </c>
      <c r="N662">
        <f>L662*F662</f>
        <v>0.45865</v>
      </c>
      <c r="O662">
        <f>L662*J662</f>
        <v>63.617251160000002</v>
      </c>
      <c r="P662">
        <f>M662-N662-H662</f>
        <v>1.8060500000000004</v>
      </c>
      <c r="Q662">
        <f>P662/O662</f>
        <v>2.8389312129468002E-2</v>
      </c>
      <c r="R662">
        <f>I662-G662</f>
        <v>27</v>
      </c>
      <c r="S662">
        <f>Q662/R662</f>
        <v>1.0514560047951112E-3</v>
      </c>
      <c r="T662">
        <f>S662*10000</f>
        <v>10.514560047951113</v>
      </c>
    </row>
    <row r="663" spans="1:20" x14ac:dyDescent="0.3">
      <c r="A663" t="s">
        <v>57</v>
      </c>
      <c r="B663" t="s">
        <v>44</v>
      </c>
      <c r="C663">
        <v>1</v>
      </c>
      <c r="D663">
        <v>18</v>
      </c>
      <c r="E663" t="s">
        <v>23</v>
      </c>
      <c r="F663">
        <v>0.45445999999999998</v>
      </c>
      <c r="G663" s="1">
        <v>45976</v>
      </c>
      <c r="H663">
        <v>2.3477199999999998</v>
      </c>
      <c r="I663" s="1">
        <v>46003</v>
      </c>
      <c r="J663">
        <v>63.617251160000002</v>
      </c>
      <c r="K663">
        <v>5.31</v>
      </c>
      <c r="L663">
        <v>1</v>
      </c>
      <c r="M663">
        <v>4.1762899999999998</v>
      </c>
      <c r="N663">
        <f>L663*F663</f>
        <v>0.45445999999999998</v>
      </c>
      <c r="O663">
        <f>L663*J663</f>
        <v>63.617251160000002</v>
      </c>
      <c r="P663">
        <f>M663-N663-H663</f>
        <v>1.3741099999999999</v>
      </c>
      <c r="Q663">
        <f>P663/O663</f>
        <v>2.1599644356592156E-2</v>
      </c>
      <c r="R663">
        <f>I663-G663</f>
        <v>27</v>
      </c>
      <c r="S663">
        <f>Q663/R663</f>
        <v>7.9998682802193176E-4</v>
      </c>
      <c r="T663">
        <f>S663*10000</f>
        <v>7.9998682802193173</v>
      </c>
    </row>
    <row r="664" spans="1:20" x14ac:dyDescent="0.3">
      <c r="A664" t="s">
        <v>57</v>
      </c>
      <c r="B664" t="s">
        <v>44</v>
      </c>
      <c r="C664">
        <v>1</v>
      </c>
      <c r="D664">
        <v>18</v>
      </c>
      <c r="E664" t="s">
        <v>45</v>
      </c>
      <c r="F664">
        <v>0.44707999999999998</v>
      </c>
      <c r="G664" s="1">
        <v>45976</v>
      </c>
      <c r="H664">
        <v>2.3745599999999998</v>
      </c>
      <c r="I664" s="1">
        <v>46003</v>
      </c>
      <c r="J664">
        <v>63.617251160000002</v>
      </c>
      <c r="K664">
        <v>5.31</v>
      </c>
      <c r="L664">
        <v>1</v>
      </c>
      <c r="M664">
        <v>4.18757</v>
      </c>
      <c r="N664">
        <f>L664*F664</f>
        <v>0.44707999999999998</v>
      </c>
      <c r="O664">
        <f>L664*J664</f>
        <v>63.617251160000002</v>
      </c>
      <c r="P664">
        <f>M664-N664-H664</f>
        <v>1.3659300000000001</v>
      </c>
      <c r="Q664">
        <f>P664/O664</f>
        <v>2.1471062881428655E-2</v>
      </c>
      <c r="R664">
        <f>I664-G664</f>
        <v>27</v>
      </c>
      <c r="S664">
        <f>Q664/R664</f>
        <v>7.9522455116402423E-4</v>
      </c>
      <c r="T664">
        <f>S664*10000</f>
        <v>7.9522455116402426</v>
      </c>
    </row>
    <row r="665" spans="1:20" x14ac:dyDescent="0.3">
      <c r="A665" t="s">
        <v>57</v>
      </c>
      <c r="B665" t="s">
        <v>44</v>
      </c>
      <c r="C665">
        <v>1</v>
      </c>
      <c r="D665">
        <v>24</v>
      </c>
      <c r="E665" t="s">
        <v>22</v>
      </c>
      <c r="F665">
        <v>0.45663999999999999</v>
      </c>
      <c r="G665" s="1">
        <v>45976</v>
      </c>
      <c r="H665">
        <v>2.3924500000000002</v>
      </c>
      <c r="I665" s="1">
        <v>46003</v>
      </c>
      <c r="J665">
        <v>63.617251160000002</v>
      </c>
      <c r="K665">
        <v>5.31</v>
      </c>
      <c r="L665">
        <v>1</v>
      </c>
      <c r="M665">
        <v>4.2040199999999999</v>
      </c>
      <c r="N665">
        <f>L665*F665</f>
        <v>0.45663999999999999</v>
      </c>
      <c r="O665">
        <f>L665*J665</f>
        <v>63.617251160000002</v>
      </c>
      <c r="P665">
        <f>M665-N665-H665</f>
        <v>1.3549299999999995</v>
      </c>
      <c r="Q665">
        <f>P665/O665</f>
        <v>2.1298153807247894E-2</v>
      </c>
      <c r="R665">
        <f>I665-G665</f>
        <v>27</v>
      </c>
      <c r="S665">
        <f>Q665/R665</f>
        <v>7.8882051137955163E-4</v>
      </c>
      <c r="T665">
        <f>S665*10000</f>
        <v>7.8882051137955163</v>
      </c>
    </row>
    <row r="666" spans="1:20" x14ac:dyDescent="0.3">
      <c r="A666" t="s">
        <v>57</v>
      </c>
      <c r="B666" t="s">
        <v>44</v>
      </c>
      <c r="C666">
        <v>1</v>
      </c>
      <c r="D666">
        <v>24</v>
      </c>
      <c r="E666" t="s">
        <v>23</v>
      </c>
      <c r="F666">
        <v>0.45151999999999998</v>
      </c>
      <c r="G666" s="1">
        <v>45976</v>
      </c>
      <c r="H666">
        <v>2.3253599999999999</v>
      </c>
      <c r="I666" s="1">
        <v>46003</v>
      </c>
      <c r="J666">
        <v>63.617251160000002</v>
      </c>
      <c r="K666">
        <v>5.31</v>
      </c>
      <c r="L666">
        <v>1</v>
      </c>
      <c r="M666">
        <v>4.6613100000000003</v>
      </c>
      <c r="N666">
        <f>L666*F666</f>
        <v>0.45151999999999998</v>
      </c>
      <c r="O666">
        <f>L666*J666</f>
        <v>63.617251160000002</v>
      </c>
      <c r="P666">
        <f>M666-N666-H666</f>
        <v>1.88443</v>
      </c>
      <c r="Q666">
        <f>P666/O666</f>
        <v>2.9621367878039578E-2</v>
      </c>
      <c r="R666">
        <f>I666-G666</f>
        <v>27</v>
      </c>
      <c r="S666">
        <f>Q666/R666</f>
        <v>1.0970876991866511E-3</v>
      </c>
      <c r="T666">
        <f>S666*10000</f>
        <v>10.970876991866511</v>
      </c>
    </row>
    <row r="667" spans="1:20" x14ac:dyDescent="0.3">
      <c r="A667" t="s">
        <v>57</v>
      </c>
      <c r="B667" t="s">
        <v>44</v>
      </c>
      <c r="C667">
        <v>1</v>
      </c>
      <c r="D667">
        <v>24</v>
      </c>
      <c r="E667" t="s">
        <v>24</v>
      </c>
      <c r="F667">
        <v>0.44972000000000001</v>
      </c>
      <c r="G667" s="1">
        <v>45976</v>
      </c>
      <c r="H667">
        <v>2.3148399999999998</v>
      </c>
      <c r="I667" s="1">
        <v>46003</v>
      </c>
      <c r="J667">
        <v>63.617251160000002</v>
      </c>
      <c r="K667">
        <v>5.31</v>
      </c>
      <c r="L667">
        <v>1</v>
      </c>
      <c r="M667">
        <v>4.41465</v>
      </c>
      <c r="N667">
        <f>L667*F667</f>
        <v>0.44972000000000001</v>
      </c>
      <c r="O667">
        <f>L667*J667</f>
        <v>63.617251160000002</v>
      </c>
      <c r="P667">
        <f>M667-N667-H667</f>
        <v>1.6500900000000001</v>
      </c>
      <c r="Q667">
        <f>P667/O667</f>
        <v>2.5937775837719803E-2</v>
      </c>
      <c r="R667">
        <f>I667-G667</f>
        <v>27</v>
      </c>
      <c r="S667">
        <f>Q667/R667</f>
        <v>9.6065836435999267E-4</v>
      </c>
      <c r="T667">
        <f>S667*10000</f>
        <v>9.6065836435999259</v>
      </c>
    </row>
    <row r="668" spans="1:20" x14ac:dyDescent="0.3">
      <c r="A668" t="s">
        <v>57</v>
      </c>
      <c r="B668" t="s">
        <v>44</v>
      </c>
      <c r="C668">
        <v>1</v>
      </c>
      <c r="D668">
        <v>48</v>
      </c>
      <c r="E668" t="s">
        <v>22</v>
      </c>
      <c r="F668">
        <v>0.44927</v>
      </c>
      <c r="G668" s="1">
        <v>45976</v>
      </c>
      <c r="H668">
        <v>2.3520699999999999</v>
      </c>
      <c r="I668" s="1">
        <v>46003</v>
      </c>
      <c r="J668">
        <v>63.617251160000002</v>
      </c>
      <c r="K668">
        <v>5.31</v>
      </c>
      <c r="L668">
        <v>1</v>
      </c>
      <c r="M668">
        <v>4.7408000000000001</v>
      </c>
      <c r="N668">
        <f>L668*F668</f>
        <v>0.44927</v>
      </c>
      <c r="O668">
        <f>L668*J668</f>
        <v>63.617251160000002</v>
      </c>
      <c r="P668">
        <f>M668-N668-H668</f>
        <v>1.93946</v>
      </c>
      <c r="Q668">
        <f>P668/O668</f>
        <v>3.0486384819145649E-2</v>
      </c>
      <c r="R668">
        <f>I668-G668</f>
        <v>27</v>
      </c>
      <c r="S668">
        <f>Q668/R668</f>
        <v>1.1291253636720611E-3</v>
      </c>
      <c r="T668">
        <f>S668*10000</f>
        <v>11.291253636720612</v>
      </c>
    </row>
    <row r="669" spans="1:20" x14ac:dyDescent="0.3">
      <c r="A669" t="s">
        <v>57</v>
      </c>
      <c r="B669" t="s">
        <v>44</v>
      </c>
      <c r="C669">
        <v>1</v>
      </c>
      <c r="D669">
        <v>48</v>
      </c>
      <c r="E669" t="s">
        <v>23</v>
      </c>
      <c r="F669">
        <v>0.45318999999999998</v>
      </c>
      <c r="G669" s="1">
        <v>45976</v>
      </c>
      <c r="H669">
        <v>2.3236699999999999</v>
      </c>
      <c r="I669" s="1">
        <v>46003</v>
      </c>
      <c r="J669">
        <v>63.617251160000002</v>
      </c>
      <c r="K669">
        <v>5.31</v>
      </c>
      <c r="L669">
        <v>1</v>
      </c>
      <c r="M669">
        <v>4.7931400000000002</v>
      </c>
      <c r="N669">
        <f>L669*F669</f>
        <v>0.45318999999999998</v>
      </c>
      <c r="O669">
        <f>L669*J669</f>
        <v>63.617251160000002</v>
      </c>
      <c r="P669">
        <f>M669-N669-H669</f>
        <v>2.0162800000000001</v>
      </c>
      <c r="Q669">
        <f>P669/O669</f>
        <v>3.1693918917197049E-2</v>
      </c>
      <c r="R669">
        <f>I669-G669</f>
        <v>27</v>
      </c>
      <c r="S669">
        <f>Q669/R669</f>
        <v>1.173848848785076E-3</v>
      </c>
      <c r="T669">
        <f>S669*10000</f>
        <v>11.738488487850759</v>
      </c>
    </row>
    <row r="670" spans="1:20" x14ac:dyDescent="0.3">
      <c r="A670" t="s">
        <v>57</v>
      </c>
      <c r="B670" t="s">
        <v>44</v>
      </c>
      <c r="C670">
        <v>1</v>
      </c>
      <c r="D670">
        <v>48</v>
      </c>
      <c r="E670" t="s">
        <v>24</v>
      </c>
      <c r="F670">
        <v>0.45924999999999999</v>
      </c>
      <c r="G670" s="1">
        <v>45976</v>
      </c>
      <c r="H670">
        <v>2.2928799999999998</v>
      </c>
      <c r="I670" s="1">
        <v>46003</v>
      </c>
      <c r="J670">
        <v>63.617251160000002</v>
      </c>
      <c r="K670">
        <v>5.31</v>
      </c>
      <c r="L670">
        <v>1</v>
      </c>
      <c r="M670">
        <v>4.6455900000000003</v>
      </c>
      <c r="N670">
        <f>L670*F670</f>
        <v>0.45924999999999999</v>
      </c>
      <c r="O670">
        <f>L670*J670</f>
        <v>63.617251160000002</v>
      </c>
      <c r="P670">
        <f>M670-N670-H670</f>
        <v>1.8934600000000006</v>
      </c>
      <c r="Q670">
        <f>P670/O670</f>
        <v>2.9763310508935239E-2</v>
      </c>
      <c r="R670">
        <f>I670-G670</f>
        <v>27</v>
      </c>
      <c r="S670">
        <f>Q670/R670</f>
        <v>1.1023448336642682E-3</v>
      </c>
      <c r="T670">
        <f>S670*10000</f>
        <v>11.023448336642682</v>
      </c>
    </row>
    <row r="671" spans="1:20" x14ac:dyDescent="0.3">
      <c r="A671" t="s">
        <v>57</v>
      </c>
      <c r="B671" t="s">
        <v>44</v>
      </c>
      <c r="C671">
        <v>2</v>
      </c>
      <c r="D671">
        <v>0.5</v>
      </c>
      <c r="E671" t="s">
        <v>22</v>
      </c>
      <c r="F671">
        <v>4.4744299999999999</v>
      </c>
      <c r="G671" s="1">
        <v>45976</v>
      </c>
      <c r="H671">
        <v>2.2895799999999999</v>
      </c>
      <c r="I671" s="1">
        <v>46003</v>
      </c>
      <c r="J671">
        <v>63.617251160000002</v>
      </c>
      <c r="K671">
        <v>5.31</v>
      </c>
      <c r="L671">
        <v>1</v>
      </c>
      <c r="M671">
        <v>7.5556700000000001</v>
      </c>
      <c r="N671">
        <f>L671*F671</f>
        <v>4.4744299999999999</v>
      </c>
      <c r="O671">
        <f>L671*J671</f>
        <v>63.617251160000002</v>
      </c>
      <c r="P671">
        <f>M671-N671-H671</f>
        <v>0.79166000000000025</v>
      </c>
      <c r="Q671">
        <f>P671/O671</f>
        <v>1.244410887872132E-2</v>
      </c>
      <c r="R671">
        <f>I671-G671</f>
        <v>27</v>
      </c>
      <c r="S671">
        <f>Q671/R671</f>
        <v>4.6089292143412298E-4</v>
      </c>
      <c r="T671">
        <f>S671*10000</f>
        <v>4.6089292143412299</v>
      </c>
    </row>
    <row r="672" spans="1:20" x14ac:dyDescent="0.3">
      <c r="A672" t="s">
        <v>57</v>
      </c>
      <c r="B672" t="s">
        <v>44</v>
      </c>
      <c r="C672">
        <v>2</v>
      </c>
      <c r="D672">
        <v>0.5</v>
      </c>
      <c r="E672" t="s">
        <v>23</v>
      </c>
      <c r="F672">
        <v>4.3357700000000001</v>
      </c>
      <c r="G672" s="1">
        <v>45976</v>
      </c>
      <c r="H672">
        <v>2.2820399999999998</v>
      </c>
      <c r="I672" s="1">
        <v>46003</v>
      </c>
      <c r="J672">
        <v>63.617251160000002</v>
      </c>
      <c r="K672">
        <v>5.31</v>
      </c>
      <c r="L672">
        <v>1</v>
      </c>
      <c r="M672">
        <v>7.0489199999999999</v>
      </c>
      <c r="N672">
        <f>L672*F672</f>
        <v>4.3357700000000001</v>
      </c>
      <c r="O672">
        <f>L672*J672</f>
        <v>63.617251160000002</v>
      </c>
      <c r="P672">
        <f>M672-N672-H672</f>
        <v>0.43110999999999988</v>
      </c>
      <c r="Q672">
        <f>P672/O672</f>
        <v>6.7766209972785606E-3</v>
      </c>
      <c r="R672">
        <f>I672-G672</f>
        <v>27</v>
      </c>
      <c r="S672">
        <f>Q672/R672</f>
        <v>2.5098596286216891E-4</v>
      </c>
      <c r="T672">
        <f>S672*10000</f>
        <v>2.509859628621689</v>
      </c>
    </row>
    <row r="673" spans="1:20" x14ac:dyDescent="0.3">
      <c r="A673" t="s">
        <v>57</v>
      </c>
      <c r="B673" t="s">
        <v>44</v>
      </c>
      <c r="C673">
        <v>2</v>
      </c>
      <c r="D673">
        <v>0.5</v>
      </c>
      <c r="E673" t="s">
        <v>24</v>
      </c>
      <c r="F673">
        <v>4.4248700000000003</v>
      </c>
      <c r="G673" s="1">
        <v>45976</v>
      </c>
      <c r="H673">
        <v>2.2796500000000002</v>
      </c>
      <c r="I673" s="1">
        <v>46003</v>
      </c>
      <c r="J673">
        <v>63.617251160000002</v>
      </c>
      <c r="K673">
        <v>5.31</v>
      </c>
      <c r="L673">
        <v>1</v>
      </c>
      <c r="M673">
        <v>7.6591399999999998</v>
      </c>
      <c r="N673">
        <f>L673*F673</f>
        <v>4.4248700000000003</v>
      </c>
      <c r="O673">
        <f>L673*J673</f>
        <v>63.617251160000002</v>
      </c>
      <c r="P673">
        <f>M673-N673-H673</f>
        <v>0.95461999999999936</v>
      </c>
      <c r="Q673">
        <f>P673/O673</f>
        <v>1.5005678217675435E-2</v>
      </c>
      <c r="R673">
        <f>I673-G673</f>
        <v>27</v>
      </c>
      <c r="S673">
        <f>Q673/R673</f>
        <v>5.55765859913905E-4</v>
      </c>
      <c r="T673">
        <f>S673*10000</f>
        <v>5.5576585991390504</v>
      </c>
    </row>
    <row r="674" spans="1:20" x14ac:dyDescent="0.3">
      <c r="A674" t="s">
        <v>57</v>
      </c>
      <c r="B674" t="s">
        <v>44</v>
      </c>
      <c r="C674">
        <v>2</v>
      </c>
      <c r="D674">
        <v>2</v>
      </c>
      <c r="E674" t="s">
        <v>22</v>
      </c>
      <c r="F674">
        <v>4.3272399999999998</v>
      </c>
      <c r="G674" s="1">
        <v>45976</v>
      </c>
      <c r="H674">
        <v>2.2719100000000001</v>
      </c>
      <c r="I674" s="1">
        <v>46003</v>
      </c>
      <c r="J674">
        <v>63.617251160000002</v>
      </c>
      <c r="K674">
        <v>5.31</v>
      </c>
      <c r="L674">
        <v>1</v>
      </c>
      <c r="M674">
        <v>6.9521699999999997</v>
      </c>
      <c r="N674">
        <f>L674*F674</f>
        <v>4.3272399999999998</v>
      </c>
      <c r="O674">
        <f>L674*J674</f>
        <v>63.617251160000002</v>
      </c>
      <c r="P674">
        <f>M674-N674-H674</f>
        <v>0.35301999999999989</v>
      </c>
      <c r="Q674">
        <f>P674/O674</f>
        <v>5.5491237606626557E-3</v>
      </c>
      <c r="R674">
        <f>I674-G674</f>
        <v>27</v>
      </c>
      <c r="S674">
        <f>Q674/R674</f>
        <v>2.0552310224676503E-4</v>
      </c>
      <c r="T674">
        <f>S674*10000</f>
        <v>2.0552310224676504</v>
      </c>
    </row>
    <row r="675" spans="1:20" x14ac:dyDescent="0.3">
      <c r="A675" t="s">
        <v>57</v>
      </c>
      <c r="B675" t="s">
        <v>44</v>
      </c>
      <c r="C675">
        <v>2</v>
      </c>
      <c r="D675">
        <v>2</v>
      </c>
      <c r="E675" t="s">
        <v>23</v>
      </c>
      <c r="F675">
        <v>4.4205500000000004</v>
      </c>
      <c r="G675" s="1">
        <v>45976</v>
      </c>
      <c r="H675">
        <v>2.28789</v>
      </c>
      <c r="I675" s="1">
        <v>46003</v>
      </c>
      <c r="J675">
        <v>63.617251160000002</v>
      </c>
      <c r="K675">
        <v>5.31</v>
      </c>
      <c r="L675">
        <v>1</v>
      </c>
      <c r="M675">
        <v>6.6911300000000002</v>
      </c>
      <c r="N675">
        <f>L675*F675</f>
        <v>4.4205500000000004</v>
      </c>
      <c r="O675">
        <f>L675*J675</f>
        <v>63.617251160000002</v>
      </c>
      <c r="P675">
        <f>M675-N675-H675</f>
        <v>-1.7310000000000159E-2</v>
      </c>
      <c r="Q675">
        <f>P675/O675</f>
        <v>-2.7209600673353202E-4</v>
      </c>
      <c r="R675">
        <f>I675-G675</f>
        <v>27</v>
      </c>
      <c r="S675">
        <f>Q675/R675</f>
        <v>-1.0077629879019704E-5</v>
      </c>
      <c r="T675">
        <f>S675*10000</f>
        <v>-0.10077629879019705</v>
      </c>
    </row>
    <row r="676" spans="1:20" x14ac:dyDescent="0.3">
      <c r="A676" t="s">
        <v>57</v>
      </c>
      <c r="B676" t="s">
        <v>44</v>
      </c>
      <c r="C676">
        <v>2</v>
      </c>
      <c r="D676">
        <v>2</v>
      </c>
      <c r="E676" t="s">
        <v>24</v>
      </c>
      <c r="F676">
        <v>4.3688399999999996</v>
      </c>
      <c r="G676" s="1">
        <v>45976</v>
      </c>
      <c r="H676">
        <v>2.3129300000000002</v>
      </c>
      <c r="I676" s="1">
        <v>46003</v>
      </c>
      <c r="J676">
        <v>63.617251160000002</v>
      </c>
      <c r="K676">
        <v>5.31</v>
      </c>
      <c r="L676">
        <v>1</v>
      </c>
      <c r="M676">
        <v>6.8751300000000004</v>
      </c>
      <c r="N676">
        <f>L676*F676</f>
        <v>4.3688399999999996</v>
      </c>
      <c r="O676">
        <f>L676*J676</f>
        <v>63.617251160000002</v>
      </c>
      <c r="P676">
        <f>M676-N676-H676</f>
        <v>0.19336000000000064</v>
      </c>
      <c r="Q676">
        <f>P676/O676</f>
        <v>3.0394271439627639E-3</v>
      </c>
      <c r="R676">
        <f>I676-G676</f>
        <v>27</v>
      </c>
      <c r="S676">
        <f>Q676/R676</f>
        <v>1.1257137570232459E-4</v>
      </c>
      <c r="T676">
        <f>S676*10000</f>
        <v>1.1257137570232458</v>
      </c>
    </row>
    <row r="677" spans="1:20" x14ac:dyDescent="0.3">
      <c r="A677" t="s">
        <v>57</v>
      </c>
      <c r="B677" t="s">
        <v>44</v>
      </c>
      <c r="C677">
        <v>2</v>
      </c>
      <c r="D677">
        <v>6</v>
      </c>
      <c r="E677" t="s">
        <v>22</v>
      </c>
      <c r="F677">
        <v>0.43564999999999998</v>
      </c>
      <c r="G677" s="1">
        <v>45976</v>
      </c>
      <c r="H677">
        <v>2.3138299999999998</v>
      </c>
      <c r="I677" s="1">
        <v>46003</v>
      </c>
      <c r="J677">
        <v>63.617251160000002</v>
      </c>
      <c r="K677">
        <v>5.31</v>
      </c>
      <c r="L677">
        <v>1</v>
      </c>
      <c r="M677">
        <v>5.4300100000000002</v>
      </c>
      <c r="N677">
        <f>L677*F677</f>
        <v>0.43564999999999998</v>
      </c>
      <c r="O677">
        <f>L677*J677</f>
        <v>63.617251160000002</v>
      </c>
      <c r="P677">
        <f>M677-N677-H677</f>
        <v>2.6805300000000005</v>
      </c>
      <c r="Q677">
        <f>P677/O677</f>
        <v>4.2135269146702951E-2</v>
      </c>
      <c r="R677">
        <f>I677-G677</f>
        <v>27</v>
      </c>
      <c r="S677">
        <f>Q677/R677</f>
        <v>1.5605655239519611E-3</v>
      </c>
      <c r="T677">
        <f>S677*10000</f>
        <v>15.605655239519612</v>
      </c>
    </row>
    <row r="678" spans="1:20" x14ac:dyDescent="0.3">
      <c r="A678" t="s">
        <v>57</v>
      </c>
      <c r="B678" t="s">
        <v>44</v>
      </c>
      <c r="C678">
        <v>2</v>
      </c>
      <c r="D678">
        <v>6</v>
      </c>
      <c r="E678" t="s">
        <v>23</v>
      </c>
      <c r="F678">
        <v>0.45684000000000002</v>
      </c>
      <c r="G678" s="1">
        <v>45976</v>
      </c>
      <c r="H678">
        <v>2.2860900000000002</v>
      </c>
      <c r="I678" s="1">
        <v>46003</v>
      </c>
      <c r="J678">
        <v>63.617251160000002</v>
      </c>
      <c r="K678">
        <v>5.31</v>
      </c>
      <c r="L678">
        <v>1</v>
      </c>
      <c r="M678">
        <v>4.8038800000000004</v>
      </c>
      <c r="N678">
        <f>L678*F678</f>
        <v>0.45684000000000002</v>
      </c>
      <c r="O678">
        <f>L678*J678</f>
        <v>63.617251160000002</v>
      </c>
      <c r="P678">
        <f>M678-N678-H678</f>
        <v>2.0609500000000005</v>
      </c>
      <c r="Q678">
        <f>P678/O678</f>
        <v>3.2396086948438346E-2</v>
      </c>
      <c r="R678">
        <f>I678-G678</f>
        <v>27</v>
      </c>
      <c r="S678">
        <f>Q678/R678</f>
        <v>1.1998550721643833E-3</v>
      </c>
      <c r="T678">
        <f>S678*10000</f>
        <v>11.998550721643833</v>
      </c>
    </row>
    <row r="679" spans="1:20" x14ac:dyDescent="0.3">
      <c r="A679" t="s">
        <v>57</v>
      </c>
      <c r="B679" t="s">
        <v>44</v>
      </c>
      <c r="C679">
        <v>2</v>
      </c>
      <c r="D679">
        <v>6</v>
      </c>
      <c r="E679" t="s">
        <v>24</v>
      </c>
      <c r="F679">
        <v>0.45596999999999999</v>
      </c>
      <c r="G679" s="1">
        <v>45976</v>
      </c>
      <c r="H679">
        <v>2.3034599999999998</v>
      </c>
      <c r="I679" s="1">
        <v>46003</v>
      </c>
      <c r="J679">
        <v>63.617251160000002</v>
      </c>
      <c r="K679">
        <v>5.31</v>
      </c>
      <c r="L679">
        <v>1</v>
      </c>
      <c r="M679">
        <v>4.1239299999999997</v>
      </c>
      <c r="N679">
        <f>L679*F679</f>
        <v>0.45596999999999999</v>
      </c>
      <c r="O679">
        <f>L679*J679</f>
        <v>63.617251160000002</v>
      </c>
      <c r="P679">
        <f>M679-N679-H679</f>
        <v>1.3645</v>
      </c>
      <c r="Q679">
        <f>P679/O679</f>
        <v>2.1448584701785157E-2</v>
      </c>
      <c r="R679">
        <f>I679-G679</f>
        <v>27</v>
      </c>
      <c r="S679">
        <f>Q679/R679</f>
        <v>7.9439202599204282E-4</v>
      </c>
      <c r="T679">
        <f>S679*10000</f>
        <v>7.9439202599204286</v>
      </c>
    </row>
    <row r="680" spans="1:20" x14ac:dyDescent="0.3">
      <c r="A680" t="s">
        <v>57</v>
      </c>
      <c r="B680" t="s">
        <v>44</v>
      </c>
      <c r="C680">
        <v>2</v>
      </c>
      <c r="D680">
        <v>12</v>
      </c>
      <c r="E680" t="s">
        <v>22</v>
      </c>
      <c r="F680">
        <v>0.45469999999999999</v>
      </c>
      <c r="G680" s="1">
        <v>45976</v>
      </c>
      <c r="H680">
        <v>2.3014299999999999</v>
      </c>
      <c r="I680" s="1">
        <v>46003</v>
      </c>
      <c r="J680">
        <v>63.617251160000002</v>
      </c>
      <c r="K680">
        <v>5.31</v>
      </c>
      <c r="L680">
        <v>1</v>
      </c>
      <c r="M680">
        <v>4.8378199999999998</v>
      </c>
      <c r="N680">
        <f>L680*F680</f>
        <v>0.45469999999999999</v>
      </c>
      <c r="O680">
        <f>L680*J680</f>
        <v>63.617251160000002</v>
      </c>
      <c r="P680">
        <f>M680-N680-H680</f>
        <v>2.08169</v>
      </c>
      <c r="Q680">
        <f>P680/O680</f>
        <v>3.2722099148302777E-2</v>
      </c>
      <c r="R680">
        <f>I680-G680</f>
        <v>27</v>
      </c>
      <c r="S680">
        <f>Q680/R680</f>
        <v>1.2119295980852882E-3</v>
      </c>
      <c r="T680">
        <f>S680*10000</f>
        <v>12.119295980852881</v>
      </c>
    </row>
    <row r="681" spans="1:20" x14ac:dyDescent="0.3">
      <c r="A681" t="s">
        <v>57</v>
      </c>
      <c r="B681" t="s">
        <v>44</v>
      </c>
      <c r="C681">
        <v>2</v>
      </c>
      <c r="D681">
        <v>12</v>
      </c>
      <c r="E681" t="s">
        <v>23</v>
      </c>
      <c r="F681">
        <v>0.45822000000000002</v>
      </c>
      <c r="G681" s="1">
        <v>45976</v>
      </c>
      <c r="H681">
        <v>2.3231099999999998</v>
      </c>
      <c r="I681" s="1">
        <v>46003</v>
      </c>
      <c r="J681">
        <v>63.617251160000002</v>
      </c>
      <c r="K681">
        <v>5.31</v>
      </c>
      <c r="L681">
        <v>1</v>
      </c>
      <c r="M681">
        <v>5.5835499999999998</v>
      </c>
      <c r="N681">
        <f>L681*F681</f>
        <v>0.45822000000000002</v>
      </c>
      <c r="O681">
        <f>L681*J681</f>
        <v>63.617251160000002</v>
      </c>
      <c r="P681">
        <f>M681-N681-H681</f>
        <v>2.8022200000000002</v>
      </c>
      <c r="Q681">
        <f>P681/O681</f>
        <v>4.404811507734438E-2</v>
      </c>
      <c r="R681">
        <f>I681-G681</f>
        <v>27</v>
      </c>
      <c r="S681">
        <f>Q681/R681</f>
        <v>1.6314116695312732E-3</v>
      </c>
      <c r="T681">
        <f>S681*10000</f>
        <v>16.314116695312734</v>
      </c>
    </row>
    <row r="682" spans="1:20" x14ac:dyDescent="0.3">
      <c r="A682" t="s">
        <v>57</v>
      </c>
      <c r="B682" t="s">
        <v>44</v>
      </c>
      <c r="C682">
        <v>2</v>
      </c>
      <c r="D682">
        <v>12</v>
      </c>
      <c r="E682" t="s">
        <v>24</v>
      </c>
      <c r="F682">
        <v>0.44674000000000003</v>
      </c>
      <c r="G682" s="1">
        <v>45976</v>
      </c>
      <c r="H682">
        <v>2.2982100000000001</v>
      </c>
      <c r="I682" s="1">
        <v>46003</v>
      </c>
      <c r="J682">
        <v>63.617251160000002</v>
      </c>
      <c r="K682">
        <v>5.31</v>
      </c>
      <c r="L682">
        <v>1</v>
      </c>
      <c r="M682">
        <v>4.6218300000000001</v>
      </c>
      <c r="N682">
        <f>L682*F682</f>
        <v>0.44674000000000003</v>
      </c>
      <c r="O682">
        <f>L682*J682</f>
        <v>63.617251160000002</v>
      </c>
      <c r="P682">
        <f>M682-N682-H682</f>
        <v>1.8768799999999999</v>
      </c>
      <c r="Q682">
        <f>P682/O682</f>
        <v>2.9502689377124604E-2</v>
      </c>
      <c r="R682">
        <f>I682-G682</f>
        <v>27</v>
      </c>
      <c r="S682">
        <f>Q682/R682</f>
        <v>1.0926921991527632E-3</v>
      </c>
      <c r="T682">
        <f>S682*10000</f>
        <v>10.926921991527632</v>
      </c>
    </row>
    <row r="683" spans="1:20" x14ac:dyDescent="0.3">
      <c r="A683" t="s">
        <v>57</v>
      </c>
      <c r="B683" t="s">
        <v>44</v>
      </c>
      <c r="C683">
        <v>2</v>
      </c>
      <c r="D683">
        <v>18</v>
      </c>
      <c r="E683" t="s">
        <v>47</v>
      </c>
      <c r="F683">
        <v>0.46034999999999998</v>
      </c>
      <c r="G683" s="1">
        <v>45967</v>
      </c>
      <c r="H683">
        <v>2.3279000000000001</v>
      </c>
      <c r="I683" s="1">
        <v>45994</v>
      </c>
      <c r="J683">
        <v>63.617251160000002</v>
      </c>
      <c r="K683">
        <v>5.31</v>
      </c>
      <c r="L683">
        <v>1</v>
      </c>
      <c r="M683">
        <v>5.5385900000000001</v>
      </c>
      <c r="N683">
        <f>L683*F683</f>
        <v>0.46034999999999998</v>
      </c>
      <c r="O683">
        <f>L683*J683</f>
        <v>63.617251160000002</v>
      </c>
      <c r="P683">
        <f>M683-N683-H683</f>
        <v>2.75034</v>
      </c>
      <c r="Q683">
        <f>P683/O683</f>
        <v>4.323261300748097E-2</v>
      </c>
      <c r="R683">
        <f>I683-G683</f>
        <v>27</v>
      </c>
      <c r="S683">
        <f>Q683/R683</f>
        <v>1.6012078891659619E-3</v>
      </c>
      <c r="T683">
        <f>S683*10000</f>
        <v>16.01207889165962</v>
      </c>
    </row>
    <row r="684" spans="1:20" x14ac:dyDescent="0.3">
      <c r="A684" t="s">
        <v>57</v>
      </c>
      <c r="B684" t="s">
        <v>44</v>
      </c>
      <c r="C684">
        <v>2</v>
      </c>
      <c r="D684">
        <v>18</v>
      </c>
      <c r="E684" t="s">
        <v>23</v>
      </c>
      <c r="F684">
        <v>0.4451</v>
      </c>
      <c r="G684" s="1">
        <v>45967</v>
      </c>
      <c r="H684">
        <v>2.3014700000000001</v>
      </c>
      <c r="I684" s="1">
        <v>45994</v>
      </c>
      <c r="J684">
        <v>63.617251160000002</v>
      </c>
      <c r="K684">
        <v>5.31</v>
      </c>
      <c r="L684">
        <v>1</v>
      </c>
      <c r="M684">
        <v>5.5491700000000002</v>
      </c>
      <c r="N684">
        <f>L684*F684</f>
        <v>0.4451</v>
      </c>
      <c r="O684">
        <f>L684*J684</f>
        <v>63.617251160000002</v>
      </c>
      <c r="P684">
        <f>M684-N684-H684</f>
        <v>2.8026</v>
      </c>
      <c r="Q684">
        <f>P684/O684</f>
        <v>4.4054088299906979E-2</v>
      </c>
      <c r="R684">
        <f>I684-G684</f>
        <v>27</v>
      </c>
      <c r="S684">
        <f>Q684/R684</f>
        <v>1.6316328999965548E-3</v>
      </c>
      <c r="T684">
        <f>S684*10000</f>
        <v>16.316328999965549</v>
      </c>
    </row>
    <row r="685" spans="1:20" x14ac:dyDescent="0.3">
      <c r="A685" t="s">
        <v>57</v>
      </c>
      <c r="B685" t="s">
        <v>44</v>
      </c>
      <c r="C685">
        <v>2</v>
      </c>
      <c r="D685">
        <v>18</v>
      </c>
      <c r="E685" t="s">
        <v>24</v>
      </c>
      <c r="F685">
        <v>0.45344000000000001</v>
      </c>
      <c r="G685" s="1">
        <v>45967</v>
      </c>
      <c r="H685">
        <v>2.3186499999999999</v>
      </c>
      <c r="I685" s="1">
        <v>45994</v>
      </c>
      <c r="J685">
        <v>63.617251160000002</v>
      </c>
      <c r="K685">
        <v>5.31</v>
      </c>
      <c r="L685">
        <v>1</v>
      </c>
      <c r="M685">
        <v>5.4940699999999998</v>
      </c>
      <c r="N685">
        <f>L685*F685</f>
        <v>0.45344000000000001</v>
      </c>
      <c r="O685">
        <f>L685*J685</f>
        <v>63.617251160000002</v>
      </c>
      <c r="P685">
        <f>M685-N685-H685</f>
        <v>2.7219800000000003</v>
      </c>
      <c r="Q685">
        <f>P685/O685</f>
        <v>4.278682197622951E-2</v>
      </c>
      <c r="R685">
        <f>I685-G685</f>
        <v>27</v>
      </c>
      <c r="S685">
        <f>Q685/R685</f>
        <v>1.5846971102307225E-3</v>
      </c>
      <c r="T685">
        <f>S685*10000</f>
        <v>15.846971102307224</v>
      </c>
    </row>
    <row r="686" spans="1:20" x14ac:dyDescent="0.3">
      <c r="A686" t="s">
        <v>57</v>
      </c>
      <c r="B686" t="s">
        <v>44</v>
      </c>
      <c r="C686">
        <v>2</v>
      </c>
      <c r="D686">
        <v>24</v>
      </c>
      <c r="E686" t="s">
        <v>22</v>
      </c>
      <c r="F686">
        <v>0.45945999999999998</v>
      </c>
      <c r="G686" s="1">
        <v>45976</v>
      </c>
      <c r="H686">
        <v>2.3712499999999999</v>
      </c>
      <c r="I686" s="1">
        <v>46003</v>
      </c>
      <c r="J686">
        <v>63.617251160000002</v>
      </c>
      <c r="K686">
        <v>5.31</v>
      </c>
      <c r="L686">
        <v>1</v>
      </c>
      <c r="M686">
        <v>5.1130000000000004</v>
      </c>
      <c r="N686">
        <f>L686*F686</f>
        <v>0.45945999999999998</v>
      </c>
      <c r="O686">
        <f>L686*J686</f>
        <v>63.617251160000002</v>
      </c>
      <c r="P686">
        <f>M686-N686-H686</f>
        <v>2.2822900000000006</v>
      </c>
      <c r="Q686">
        <f>P686/O686</f>
        <v>3.5875331901089963E-2</v>
      </c>
      <c r="R686">
        <f>I686-G686</f>
        <v>27</v>
      </c>
      <c r="S686">
        <f>Q686/R686</f>
        <v>1.3287159963366654E-3</v>
      </c>
      <c r="T686">
        <f>S686*10000</f>
        <v>13.287159963366653</v>
      </c>
    </row>
    <row r="687" spans="1:20" x14ac:dyDescent="0.3">
      <c r="A687" t="s">
        <v>57</v>
      </c>
      <c r="B687" t="s">
        <v>44</v>
      </c>
      <c r="C687">
        <v>2</v>
      </c>
      <c r="D687">
        <v>24</v>
      </c>
      <c r="E687" t="s">
        <v>23</v>
      </c>
      <c r="F687">
        <v>0.45238</v>
      </c>
      <c r="G687" s="1">
        <v>45976</v>
      </c>
      <c r="H687">
        <v>2.3532099999999998</v>
      </c>
      <c r="I687" s="1">
        <v>46003</v>
      </c>
      <c r="J687">
        <v>63.617251160000002</v>
      </c>
      <c r="K687">
        <v>5.31</v>
      </c>
      <c r="L687">
        <v>1</v>
      </c>
      <c r="M687">
        <v>5.4002600000000003</v>
      </c>
      <c r="N687">
        <f>L687*F687</f>
        <v>0.45238</v>
      </c>
      <c r="O687">
        <f>L687*J687</f>
        <v>63.617251160000002</v>
      </c>
      <c r="P687">
        <f>M687-N687-H687</f>
        <v>2.5946700000000007</v>
      </c>
      <c r="Q687">
        <f>P687/O687</f>
        <v>4.0785635227688459E-2</v>
      </c>
      <c r="R687">
        <f>I687-G687</f>
        <v>27</v>
      </c>
      <c r="S687">
        <f>Q687/R687</f>
        <v>1.5105790825069799E-3</v>
      </c>
      <c r="T687">
        <f>S687*10000</f>
        <v>15.1057908250698</v>
      </c>
    </row>
    <row r="688" spans="1:20" x14ac:dyDescent="0.3">
      <c r="A688" t="s">
        <v>57</v>
      </c>
      <c r="B688" t="s">
        <v>44</v>
      </c>
      <c r="C688">
        <v>2</v>
      </c>
      <c r="D688">
        <v>24</v>
      </c>
      <c r="E688" t="s">
        <v>24</v>
      </c>
      <c r="F688">
        <v>0.45788000000000001</v>
      </c>
      <c r="G688" s="1">
        <v>45976</v>
      </c>
      <c r="H688">
        <v>2.3199000000000001</v>
      </c>
      <c r="I688" s="1">
        <v>46003</v>
      </c>
      <c r="J688">
        <v>63.617251160000002</v>
      </c>
      <c r="K688">
        <v>5.31</v>
      </c>
      <c r="L688">
        <v>1</v>
      </c>
      <c r="M688">
        <v>5.20587</v>
      </c>
      <c r="N688">
        <f>L688*F688</f>
        <v>0.45788000000000001</v>
      </c>
      <c r="O688">
        <f>L688*J688</f>
        <v>63.617251160000002</v>
      </c>
      <c r="P688">
        <f>M688-N688-H688</f>
        <v>2.4280899999999996</v>
      </c>
      <c r="Q688">
        <f>P688/O688</f>
        <v>3.8167163084322102E-2</v>
      </c>
      <c r="R688">
        <f>I688-G688</f>
        <v>27</v>
      </c>
      <c r="S688">
        <f>Q688/R688</f>
        <v>1.4135986327526704E-3</v>
      </c>
      <c r="T688">
        <f>S688*10000</f>
        <v>14.135986327526703</v>
      </c>
    </row>
    <row r="689" spans="1:20" x14ac:dyDescent="0.3">
      <c r="A689" t="s">
        <v>57</v>
      </c>
      <c r="B689" t="s">
        <v>44</v>
      </c>
      <c r="C689">
        <v>2</v>
      </c>
      <c r="D689">
        <v>48</v>
      </c>
      <c r="E689" t="s">
        <v>22</v>
      </c>
      <c r="F689">
        <v>0.45236999999999999</v>
      </c>
      <c r="G689" s="1">
        <v>45976</v>
      </c>
      <c r="H689">
        <v>2.2696900000000002</v>
      </c>
      <c r="I689" s="1">
        <v>46003</v>
      </c>
      <c r="J689">
        <v>63.617251160000002</v>
      </c>
      <c r="K689">
        <v>5.31</v>
      </c>
      <c r="L689">
        <v>1</v>
      </c>
      <c r="M689">
        <v>4.8379399999999997</v>
      </c>
      <c r="N689">
        <f>L689*F689</f>
        <v>0.45236999999999999</v>
      </c>
      <c r="O689">
        <f>L689*J689</f>
        <v>63.617251160000002</v>
      </c>
      <c r="P689">
        <f>M689-N689-H689</f>
        <v>2.1158799999999993</v>
      </c>
      <c r="Q689">
        <f>P689/O689</f>
        <v>3.3259531988870036E-2</v>
      </c>
      <c r="R689">
        <f>I689-G689</f>
        <v>27</v>
      </c>
      <c r="S689">
        <f>Q689/R689</f>
        <v>1.2318345181062977E-3</v>
      </c>
      <c r="T689">
        <f>S689*10000</f>
        <v>12.318345181062977</v>
      </c>
    </row>
    <row r="690" spans="1:20" x14ac:dyDescent="0.3">
      <c r="A690" t="s">
        <v>57</v>
      </c>
      <c r="B690" t="s">
        <v>44</v>
      </c>
      <c r="C690">
        <v>2</v>
      </c>
      <c r="D690">
        <v>48</v>
      </c>
      <c r="E690" t="s">
        <v>23</v>
      </c>
      <c r="F690">
        <v>0.45967999999999998</v>
      </c>
      <c r="G690" s="1">
        <v>45976</v>
      </c>
      <c r="H690">
        <v>2.3071199999999998</v>
      </c>
      <c r="I690" s="1">
        <v>46003</v>
      </c>
      <c r="J690">
        <v>63.617251160000002</v>
      </c>
      <c r="K690">
        <v>5.31</v>
      </c>
      <c r="L690">
        <v>1</v>
      </c>
      <c r="M690">
        <v>4.8760500000000002</v>
      </c>
      <c r="N690">
        <f>L690*F690</f>
        <v>0.45967999999999998</v>
      </c>
      <c r="O690">
        <f>L690*J690</f>
        <v>63.617251160000002</v>
      </c>
      <c r="P690">
        <f>M690-N690-H690</f>
        <v>2.1092500000000007</v>
      </c>
      <c r="Q690">
        <f>P690/O690</f>
        <v>3.3155314974159293E-2</v>
      </c>
      <c r="R690">
        <f>I690-G690</f>
        <v>27</v>
      </c>
      <c r="S690">
        <f>Q690/R690</f>
        <v>1.2279746286725664E-3</v>
      </c>
      <c r="T690">
        <f>S690*10000</f>
        <v>12.279746286725665</v>
      </c>
    </row>
    <row r="691" spans="1:20" x14ac:dyDescent="0.3">
      <c r="A691" t="s">
        <v>57</v>
      </c>
      <c r="B691" t="s">
        <v>44</v>
      </c>
      <c r="C691">
        <v>2</v>
      </c>
      <c r="D691">
        <v>48</v>
      </c>
      <c r="E691" t="s">
        <v>24</v>
      </c>
      <c r="F691">
        <v>0.46016000000000001</v>
      </c>
      <c r="G691" s="1">
        <v>45976</v>
      </c>
      <c r="H691">
        <v>2.3056100000000002</v>
      </c>
      <c r="I691" s="1">
        <v>46003</v>
      </c>
      <c r="J691">
        <v>63.617251160000002</v>
      </c>
      <c r="K691">
        <v>5.31</v>
      </c>
      <c r="L691">
        <v>1</v>
      </c>
      <c r="M691">
        <v>4.72201</v>
      </c>
      <c r="N691">
        <f>L691*F691</f>
        <v>0.46016000000000001</v>
      </c>
      <c r="O691">
        <f>L691*J691</f>
        <v>63.617251160000002</v>
      </c>
      <c r="P691">
        <f>M691-N691-H691</f>
        <v>1.9562399999999998</v>
      </c>
      <c r="Q691">
        <f>P691/O691</f>
        <v>3.0750149752305011E-2</v>
      </c>
      <c r="R691">
        <f>I691-G691</f>
        <v>27</v>
      </c>
      <c r="S691">
        <f>Q691/R691</f>
        <v>1.138894435270556E-3</v>
      </c>
      <c r="T691">
        <f>S691*10000</f>
        <v>11.388944352705561</v>
      </c>
    </row>
    <row r="692" spans="1:20" x14ac:dyDescent="0.3">
      <c r="A692" t="s">
        <v>57</v>
      </c>
      <c r="B692" t="s">
        <v>44</v>
      </c>
      <c r="E692" t="s">
        <v>29</v>
      </c>
      <c r="F692" t="s">
        <v>27</v>
      </c>
      <c r="G692" t="s">
        <v>27</v>
      </c>
      <c r="H692">
        <v>2.39018</v>
      </c>
      <c r="I692" t="s">
        <v>27</v>
      </c>
      <c r="J692">
        <v>63.617251160000002</v>
      </c>
      <c r="K692">
        <v>5.31</v>
      </c>
      <c r="L692" t="s">
        <v>27</v>
      </c>
      <c r="M692">
        <v>2.3369599999999999</v>
      </c>
      <c r="N692" t="e">
        <f>L692*F692</f>
        <v>#VALUE!</v>
      </c>
      <c r="O692" t="e">
        <f>L692*J692</f>
        <v>#VALUE!</v>
      </c>
      <c r="P692" t="e">
        <f>M692-N692-H692</f>
        <v>#VALUE!</v>
      </c>
      <c r="Q692" t="e">
        <f>P692/O692</f>
        <v>#VALUE!</v>
      </c>
      <c r="R692" t="e">
        <f>I692-G692</f>
        <v>#VALUE!</v>
      </c>
      <c r="S692" t="e">
        <f>Q692/R692</f>
        <v>#VALUE!</v>
      </c>
      <c r="T692" t="e">
        <f>S692*10000</f>
        <v>#VALUE!</v>
      </c>
    </row>
    <row r="693" spans="1:20" x14ac:dyDescent="0.3">
      <c r="A693" t="s">
        <v>57</v>
      </c>
      <c r="B693" t="s">
        <v>44</v>
      </c>
      <c r="E693" t="s">
        <v>31</v>
      </c>
      <c r="F693" t="s">
        <v>27</v>
      </c>
      <c r="G693" t="s">
        <v>27</v>
      </c>
      <c r="H693">
        <v>2.33622</v>
      </c>
      <c r="I693" t="s">
        <v>27</v>
      </c>
      <c r="J693">
        <v>63.617251160000002</v>
      </c>
      <c r="K693">
        <v>5.31</v>
      </c>
      <c r="L693" t="s">
        <v>27</v>
      </c>
      <c r="M693">
        <v>2.32416</v>
      </c>
      <c r="N693" t="e">
        <f>L693*F693</f>
        <v>#VALUE!</v>
      </c>
      <c r="O693" t="e">
        <f>L693*J693</f>
        <v>#VALUE!</v>
      </c>
      <c r="P693" t="e">
        <f>M693-N693-H693</f>
        <v>#VALUE!</v>
      </c>
      <c r="Q693" t="e">
        <f>P693/O693</f>
        <v>#VALUE!</v>
      </c>
      <c r="R693" t="e">
        <f>I693-G693</f>
        <v>#VALUE!</v>
      </c>
      <c r="S693" t="e">
        <f>Q693/R693</f>
        <v>#VALUE!</v>
      </c>
      <c r="T693" t="e">
        <f>S693*10000</f>
        <v>#VALUE!</v>
      </c>
    </row>
    <row r="694" spans="1:20" x14ac:dyDescent="0.3">
      <c r="A694" t="s">
        <v>57</v>
      </c>
      <c r="B694" t="s">
        <v>44</v>
      </c>
      <c r="E694" t="s">
        <v>33</v>
      </c>
      <c r="F694" t="s">
        <v>27</v>
      </c>
      <c r="G694" t="s">
        <v>27</v>
      </c>
      <c r="H694">
        <v>2.2868900000000001</v>
      </c>
      <c r="I694" t="s">
        <v>27</v>
      </c>
      <c r="J694">
        <v>63.617251160000002</v>
      </c>
      <c r="K694">
        <v>5.31</v>
      </c>
      <c r="L694" t="s">
        <v>27</v>
      </c>
      <c r="M694">
        <v>2.3405800000000001</v>
      </c>
      <c r="N694" t="e">
        <f>L694*F694</f>
        <v>#VALUE!</v>
      </c>
      <c r="O694" t="e">
        <f>L694*J694</f>
        <v>#VALUE!</v>
      </c>
      <c r="P694" t="e">
        <f>M694-N694-H694</f>
        <v>#VALUE!</v>
      </c>
      <c r="Q694" t="e">
        <f>P694/O694</f>
        <v>#VALUE!</v>
      </c>
      <c r="R694" t="e">
        <f>I694-G694</f>
        <v>#VALUE!</v>
      </c>
      <c r="S694" t="e">
        <f>Q694/R694</f>
        <v>#VALUE!</v>
      </c>
      <c r="T694" t="e">
        <f>S694*10000</f>
        <v>#VALUE!</v>
      </c>
    </row>
    <row r="695" spans="1:20" x14ac:dyDescent="0.3">
      <c r="A695" t="s">
        <v>57</v>
      </c>
      <c r="B695" t="s">
        <v>44</v>
      </c>
      <c r="E695" t="s">
        <v>34</v>
      </c>
      <c r="F695" t="s">
        <v>27</v>
      </c>
      <c r="G695" t="s">
        <v>27</v>
      </c>
      <c r="H695">
        <v>2.7189999999999999</v>
      </c>
      <c r="I695" t="s">
        <v>27</v>
      </c>
      <c r="J695">
        <v>63.617251160000002</v>
      </c>
      <c r="K695">
        <v>5.31</v>
      </c>
      <c r="L695" t="s">
        <v>27</v>
      </c>
      <c r="M695">
        <v>2.3182</v>
      </c>
      <c r="N695" t="e">
        <f>L695*F695</f>
        <v>#VALUE!</v>
      </c>
      <c r="O695" t="e">
        <f>L695*J695</f>
        <v>#VALUE!</v>
      </c>
      <c r="P695" t="e">
        <f>M695-N695-H695</f>
        <v>#VALUE!</v>
      </c>
      <c r="Q695" t="e">
        <f>P695/O695</f>
        <v>#VALUE!</v>
      </c>
      <c r="R695" t="e">
        <f>I695-G695</f>
        <v>#VALUE!</v>
      </c>
      <c r="S695" t="e">
        <f>Q695/R695</f>
        <v>#VALUE!</v>
      </c>
      <c r="T695" t="e">
        <f>S695*10000</f>
        <v>#VALUE!</v>
      </c>
    </row>
    <row r="696" spans="1:20" x14ac:dyDescent="0.3">
      <c r="A696" t="s">
        <v>57</v>
      </c>
      <c r="B696" t="s">
        <v>37</v>
      </c>
      <c r="C696">
        <v>1</v>
      </c>
      <c r="D696">
        <v>0.5</v>
      </c>
      <c r="E696" t="s">
        <v>47</v>
      </c>
      <c r="F696">
        <v>4.6073300000000001</v>
      </c>
      <c r="G696" s="1">
        <v>45967</v>
      </c>
      <c r="H696">
        <v>2.1290800000000001</v>
      </c>
      <c r="I696" s="1">
        <v>45994</v>
      </c>
      <c r="J696">
        <v>63.617251160000002</v>
      </c>
      <c r="K696">
        <v>5.31</v>
      </c>
      <c r="L696">
        <v>1</v>
      </c>
      <c r="M696">
        <v>6.8604900000000004</v>
      </c>
      <c r="N696">
        <f>L696*F696</f>
        <v>4.6073300000000001</v>
      </c>
      <c r="O696">
        <f>L696*J696</f>
        <v>63.617251160000002</v>
      </c>
      <c r="P696">
        <f>M696-N696-H696</f>
        <v>0.12408000000000019</v>
      </c>
      <c r="Q696">
        <f>P696/O696</f>
        <v>1.9504143567588906E-3</v>
      </c>
      <c r="R696">
        <f>I696-G696</f>
        <v>27</v>
      </c>
      <c r="S696">
        <f>Q696/R696</f>
        <v>7.2237568768847795E-5</v>
      </c>
      <c r="T696">
        <f>S696*10000</f>
        <v>0.72237568768847793</v>
      </c>
    </row>
    <row r="697" spans="1:20" x14ac:dyDescent="0.3">
      <c r="A697" t="s">
        <v>57</v>
      </c>
      <c r="B697" t="s">
        <v>37</v>
      </c>
      <c r="C697">
        <v>1</v>
      </c>
      <c r="D697">
        <v>0.5</v>
      </c>
      <c r="E697" t="s">
        <v>23</v>
      </c>
      <c r="F697">
        <v>4.5606900000000001</v>
      </c>
      <c r="G697" s="1">
        <v>45967</v>
      </c>
      <c r="H697">
        <v>2.08094</v>
      </c>
      <c r="I697" s="1">
        <v>45994</v>
      </c>
      <c r="J697">
        <v>63.617251160000002</v>
      </c>
      <c r="K697">
        <v>5.31</v>
      </c>
      <c r="L697">
        <v>1</v>
      </c>
      <c r="M697">
        <v>6.7234400000000001</v>
      </c>
      <c r="N697">
        <f>L697*F697</f>
        <v>4.5606900000000001</v>
      </c>
      <c r="O697">
        <f>L697*J697</f>
        <v>63.617251160000002</v>
      </c>
      <c r="P697">
        <f>M697-N697-H697</f>
        <v>8.1809999999999938E-2</v>
      </c>
      <c r="Q697">
        <f>P697/O697</f>
        <v>1.2859719417024861E-3</v>
      </c>
      <c r="R697">
        <f>I697-G697</f>
        <v>27</v>
      </c>
      <c r="S697">
        <f>Q697/R697</f>
        <v>4.762859043342541E-5</v>
      </c>
      <c r="T697">
        <f>S697*10000</f>
        <v>0.47628590433425411</v>
      </c>
    </row>
    <row r="698" spans="1:20" x14ac:dyDescent="0.3">
      <c r="A698" t="s">
        <v>57</v>
      </c>
      <c r="B698" t="s">
        <v>37</v>
      </c>
      <c r="C698">
        <v>1</v>
      </c>
      <c r="D698">
        <v>0.5</v>
      </c>
      <c r="E698" t="s">
        <v>24</v>
      </c>
      <c r="F698">
        <v>4.3821899999999996</v>
      </c>
      <c r="G698" s="1">
        <v>45967</v>
      </c>
      <c r="H698">
        <v>2.0838399999999999</v>
      </c>
      <c r="I698" s="1">
        <v>45994</v>
      </c>
      <c r="J698">
        <v>63.617251160000002</v>
      </c>
      <c r="K698">
        <v>5.31</v>
      </c>
      <c r="L698">
        <v>1</v>
      </c>
      <c r="M698">
        <v>6.58711</v>
      </c>
      <c r="N698">
        <f>L698*F698</f>
        <v>4.3821899999999996</v>
      </c>
      <c r="O698">
        <f>L698*J698</f>
        <v>63.617251160000002</v>
      </c>
      <c r="P698">
        <f>M698-N698-H698</f>
        <v>0.12108000000000052</v>
      </c>
      <c r="Q698">
        <f>P698/O698</f>
        <v>1.9032573365277815E-3</v>
      </c>
      <c r="R698">
        <f>I698-G698</f>
        <v>27</v>
      </c>
      <c r="S698">
        <f>Q698/R698</f>
        <v>7.0491012463991915E-5</v>
      </c>
      <c r="T698">
        <f>S698*10000</f>
        <v>0.7049101246399192</v>
      </c>
    </row>
    <row r="699" spans="1:20" x14ac:dyDescent="0.3">
      <c r="A699" t="s">
        <v>57</v>
      </c>
      <c r="B699" t="s">
        <v>37</v>
      </c>
      <c r="C699">
        <v>1</v>
      </c>
      <c r="D699">
        <v>2</v>
      </c>
      <c r="E699" t="s">
        <v>47</v>
      </c>
      <c r="F699">
        <v>4.5621700000000001</v>
      </c>
      <c r="G699" s="1">
        <v>45967</v>
      </c>
      <c r="H699">
        <v>2.03213</v>
      </c>
      <c r="I699" s="1">
        <v>45994</v>
      </c>
      <c r="J699">
        <v>63.617251160000002</v>
      </c>
      <c r="K699">
        <v>5.31</v>
      </c>
      <c r="L699">
        <v>1</v>
      </c>
      <c r="M699">
        <v>6.7604699999999998</v>
      </c>
      <c r="N699">
        <f>L699*F699</f>
        <v>4.5621700000000001</v>
      </c>
      <c r="O699">
        <f>L699*J699</f>
        <v>63.617251160000002</v>
      </c>
      <c r="P699">
        <f>M699-N699-H699</f>
        <v>0.16616999999999971</v>
      </c>
      <c r="Q699">
        <f>P699/O699</f>
        <v>2.6120273506014167E-3</v>
      </c>
      <c r="R699">
        <f>I699-G699</f>
        <v>27</v>
      </c>
      <c r="S699">
        <f>Q699/R699</f>
        <v>9.6741753725978401E-5</v>
      </c>
      <c r="T699">
        <f>S699*10000</f>
        <v>0.96741753725978397</v>
      </c>
    </row>
    <row r="700" spans="1:20" x14ac:dyDescent="0.3">
      <c r="A700" t="s">
        <v>57</v>
      </c>
      <c r="B700" t="s">
        <v>37</v>
      </c>
      <c r="C700">
        <v>1</v>
      </c>
      <c r="D700">
        <v>2</v>
      </c>
      <c r="E700" t="s">
        <v>23</v>
      </c>
      <c r="F700">
        <v>4.6246999999999998</v>
      </c>
      <c r="G700" s="1">
        <v>45967</v>
      </c>
      <c r="H700">
        <v>2.14255</v>
      </c>
      <c r="I700" s="1">
        <v>45994</v>
      </c>
      <c r="J700">
        <v>63.617251160000002</v>
      </c>
      <c r="K700">
        <v>5.31</v>
      </c>
      <c r="L700">
        <v>1</v>
      </c>
      <c r="M700">
        <v>6.8828500000000004</v>
      </c>
      <c r="N700">
        <f>L700*F700</f>
        <v>4.6246999999999998</v>
      </c>
      <c r="O700">
        <f>L700*J700</f>
        <v>63.617251160000002</v>
      </c>
      <c r="P700">
        <f>M700-N700-H700</f>
        <v>0.11560000000000059</v>
      </c>
      <c r="Q700">
        <f>P700/O700</f>
        <v>1.8171171795722805E-3</v>
      </c>
      <c r="R700">
        <f>I700-G700</f>
        <v>27</v>
      </c>
      <c r="S700">
        <f>Q700/R700</f>
        <v>6.7300636280454834E-5</v>
      </c>
      <c r="T700">
        <f>S700*10000</f>
        <v>0.67300636280454829</v>
      </c>
    </row>
    <row r="701" spans="1:20" x14ac:dyDescent="0.3">
      <c r="A701" t="s">
        <v>57</v>
      </c>
      <c r="B701" t="s">
        <v>37</v>
      </c>
      <c r="C701">
        <v>1</v>
      </c>
      <c r="D701">
        <v>2</v>
      </c>
      <c r="E701" t="s">
        <v>24</v>
      </c>
      <c r="F701">
        <v>4.1093099999999998</v>
      </c>
      <c r="G701" s="1">
        <v>45967</v>
      </c>
      <c r="H701">
        <v>2.0788099999999998</v>
      </c>
      <c r="I701" s="1">
        <v>45994</v>
      </c>
      <c r="J701">
        <v>63.617251160000002</v>
      </c>
      <c r="K701">
        <v>5.31</v>
      </c>
      <c r="L701">
        <v>1</v>
      </c>
      <c r="M701">
        <v>6.3771599999999999</v>
      </c>
      <c r="N701">
        <f>L701*F701</f>
        <v>4.1093099999999998</v>
      </c>
      <c r="O701">
        <f>L701*J701</f>
        <v>63.617251160000002</v>
      </c>
      <c r="P701">
        <f>M701-N701-H701</f>
        <v>0.18904000000000032</v>
      </c>
      <c r="Q701">
        <f>P701/O701</f>
        <v>2.9715210348299544E-3</v>
      </c>
      <c r="R701">
        <f>I701-G701</f>
        <v>27</v>
      </c>
      <c r="S701">
        <f>Q701/R701</f>
        <v>1.1005633462333164E-4</v>
      </c>
      <c r="T701">
        <f>S701*10000</f>
        <v>1.1005633462333164</v>
      </c>
    </row>
    <row r="702" spans="1:20" x14ac:dyDescent="0.3">
      <c r="A702" t="s">
        <v>57</v>
      </c>
      <c r="B702" t="s">
        <v>37</v>
      </c>
      <c r="C702">
        <v>1</v>
      </c>
      <c r="D702">
        <v>6</v>
      </c>
      <c r="E702" t="s">
        <v>47</v>
      </c>
      <c r="F702">
        <v>0.44636999999999999</v>
      </c>
      <c r="G702" s="1">
        <v>45967</v>
      </c>
      <c r="H702">
        <v>2.0788700000000002</v>
      </c>
      <c r="I702" s="1">
        <v>45994</v>
      </c>
      <c r="J702">
        <v>63.617251160000002</v>
      </c>
      <c r="K702">
        <v>5.31</v>
      </c>
      <c r="L702">
        <v>0.5</v>
      </c>
      <c r="M702">
        <v>2.7917100000000001</v>
      </c>
      <c r="N702">
        <f>L702*F702</f>
        <v>0.22318499999999999</v>
      </c>
      <c r="O702">
        <f>L702*J702</f>
        <v>31.808625580000001</v>
      </c>
      <c r="P702">
        <f>M702-N702-H702</f>
        <v>0.48965499999999995</v>
      </c>
      <c r="Q702">
        <f>P702/O702</f>
        <v>1.5393780494177514E-2</v>
      </c>
      <c r="R702">
        <f>I702-G702</f>
        <v>27</v>
      </c>
      <c r="S702">
        <f>Q702/R702</f>
        <v>5.7014001830287084E-4</v>
      </c>
      <c r="T702">
        <f>S702*10000</f>
        <v>5.7014001830287082</v>
      </c>
    </row>
    <row r="703" spans="1:20" x14ac:dyDescent="0.3">
      <c r="A703" t="s">
        <v>57</v>
      </c>
      <c r="B703" t="s">
        <v>37</v>
      </c>
      <c r="C703">
        <v>1</v>
      </c>
      <c r="D703">
        <v>6</v>
      </c>
      <c r="E703" t="s">
        <v>23</v>
      </c>
      <c r="F703">
        <v>0.44879000000000002</v>
      </c>
      <c r="G703" s="1">
        <v>45967</v>
      </c>
      <c r="H703">
        <v>2.0602499999999999</v>
      </c>
      <c r="I703" s="1">
        <v>45994</v>
      </c>
      <c r="J703">
        <v>63.617251160000002</v>
      </c>
      <c r="K703">
        <v>5.31</v>
      </c>
      <c r="L703">
        <v>1</v>
      </c>
      <c r="M703">
        <v>3.2881999999999998</v>
      </c>
      <c r="N703">
        <f>L703*F703</f>
        <v>0.44879000000000002</v>
      </c>
      <c r="O703">
        <f>L703*J703</f>
        <v>63.617251160000002</v>
      </c>
      <c r="P703">
        <f>M703-N703-H703</f>
        <v>0.77916000000000007</v>
      </c>
      <c r="Q703">
        <f>P703/O703</f>
        <v>1.2247621294425009E-2</v>
      </c>
      <c r="R703">
        <f>I703-G703</f>
        <v>27</v>
      </c>
      <c r="S703">
        <f>Q703/R703</f>
        <v>4.5361560349722256E-4</v>
      </c>
      <c r="T703">
        <f>S703*10000</f>
        <v>4.5361560349722252</v>
      </c>
    </row>
    <row r="704" spans="1:20" x14ac:dyDescent="0.3">
      <c r="A704" t="s">
        <v>57</v>
      </c>
      <c r="B704" t="s">
        <v>37</v>
      </c>
      <c r="C704">
        <v>1</v>
      </c>
      <c r="D704">
        <v>6</v>
      </c>
      <c r="E704" t="s">
        <v>24</v>
      </c>
      <c r="F704">
        <v>0.44812999999999997</v>
      </c>
      <c r="G704" s="1">
        <v>45967</v>
      </c>
      <c r="H704">
        <v>2.1105800000000001</v>
      </c>
      <c r="I704" s="1">
        <v>45994</v>
      </c>
      <c r="J704">
        <v>63.617251160000002</v>
      </c>
      <c r="K704">
        <v>5.31</v>
      </c>
      <c r="L704">
        <v>1</v>
      </c>
      <c r="M704">
        <v>3.4291399999999999</v>
      </c>
      <c r="N704">
        <f>L704*F704</f>
        <v>0.44812999999999997</v>
      </c>
      <c r="O704">
        <f>L704*J704</f>
        <v>63.617251160000002</v>
      </c>
      <c r="P704">
        <f>M704-N704-H704</f>
        <v>0.87042999999999981</v>
      </c>
      <c r="Q704">
        <f>P704/O704</f>
        <v>1.3682295039922939E-2</v>
      </c>
      <c r="R704">
        <f>I704-G704</f>
        <v>27</v>
      </c>
      <c r="S704">
        <f>Q704/R704</f>
        <v>5.0675166814529403E-4</v>
      </c>
      <c r="T704">
        <f>S704*10000</f>
        <v>5.0675166814529407</v>
      </c>
    </row>
    <row r="705" spans="1:20" x14ac:dyDescent="0.3">
      <c r="A705" t="s">
        <v>57</v>
      </c>
      <c r="B705" t="s">
        <v>37</v>
      </c>
      <c r="C705">
        <v>1</v>
      </c>
      <c r="D705">
        <v>12</v>
      </c>
      <c r="E705" t="s">
        <v>47</v>
      </c>
      <c r="F705">
        <v>0.44579000000000002</v>
      </c>
      <c r="G705" s="1">
        <v>45967</v>
      </c>
      <c r="H705">
        <v>2.1283599999999998</v>
      </c>
      <c r="I705" s="1">
        <v>45994</v>
      </c>
      <c r="J705">
        <v>63.617251160000002</v>
      </c>
      <c r="K705">
        <v>5.31</v>
      </c>
      <c r="L705">
        <v>1</v>
      </c>
      <c r="M705">
        <v>4.9805400000000004</v>
      </c>
      <c r="N705">
        <f>L705*F705</f>
        <v>0.44579000000000002</v>
      </c>
      <c r="O705">
        <f>L705*J705</f>
        <v>63.617251160000002</v>
      </c>
      <c r="P705">
        <f>M705-N705-H705</f>
        <v>2.4063900000000009</v>
      </c>
      <c r="Q705">
        <f>P705/O705</f>
        <v>3.782606063798373E-2</v>
      </c>
      <c r="R705">
        <f>I705-G705</f>
        <v>27</v>
      </c>
      <c r="S705">
        <f>Q705/R705</f>
        <v>1.4009652088142121E-3</v>
      </c>
      <c r="T705">
        <f>S705*10000</f>
        <v>14.009652088142122</v>
      </c>
    </row>
    <row r="706" spans="1:20" x14ac:dyDescent="0.3">
      <c r="A706" t="s">
        <v>57</v>
      </c>
      <c r="B706" t="s">
        <v>37</v>
      </c>
      <c r="C706">
        <v>1</v>
      </c>
      <c r="D706">
        <v>12</v>
      </c>
      <c r="E706" t="s">
        <v>23</v>
      </c>
      <c r="F706">
        <v>0.45301000000000002</v>
      </c>
      <c r="G706" s="1">
        <v>45967</v>
      </c>
      <c r="H706">
        <v>2.12717</v>
      </c>
      <c r="I706" s="1">
        <v>45994</v>
      </c>
      <c r="J706">
        <v>63.617251160000002</v>
      </c>
      <c r="K706">
        <v>5.31</v>
      </c>
      <c r="L706">
        <v>1</v>
      </c>
      <c r="M706">
        <v>5.1812199999999997</v>
      </c>
      <c r="N706">
        <f>L706*F706</f>
        <v>0.45301000000000002</v>
      </c>
      <c r="O706">
        <f>L706*J706</f>
        <v>63.617251160000002</v>
      </c>
      <c r="P706">
        <f>M706-N706-H706</f>
        <v>2.6010399999999998</v>
      </c>
      <c r="Q706">
        <f>P706/O706</f>
        <v>4.0885765300645846E-2</v>
      </c>
      <c r="R706">
        <f>I706-G706</f>
        <v>27</v>
      </c>
      <c r="S706">
        <f>Q706/R706</f>
        <v>1.5142876037276239E-3</v>
      </c>
      <c r="T706">
        <f>S706*10000</f>
        <v>15.142876037276238</v>
      </c>
    </row>
    <row r="707" spans="1:20" x14ac:dyDescent="0.3">
      <c r="A707" t="s">
        <v>57</v>
      </c>
      <c r="B707" t="s">
        <v>37</v>
      </c>
      <c r="C707">
        <v>1</v>
      </c>
      <c r="D707">
        <v>12</v>
      </c>
      <c r="E707" t="s">
        <v>24</v>
      </c>
      <c r="F707">
        <v>0.45572000000000001</v>
      </c>
      <c r="G707" s="1">
        <v>45967</v>
      </c>
      <c r="H707">
        <v>2.0714899999999998</v>
      </c>
      <c r="I707" s="1">
        <v>45994</v>
      </c>
      <c r="J707">
        <v>63.617251160000002</v>
      </c>
      <c r="K707">
        <v>5.31</v>
      </c>
      <c r="L707">
        <v>1</v>
      </c>
      <c r="M707">
        <v>2.9615900000000002</v>
      </c>
      <c r="N707">
        <f>L707*F707</f>
        <v>0.45572000000000001</v>
      </c>
      <c r="O707">
        <f>L707*J707</f>
        <v>63.617251160000002</v>
      </c>
      <c r="P707">
        <f>M707-N707-H707</f>
        <v>0.43438000000000043</v>
      </c>
      <c r="Q707">
        <f>P707/O707</f>
        <v>6.8280221493304842E-3</v>
      </c>
      <c r="R707">
        <f>I707-G707</f>
        <v>27</v>
      </c>
      <c r="S707">
        <f>Q707/R707</f>
        <v>2.528897092344624E-4</v>
      </c>
      <c r="T707">
        <f>S707*10000</f>
        <v>2.5288970923446241</v>
      </c>
    </row>
    <row r="708" spans="1:20" x14ac:dyDescent="0.3">
      <c r="A708" t="s">
        <v>57</v>
      </c>
      <c r="B708" t="s">
        <v>37</v>
      </c>
      <c r="C708">
        <v>1</v>
      </c>
      <c r="D708">
        <v>18</v>
      </c>
      <c r="E708" t="s">
        <v>47</v>
      </c>
      <c r="F708">
        <v>0.45763999999999999</v>
      </c>
      <c r="G708" s="1">
        <v>45964</v>
      </c>
      <c r="H708">
        <v>2.09693</v>
      </c>
      <c r="I708" s="1">
        <v>45993</v>
      </c>
      <c r="J708">
        <v>63.617251160000002</v>
      </c>
      <c r="K708">
        <v>5.31</v>
      </c>
      <c r="L708">
        <v>1</v>
      </c>
      <c r="M708">
        <v>3.0545499999999999</v>
      </c>
      <c r="N708">
        <f>L708*F708</f>
        <v>0.45763999999999999</v>
      </c>
      <c r="O708">
        <f>L708*J708</f>
        <v>63.617251160000002</v>
      </c>
      <c r="P708">
        <f>M708-N708-H708</f>
        <v>0.49997999999999987</v>
      </c>
      <c r="Q708">
        <f>P708/O708</f>
        <v>7.8591889917175081E-3</v>
      </c>
      <c r="R708">
        <f>I708-G708</f>
        <v>29</v>
      </c>
      <c r="S708">
        <f>Q708/R708</f>
        <v>2.7100651695577616E-4</v>
      </c>
      <c r="T708">
        <f>S708*10000</f>
        <v>2.7100651695577618</v>
      </c>
    </row>
    <row r="709" spans="1:20" x14ac:dyDescent="0.3">
      <c r="A709" t="s">
        <v>57</v>
      </c>
      <c r="B709" t="s">
        <v>37</v>
      </c>
      <c r="C709">
        <v>1</v>
      </c>
      <c r="D709">
        <v>18</v>
      </c>
      <c r="E709" t="s">
        <v>23</v>
      </c>
      <c r="F709">
        <v>0.45106000000000002</v>
      </c>
      <c r="G709" s="1">
        <v>45964</v>
      </c>
      <c r="H709">
        <v>2.0857899999999998</v>
      </c>
      <c r="I709" s="1">
        <v>45993</v>
      </c>
      <c r="J709">
        <v>63.617251160000002</v>
      </c>
      <c r="K709">
        <v>5.31</v>
      </c>
      <c r="L709">
        <v>1</v>
      </c>
      <c r="M709">
        <v>3.4054600000000002</v>
      </c>
      <c r="N709">
        <f>L709*F709</f>
        <v>0.45106000000000002</v>
      </c>
      <c r="O709">
        <f>L709*J709</f>
        <v>63.617251160000002</v>
      </c>
      <c r="P709">
        <f>M709-N709-H709</f>
        <v>0.86861000000000033</v>
      </c>
      <c r="Q709">
        <f>P709/O709</f>
        <v>1.3653686447649404E-2</v>
      </c>
      <c r="R709">
        <f>I709-G709</f>
        <v>29</v>
      </c>
      <c r="S709">
        <f>Q709/R709</f>
        <v>4.7081677405687598E-4</v>
      </c>
      <c r="T709">
        <f>S709*10000</f>
        <v>4.7081677405687596</v>
      </c>
    </row>
    <row r="710" spans="1:20" x14ac:dyDescent="0.3">
      <c r="A710" t="s">
        <v>57</v>
      </c>
      <c r="B710" t="s">
        <v>37</v>
      </c>
      <c r="C710">
        <v>1</v>
      </c>
      <c r="D710">
        <v>18</v>
      </c>
      <c r="E710" t="s">
        <v>24</v>
      </c>
      <c r="F710">
        <v>0.45695999999999998</v>
      </c>
      <c r="G710" s="1">
        <v>45964</v>
      </c>
      <c r="H710">
        <v>2.1065999999999998</v>
      </c>
      <c r="I710" s="1">
        <v>45993</v>
      </c>
      <c r="J710">
        <v>63.617251160000002</v>
      </c>
      <c r="K710">
        <v>5.31</v>
      </c>
      <c r="L710">
        <v>1</v>
      </c>
      <c r="M710">
        <v>3.2206600000000001</v>
      </c>
      <c r="N710">
        <f>L710*F710</f>
        <v>0.45695999999999998</v>
      </c>
      <c r="O710">
        <f>L710*J710</f>
        <v>63.617251160000002</v>
      </c>
      <c r="P710">
        <f>M710-N710-H710</f>
        <v>0.65710000000000024</v>
      </c>
      <c r="Q710">
        <f>P710/O710</f>
        <v>1.0328959331288407E-2</v>
      </c>
      <c r="R710">
        <f>I710-G710</f>
        <v>29</v>
      </c>
      <c r="S710">
        <f>Q710/R710</f>
        <v>3.5617101142373816E-4</v>
      </c>
      <c r="T710">
        <f>S710*10000</f>
        <v>3.5617101142373815</v>
      </c>
    </row>
    <row r="711" spans="1:20" x14ac:dyDescent="0.3">
      <c r="A711" t="s">
        <v>57</v>
      </c>
      <c r="B711" t="s">
        <v>37</v>
      </c>
      <c r="C711">
        <v>1</v>
      </c>
      <c r="D711">
        <v>24</v>
      </c>
      <c r="E711" t="s">
        <v>22</v>
      </c>
      <c r="F711">
        <v>0.44721</v>
      </c>
      <c r="G711" s="1">
        <v>45967</v>
      </c>
      <c r="H711">
        <v>2.0990600000000001</v>
      </c>
      <c r="I711" s="1">
        <v>45994</v>
      </c>
      <c r="J711">
        <v>63.617251160000002</v>
      </c>
      <c r="K711">
        <v>5.31</v>
      </c>
      <c r="L711">
        <v>1</v>
      </c>
      <c r="M711">
        <v>2.9883000000000002</v>
      </c>
      <c r="N711">
        <f>L711*F711</f>
        <v>0.44721</v>
      </c>
      <c r="O711">
        <f>L711*J711</f>
        <v>63.617251160000002</v>
      </c>
      <c r="P711">
        <f>M711-N711-H711</f>
        <v>0.44202999999999992</v>
      </c>
      <c r="Q711">
        <f>P711/O711</f>
        <v>6.9482725509198177E-3</v>
      </c>
      <c r="R711">
        <f>I711-G711</f>
        <v>27</v>
      </c>
      <c r="S711">
        <f>Q711/R711</f>
        <v>2.5734342781184508E-4</v>
      </c>
      <c r="T711">
        <f>S711*10000</f>
        <v>2.5734342781184507</v>
      </c>
    </row>
    <row r="712" spans="1:20" x14ac:dyDescent="0.3">
      <c r="A712" t="s">
        <v>57</v>
      </c>
      <c r="B712" t="s">
        <v>37</v>
      </c>
      <c r="C712">
        <v>1</v>
      </c>
      <c r="D712">
        <v>24</v>
      </c>
      <c r="E712" t="s">
        <v>23</v>
      </c>
      <c r="F712">
        <v>0.44649</v>
      </c>
      <c r="G712" s="1">
        <v>45967</v>
      </c>
      <c r="H712">
        <v>2.1571600000000002</v>
      </c>
      <c r="I712" s="1">
        <v>45994</v>
      </c>
      <c r="J712">
        <v>63.617251160000002</v>
      </c>
      <c r="K712">
        <v>5.31</v>
      </c>
      <c r="L712">
        <v>1</v>
      </c>
      <c r="M712">
        <v>3.1224799999999999</v>
      </c>
      <c r="N712">
        <f>L712*F712</f>
        <v>0.44649</v>
      </c>
      <c r="O712">
        <f>L712*J712</f>
        <v>63.617251160000002</v>
      </c>
      <c r="P712">
        <f>M712-N712-H712</f>
        <v>0.5188299999999999</v>
      </c>
      <c r="Q712">
        <f>P712/O712</f>
        <v>8.1554922688363424E-3</v>
      </c>
      <c r="R712">
        <f>I712-G712</f>
        <v>27</v>
      </c>
      <c r="S712">
        <f>Q712/R712</f>
        <v>3.0205526921616083E-4</v>
      </c>
      <c r="T712">
        <f>S712*10000</f>
        <v>3.0205526921616084</v>
      </c>
    </row>
    <row r="713" spans="1:20" x14ac:dyDescent="0.3">
      <c r="A713" t="s">
        <v>57</v>
      </c>
      <c r="B713" t="s">
        <v>37</v>
      </c>
      <c r="C713">
        <v>1</v>
      </c>
      <c r="D713">
        <v>24</v>
      </c>
      <c r="E713" t="s">
        <v>24</v>
      </c>
      <c r="F713">
        <v>0.44746000000000002</v>
      </c>
      <c r="G713" s="1">
        <v>45967</v>
      </c>
      <c r="H713">
        <v>2.1289400000000001</v>
      </c>
      <c r="I713" s="1">
        <v>45994</v>
      </c>
      <c r="J713">
        <v>63.617251160000002</v>
      </c>
      <c r="K713">
        <v>5.31</v>
      </c>
      <c r="L713">
        <v>1</v>
      </c>
      <c r="M713">
        <v>3.0670299999999999</v>
      </c>
      <c r="N713">
        <f>L713*F713</f>
        <v>0.44746000000000002</v>
      </c>
      <c r="O713">
        <f>L713*J713</f>
        <v>63.617251160000002</v>
      </c>
      <c r="P713">
        <f>M713-N713-H713</f>
        <v>0.4906299999999999</v>
      </c>
      <c r="Q713">
        <f>P713/O713</f>
        <v>7.7122162786638689E-3</v>
      </c>
      <c r="R713">
        <f>I713-G713</f>
        <v>27</v>
      </c>
      <c r="S713">
        <f>Q713/R713</f>
        <v>2.8563763995051369E-4</v>
      </c>
      <c r="T713">
        <f>S713*10000</f>
        <v>2.856376399505137</v>
      </c>
    </row>
    <row r="714" spans="1:20" x14ac:dyDescent="0.3">
      <c r="A714" t="s">
        <v>57</v>
      </c>
      <c r="B714" t="s">
        <v>37</v>
      </c>
      <c r="C714">
        <v>1</v>
      </c>
      <c r="D714">
        <v>48</v>
      </c>
      <c r="E714" t="s">
        <v>47</v>
      </c>
      <c r="F714">
        <v>0.45580999999999999</v>
      </c>
      <c r="G714" s="1">
        <v>45967</v>
      </c>
      <c r="H714">
        <v>2.0919699999999999</v>
      </c>
      <c r="I714" s="1">
        <v>45994</v>
      </c>
      <c r="J714">
        <v>63.617251160000002</v>
      </c>
      <c r="K714">
        <v>5.31</v>
      </c>
      <c r="L714">
        <v>1</v>
      </c>
      <c r="M714">
        <v>2.9207700000000001</v>
      </c>
      <c r="N714">
        <f>L714*F714</f>
        <v>0.45580999999999999</v>
      </c>
      <c r="O714">
        <f>L714*J714</f>
        <v>63.617251160000002</v>
      </c>
      <c r="P714">
        <f>M714-N714-H714</f>
        <v>0.37299000000000015</v>
      </c>
      <c r="Q714">
        <f>P714/O714</f>
        <v>5.8630323253344441E-3</v>
      </c>
      <c r="R714">
        <f>I714-G714</f>
        <v>27</v>
      </c>
      <c r="S714">
        <f>Q714/R714</f>
        <v>2.1714934538275717E-4</v>
      </c>
      <c r="T714">
        <f>S714*10000</f>
        <v>2.1714934538275719</v>
      </c>
    </row>
    <row r="715" spans="1:20" x14ac:dyDescent="0.3">
      <c r="A715" t="s">
        <v>57</v>
      </c>
      <c r="B715" t="s">
        <v>37</v>
      </c>
      <c r="C715">
        <v>1</v>
      </c>
      <c r="D715">
        <v>48</v>
      </c>
      <c r="E715" t="s">
        <v>23</v>
      </c>
      <c r="F715">
        <v>0.44529999999999997</v>
      </c>
      <c r="G715" s="1">
        <v>45967</v>
      </c>
      <c r="H715">
        <v>2.10737</v>
      </c>
      <c r="I715" s="1">
        <v>45994</v>
      </c>
      <c r="J715">
        <v>63.617251160000002</v>
      </c>
      <c r="K715">
        <v>5.31</v>
      </c>
      <c r="L715">
        <v>1</v>
      </c>
      <c r="M715">
        <v>3.10995</v>
      </c>
      <c r="N715">
        <f>L715*F715</f>
        <v>0.44529999999999997</v>
      </c>
      <c r="O715">
        <f>L715*J715</f>
        <v>63.617251160000002</v>
      </c>
      <c r="P715">
        <f>M715-N715-H715</f>
        <v>0.55728</v>
      </c>
      <c r="Q715">
        <f>P715/O715</f>
        <v>8.7598880781317931E-3</v>
      </c>
      <c r="R715">
        <f>I715-G715</f>
        <v>27</v>
      </c>
      <c r="S715">
        <f>Q715/R715</f>
        <v>3.2444029919006639E-4</v>
      </c>
      <c r="T715">
        <f>S715*10000</f>
        <v>3.2444029919006638</v>
      </c>
    </row>
    <row r="716" spans="1:20" x14ac:dyDescent="0.3">
      <c r="A716" t="s">
        <v>57</v>
      </c>
      <c r="B716" t="s">
        <v>37</v>
      </c>
      <c r="C716">
        <v>1</v>
      </c>
      <c r="D716">
        <v>48</v>
      </c>
      <c r="E716" t="s">
        <v>24</v>
      </c>
      <c r="F716">
        <v>0.45816000000000001</v>
      </c>
      <c r="G716" s="1">
        <v>45967</v>
      </c>
      <c r="H716">
        <v>2.0973000000000002</v>
      </c>
      <c r="I716" s="1">
        <v>45994</v>
      </c>
      <c r="J716">
        <v>63.617251160000002</v>
      </c>
      <c r="K716">
        <v>5.31</v>
      </c>
      <c r="L716">
        <v>1</v>
      </c>
      <c r="M716">
        <v>2.94089</v>
      </c>
      <c r="N716">
        <f>L716*F716</f>
        <v>0.45816000000000001</v>
      </c>
      <c r="O716">
        <f>L716*J716</f>
        <v>63.617251160000002</v>
      </c>
      <c r="P716">
        <f>M716-N716-H716</f>
        <v>0.38542999999999994</v>
      </c>
      <c r="Q716">
        <f>P716/O716</f>
        <v>6.0585767692261277E-3</v>
      </c>
      <c r="R716">
        <f>I716-G716</f>
        <v>27</v>
      </c>
      <c r="S716">
        <f>Q716/R716</f>
        <v>2.2439173219356029E-4</v>
      </c>
      <c r="T716">
        <f>S716*10000</f>
        <v>2.2439173219356028</v>
      </c>
    </row>
    <row r="717" spans="1:20" x14ac:dyDescent="0.3">
      <c r="A717" t="s">
        <v>57</v>
      </c>
      <c r="B717" t="s">
        <v>37</v>
      </c>
      <c r="C717">
        <v>2</v>
      </c>
      <c r="D717">
        <v>0.5</v>
      </c>
      <c r="E717" t="s">
        <v>47</v>
      </c>
      <c r="F717">
        <v>4.33657</v>
      </c>
      <c r="G717" s="1">
        <v>45967</v>
      </c>
      <c r="H717">
        <v>2.1144500000000002</v>
      </c>
      <c r="I717" s="1">
        <v>45994</v>
      </c>
      <c r="J717">
        <v>63.617251160000002</v>
      </c>
      <c r="K717">
        <v>5.31</v>
      </c>
      <c r="L717">
        <v>1</v>
      </c>
      <c r="M717">
        <v>6.5047899999999998</v>
      </c>
      <c r="N717">
        <f>L717*F717</f>
        <v>4.33657</v>
      </c>
      <c r="O717">
        <f>L717*J717</f>
        <v>63.617251160000002</v>
      </c>
      <c r="P717">
        <f>M717-N717-H717</f>
        <v>5.3769999999999651E-2</v>
      </c>
      <c r="Q717">
        <f>P717/O717</f>
        <v>8.4521099260899987E-4</v>
      </c>
      <c r="R717">
        <f>I717-G717</f>
        <v>27</v>
      </c>
      <c r="S717">
        <f>Q717/R717</f>
        <v>3.1304110837370366E-5</v>
      </c>
      <c r="T717">
        <f>S717*10000</f>
        <v>0.31304110837370364</v>
      </c>
    </row>
    <row r="718" spans="1:20" x14ac:dyDescent="0.3">
      <c r="A718" t="s">
        <v>57</v>
      </c>
      <c r="B718" t="s">
        <v>37</v>
      </c>
      <c r="C718">
        <v>2</v>
      </c>
      <c r="D718">
        <v>0.5</v>
      </c>
      <c r="E718" t="s">
        <v>23</v>
      </c>
      <c r="F718">
        <v>4.3364500000000001</v>
      </c>
      <c r="G718" s="1">
        <v>45967</v>
      </c>
      <c r="H718">
        <v>2.0860799999999999</v>
      </c>
      <c r="I718" s="1">
        <v>45994</v>
      </c>
      <c r="J718">
        <v>63.617251160000002</v>
      </c>
      <c r="K718">
        <v>5.31</v>
      </c>
      <c r="L718">
        <v>1</v>
      </c>
      <c r="M718">
        <v>6.4594100000000001</v>
      </c>
      <c r="N718">
        <f>L718*F718</f>
        <v>4.3364500000000001</v>
      </c>
      <c r="O718">
        <f>L718*J718</f>
        <v>63.617251160000002</v>
      </c>
      <c r="P718">
        <f>M718-N718-H718</f>
        <v>3.6880000000000024E-2</v>
      </c>
      <c r="Q718">
        <f>P718/O718</f>
        <v>5.7971696870783224E-4</v>
      </c>
      <c r="R718">
        <f>I718-G718</f>
        <v>27</v>
      </c>
      <c r="S718">
        <f>Q718/R718</f>
        <v>2.1470998841030824E-5</v>
      </c>
      <c r="T718">
        <f>S718*10000</f>
        <v>0.21470998841030825</v>
      </c>
    </row>
    <row r="719" spans="1:20" x14ac:dyDescent="0.3">
      <c r="A719" t="s">
        <v>57</v>
      </c>
      <c r="B719" t="s">
        <v>37</v>
      </c>
      <c r="C719">
        <v>2</v>
      </c>
      <c r="D719">
        <v>0.5</v>
      </c>
      <c r="E719" t="s">
        <v>24</v>
      </c>
      <c r="F719">
        <v>4.3765799999999997</v>
      </c>
      <c r="G719" s="1">
        <v>45967</v>
      </c>
      <c r="H719">
        <v>2.0973000000000002</v>
      </c>
      <c r="I719" s="1">
        <v>45994</v>
      </c>
      <c r="J719">
        <v>63.617251160000002</v>
      </c>
      <c r="K719">
        <v>5.31</v>
      </c>
      <c r="L719">
        <v>1</v>
      </c>
      <c r="M719">
        <v>6.5181100000000001</v>
      </c>
      <c r="N719">
        <f>L719*F719</f>
        <v>4.3765799999999997</v>
      </c>
      <c r="O719">
        <f>L719*J719</f>
        <v>63.617251160000002</v>
      </c>
      <c r="P719">
        <f>M719-N719-H719</f>
        <v>4.4230000000000214E-2</v>
      </c>
      <c r="Q719">
        <f>P719/O719</f>
        <v>6.9525166827406524E-4</v>
      </c>
      <c r="R719">
        <f>I719-G719</f>
        <v>27</v>
      </c>
      <c r="S719">
        <f>Q719/R719</f>
        <v>2.5750061787928343E-5</v>
      </c>
      <c r="T719">
        <f>S719*10000</f>
        <v>0.25750061787928341</v>
      </c>
    </row>
    <row r="720" spans="1:20" x14ac:dyDescent="0.3">
      <c r="A720" t="s">
        <v>57</v>
      </c>
      <c r="B720" t="s">
        <v>37</v>
      </c>
      <c r="C720">
        <v>2</v>
      </c>
      <c r="D720">
        <v>2</v>
      </c>
      <c r="E720" t="s">
        <v>47</v>
      </c>
      <c r="F720">
        <v>4.9706999999999999</v>
      </c>
      <c r="G720" s="1">
        <v>45967</v>
      </c>
      <c r="H720">
        <v>2.1327199999999999</v>
      </c>
      <c r="I720" s="1">
        <v>45994</v>
      </c>
      <c r="J720">
        <v>63.617251160000002</v>
      </c>
      <c r="K720">
        <v>5.31</v>
      </c>
      <c r="L720">
        <v>1</v>
      </c>
      <c r="M720">
        <v>7.17014</v>
      </c>
      <c r="N720">
        <f>L720*F720</f>
        <v>4.9706999999999999</v>
      </c>
      <c r="O720">
        <f>L720*J720</f>
        <v>63.617251160000002</v>
      </c>
      <c r="P720">
        <f>M720-N720-H720</f>
        <v>6.6720000000000113E-2</v>
      </c>
      <c r="Q720">
        <f>P720/O720</f>
        <v>1.0487721299399838E-3</v>
      </c>
      <c r="R720">
        <f>I720-G720</f>
        <v>27</v>
      </c>
      <c r="S720">
        <f>Q720/R720</f>
        <v>3.8843412219999401E-5</v>
      </c>
      <c r="T720">
        <f>S720*10000</f>
        <v>0.38843412219999401</v>
      </c>
    </row>
    <row r="721" spans="1:20" x14ac:dyDescent="0.3">
      <c r="A721" t="s">
        <v>57</v>
      </c>
      <c r="B721" t="s">
        <v>37</v>
      </c>
      <c r="C721">
        <v>2</v>
      </c>
      <c r="D721">
        <v>2</v>
      </c>
      <c r="E721" t="s">
        <v>23</v>
      </c>
      <c r="F721">
        <v>4.3510200000000001</v>
      </c>
      <c r="G721" s="1">
        <v>45967</v>
      </c>
      <c r="H721">
        <v>2.1005600000000002</v>
      </c>
      <c r="I721" s="1">
        <v>45994</v>
      </c>
      <c r="J721">
        <v>63.617251160000002</v>
      </c>
      <c r="K721">
        <v>5.31</v>
      </c>
      <c r="L721">
        <v>1</v>
      </c>
      <c r="M721">
        <v>6.5559599999999998</v>
      </c>
      <c r="N721">
        <f>L721*F721</f>
        <v>4.3510200000000001</v>
      </c>
      <c r="O721">
        <f>L721*J721</f>
        <v>63.617251160000002</v>
      </c>
      <c r="P721">
        <f>M721-N721-H721</f>
        <v>0.10437999999999947</v>
      </c>
      <c r="Q721">
        <f>P721/O721</f>
        <v>1.6407499239078954E-3</v>
      </c>
      <c r="R721">
        <f>I721-G721</f>
        <v>27</v>
      </c>
      <c r="S721">
        <f>Q721/R721</f>
        <v>6.0768515700292425E-5</v>
      </c>
      <c r="T721">
        <f>S721*10000</f>
        <v>0.60768515700292425</v>
      </c>
    </row>
    <row r="722" spans="1:20" x14ac:dyDescent="0.3">
      <c r="A722" t="s">
        <v>57</v>
      </c>
      <c r="B722" t="s">
        <v>37</v>
      </c>
      <c r="C722">
        <v>2</v>
      </c>
      <c r="D722">
        <v>2</v>
      </c>
      <c r="E722" t="s">
        <v>24</v>
      </c>
      <c r="F722">
        <v>4.3997900000000003</v>
      </c>
      <c r="G722" s="1">
        <v>45967</v>
      </c>
      <c r="H722">
        <v>2.0782500000000002</v>
      </c>
      <c r="I722" s="1">
        <v>45994</v>
      </c>
      <c r="J722">
        <v>63.617251160000002</v>
      </c>
      <c r="K722">
        <v>5.31</v>
      </c>
      <c r="L722">
        <v>1</v>
      </c>
      <c r="M722">
        <v>6.5674799999999998</v>
      </c>
      <c r="N722">
        <f>L722*F722</f>
        <v>4.3997900000000003</v>
      </c>
      <c r="O722">
        <f>L722*J722</f>
        <v>63.617251160000002</v>
      </c>
      <c r="P722">
        <f>M722-N722-H722</f>
        <v>8.9439999999999298E-2</v>
      </c>
      <c r="Q722">
        <f>P722/O722</f>
        <v>1.4059079631569434E-3</v>
      </c>
      <c r="R722">
        <f>I722-G722</f>
        <v>27</v>
      </c>
      <c r="S722">
        <f>Q722/R722</f>
        <v>5.2070665302109012E-5</v>
      </c>
      <c r="T722">
        <f>S722*10000</f>
        <v>0.52070665302109009</v>
      </c>
    </row>
    <row r="723" spans="1:20" x14ac:dyDescent="0.3">
      <c r="A723" t="s">
        <v>57</v>
      </c>
      <c r="B723" t="s">
        <v>37</v>
      </c>
      <c r="C723">
        <v>2</v>
      </c>
      <c r="D723">
        <v>6</v>
      </c>
      <c r="E723" t="s">
        <v>47</v>
      </c>
      <c r="F723">
        <v>0.44651000000000002</v>
      </c>
      <c r="G723" s="1">
        <v>45967</v>
      </c>
      <c r="H723">
        <v>2.1054400000000002</v>
      </c>
      <c r="I723" s="1">
        <v>45994</v>
      </c>
      <c r="J723">
        <v>63.617251160000002</v>
      </c>
      <c r="K723">
        <v>5.31</v>
      </c>
      <c r="L723">
        <v>1</v>
      </c>
      <c r="M723">
        <v>2.8288899999999999</v>
      </c>
      <c r="N723">
        <f>L723*F723</f>
        <v>0.44651000000000002</v>
      </c>
      <c r="O723">
        <f>L723*J723</f>
        <v>63.617251160000002</v>
      </c>
      <c r="P723">
        <f>M723-N723-H723</f>
        <v>0.27693999999999974</v>
      </c>
      <c r="Q723">
        <f>P723/O723</f>
        <v>4.3532217276015944E-3</v>
      </c>
      <c r="R723">
        <f>I723-G723</f>
        <v>27</v>
      </c>
      <c r="S723">
        <f>Q723/R723</f>
        <v>1.612304343556146E-4</v>
      </c>
      <c r="T723">
        <f>S723*10000</f>
        <v>1.6123043435561459</v>
      </c>
    </row>
    <row r="724" spans="1:20" x14ac:dyDescent="0.3">
      <c r="A724" t="s">
        <v>57</v>
      </c>
      <c r="B724" t="s">
        <v>37</v>
      </c>
      <c r="C724">
        <v>2</v>
      </c>
      <c r="D724">
        <v>6</v>
      </c>
      <c r="E724" t="s">
        <v>23</v>
      </c>
      <c r="F724">
        <v>0.45135999999999998</v>
      </c>
      <c r="G724" s="1">
        <v>45967</v>
      </c>
      <c r="H724">
        <v>2.0993400000000002</v>
      </c>
      <c r="I724" s="1">
        <v>45994</v>
      </c>
      <c r="J724">
        <v>63.617251160000002</v>
      </c>
      <c r="K724">
        <v>5.31</v>
      </c>
      <c r="L724">
        <v>1</v>
      </c>
      <c r="M724">
        <v>2.8002099999999999</v>
      </c>
      <c r="N724">
        <f>L724*F724</f>
        <v>0.45135999999999998</v>
      </c>
      <c r="O724">
        <f>L724*J724</f>
        <v>63.617251160000002</v>
      </c>
      <c r="P724">
        <f>M724-N724-H724</f>
        <v>0.24950999999999945</v>
      </c>
      <c r="Q724">
        <f>P724/O724</f>
        <v>3.922049372621768E-3</v>
      </c>
      <c r="R724">
        <f>I724-G724</f>
        <v>27</v>
      </c>
      <c r="S724">
        <f>Q724/R724</f>
        <v>1.452610878748803E-4</v>
      </c>
      <c r="T724">
        <f>S724*10000</f>
        <v>1.452610878748803</v>
      </c>
    </row>
    <row r="725" spans="1:20" x14ac:dyDescent="0.3">
      <c r="A725" t="s">
        <v>57</v>
      </c>
      <c r="B725" t="s">
        <v>37</v>
      </c>
      <c r="C725">
        <v>2</v>
      </c>
      <c r="D725">
        <v>6</v>
      </c>
      <c r="E725" t="s">
        <v>24</v>
      </c>
      <c r="F725">
        <v>0.45668999999999998</v>
      </c>
      <c r="G725" s="1">
        <v>45967</v>
      </c>
      <c r="H725">
        <v>2.0951900000000001</v>
      </c>
      <c r="I725" s="1">
        <v>45994</v>
      </c>
      <c r="J725">
        <v>63.617251160000002</v>
      </c>
      <c r="K725">
        <v>5.31</v>
      </c>
      <c r="L725">
        <v>1</v>
      </c>
      <c r="M725">
        <v>2.76877</v>
      </c>
      <c r="N725">
        <f>L725*F725</f>
        <v>0.45668999999999998</v>
      </c>
      <c r="O725">
        <f>L725*J725</f>
        <v>63.617251160000002</v>
      </c>
      <c r="P725">
        <f>M725-N725-H725</f>
        <v>0.21688999999999981</v>
      </c>
      <c r="Q725">
        <f>P725/O725</f>
        <v>3.4092953726421239E-3</v>
      </c>
      <c r="R725">
        <f>I725-G725</f>
        <v>27</v>
      </c>
      <c r="S725">
        <f>Q725/R725</f>
        <v>1.2627019898674532E-4</v>
      </c>
      <c r="T725">
        <f>S725*10000</f>
        <v>1.2627019898674532</v>
      </c>
    </row>
    <row r="726" spans="1:20" x14ac:dyDescent="0.3">
      <c r="A726" t="s">
        <v>57</v>
      </c>
      <c r="B726" t="s">
        <v>37</v>
      </c>
      <c r="C726">
        <v>2</v>
      </c>
      <c r="D726">
        <v>12</v>
      </c>
      <c r="E726" t="s">
        <v>47</v>
      </c>
      <c r="F726">
        <v>0.45247999999999999</v>
      </c>
      <c r="G726" s="1">
        <v>45967</v>
      </c>
      <c r="H726">
        <v>2.1148199999999999</v>
      </c>
      <c r="I726" s="1">
        <v>45994</v>
      </c>
      <c r="J726">
        <v>63.617251160000002</v>
      </c>
      <c r="K726">
        <v>5.31</v>
      </c>
      <c r="L726">
        <v>1</v>
      </c>
      <c r="M726">
        <v>2.7779199999999999</v>
      </c>
      <c r="N726">
        <f>L726*F726</f>
        <v>0.45247999999999999</v>
      </c>
      <c r="O726">
        <f>L726*J726</f>
        <v>63.617251160000002</v>
      </c>
      <c r="P726">
        <f>M726-N726-H726</f>
        <v>0.21062000000000003</v>
      </c>
      <c r="Q726">
        <f>P726/O726</f>
        <v>3.3107372003590985E-3</v>
      </c>
      <c r="R726">
        <f>I726-G726</f>
        <v>27</v>
      </c>
      <c r="S726">
        <f>Q726/R726</f>
        <v>1.2261989630959623E-4</v>
      </c>
      <c r="T726">
        <f>S726*10000</f>
        <v>1.2261989630959622</v>
      </c>
    </row>
    <row r="727" spans="1:20" x14ac:dyDescent="0.3">
      <c r="A727" t="s">
        <v>57</v>
      </c>
      <c r="B727" t="s">
        <v>37</v>
      </c>
      <c r="C727">
        <v>2</v>
      </c>
      <c r="D727">
        <v>12</v>
      </c>
      <c r="E727" t="s">
        <v>23</v>
      </c>
      <c r="F727">
        <v>0.45421</v>
      </c>
      <c r="G727" s="1">
        <v>45967</v>
      </c>
      <c r="H727">
        <v>2.0443899999999999</v>
      </c>
      <c r="I727" s="1">
        <v>45994</v>
      </c>
      <c r="J727">
        <v>63.617251160000002</v>
      </c>
      <c r="K727">
        <v>5.31</v>
      </c>
      <c r="L727">
        <v>1</v>
      </c>
      <c r="M727">
        <v>2.69923</v>
      </c>
      <c r="N727">
        <f>L727*F727</f>
        <v>0.45421</v>
      </c>
      <c r="O727">
        <f>L727*J727</f>
        <v>63.617251160000002</v>
      </c>
      <c r="P727">
        <f>M727-N727-H727</f>
        <v>0.20063000000000031</v>
      </c>
      <c r="Q727">
        <f>P727/O727</f>
        <v>3.1537043229894926E-3</v>
      </c>
      <c r="R727">
        <f>I727-G727</f>
        <v>27</v>
      </c>
      <c r="S727">
        <f>Q727/R727</f>
        <v>1.1680386381442566E-4</v>
      </c>
      <c r="T727">
        <f>S727*10000</f>
        <v>1.1680386381442565</v>
      </c>
    </row>
    <row r="728" spans="1:20" x14ac:dyDescent="0.3">
      <c r="A728" t="s">
        <v>57</v>
      </c>
      <c r="B728" t="s">
        <v>37</v>
      </c>
      <c r="C728">
        <v>2</v>
      </c>
      <c r="D728">
        <v>12</v>
      </c>
      <c r="E728" t="s">
        <v>24</v>
      </c>
      <c r="F728">
        <v>0.45218999999999998</v>
      </c>
      <c r="G728" s="1">
        <v>45967</v>
      </c>
      <c r="H728">
        <v>2.0829599999999999</v>
      </c>
      <c r="I728" s="1">
        <v>45994</v>
      </c>
      <c r="J728">
        <v>63.617251160000002</v>
      </c>
      <c r="K728">
        <v>5.31</v>
      </c>
      <c r="L728">
        <v>1</v>
      </c>
      <c r="M728">
        <v>2.6775799999999998</v>
      </c>
      <c r="N728">
        <f>L728*F728</f>
        <v>0.45218999999999998</v>
      </c>
      <c r="O728">
        <f>L728*J728</f>
        <v>63.617251160000002</v>
      </c>
      <c r="P728">
        <f>M728-N728-H728</f>
        <v>0.14243000000000006</v>
      </c>
      <c r="Q728">
        <f>P728/O728</f>
        <v>2.2388581305058711E-3</v>
      </c>
      <c r="R728">
        <f>I728-G728</f>
        <v>27</v>
      </c>
      <c r="S728">
        <f>Q728/R728</f>
        <v>8.2920671500217449E-5</v>
      </c>
      <c r="T728">
        <f>S728*10000</f>
        <v>0.82920671500217447</v>
      </c>
    </row>
    <row r="729" spans="1:20" x14ac:dyDescent="0.3">
      <c r="A729" t="s">
        <v>57</v>
      </c>
      <c r="B729" t="s">
        <v>37</v>
      </c>
      <c r="C729">
        <v>2</v>
      </c>
      <c r="D729">
        <v>18</v>
      </c>
      <c r="E729" t="s">
        <v>47</v>
      </c>
      <c r="F729">
        <v>0.45211000000000001</v>
      </c>
      <c r="G729" s="1">
        <v>45964</v>
      </c>
      <c r="H729">
        <v>2.1555770000000001</v>
      </c>
      <c r="I729" s="1">
        <v>45993</v>
      </c>
      <c r="J729">
        <v>63.617251160000002</v>
      </c>
      <c r="K729">
        <v>5.31</v>
      </c>
      <c r="L729">
        <v>1</v>
      </c>
      <c r="M729">
        <v>3.0428299999999999</v>
      </c>
      <c r="N729">
        <f>L729*F729</f>
        <v>0.45211000000000001</v>
      </c>
      <c r="O729">
        <f>L729*J729</f>
        <v>63.617251160000002</v>
      </c>
      <c r="P729">
        <f>M729-N729-H729</f>
        <v>0.43514300000000006</v>
      </c>
      <c r="Q729">
        <f>P729/O729</f>
        <v>6.8400157514759245E-3</v>
      </c>
      <c r="R729">
        <f>I729-G729</f>
        <v>29</v>
      </c>
      <c r="S729">
        <f>Q729/R729</f>
        <v>2.3586261211985948E-4</v>
      </c>
      <c r="T729">
        <f>S729*10000</f>
        <v>2.3586261211985948</v>
      </c>
    </row>
    <row r="730" spans="1:20" x14ac:dyDescent="0.3">
      <c r="A730" t="s">
        <v>57</v>
      </c>
      <c r="B730" t="s">
        <v>37</v>
      </c>
      <c r="C730">
        <v>2</v>
      </c>
      <c r="D730">
        <v>18</v>
      </c>
      <c r="E730" t="s">
        <v>23</v>
      </c>
      <c r="F730">
        <v>0.46</v>
      </c>
      <c r="G730" s="1">
        <v>45964</v>
      </c>
      <c r="H730">
        <v>2.08988</v>
      </c>
      <c r="I730" s="1">
        <v>45993</v>
      </c>
      <c r="J730">
        <v>63.617251160000002</v>
      </c>
      <c r="K730">
        <v>5.31</v>
      </c>
      <c r="L730">
        <v>1</v>
      </c>
      <c r="M730">
        <v>3.0146700000000002</v>
      </c>
      <c r="N730">
        <f>L730*F730</f>
        <v>0.46</v>
      </c>
      <c r="O730">
        <f>L730*J730</f>
        <v>63.617251160000002</v>
      </c>
      <c r="P730">
        <f>M730-N730-H730</f>
        <v>0.46479000000000026</v>
      </c>
      <c r="Q730">
        <f>P730/O730</f>
        <v>7.3060371444065427E-3</v>
      </c>
      <c r="R730">
        <f>I730-G730</f>
        <v>29</v>
      </c>
      <c r="S730">
        <f>Q730/R730</f>
        <v>2.5193231532436353E-4</v>
      </c>
      <c r="T730">
        <f>S730*10000</f>
        <v>2.5193231532436351</v>
      </c>
    </row>
    <row r="731" spans="1:20" x14ac:dyDescent="0.3">
      <c r="A731" t="s">
        <v>57</v>
      </c>
      <c r="B731" t="s">
        <v>37</v>
      </c>
      <c r="C731">
        <v>2</v>
      </c>
      <c r="D731">
        <v>18</v>
      </c>
      <c r="E731" t="s">
        <v>24</v>
      </c>
      <c r="F731">
        <v>0.45186999999999999</v>
      </c>
      <c r="G731" s="1">
        <v>45964</v>
      </c>
      <c r="H731">
        <v>2.1133799999999998</v>
      </c>
      <c r="I731" s="1">
        <v>45993</v>
      </c>
      <c r="J731">
        <v>63.617251160000002</v>
      </c>
      <c r="K731">
        <v>5.31</v>
      </c>
      <c r="L731">
        <v>1</v>
      </c>
      <c r="M731">
        <v>2.96217</v>
      </c>
      <c r="N731">
        <f>L731*F731</f>
        <v>0.45186999999999999</v>
      </c>
      <c r="O731">
        <f>L731*J731</f>
        <v>63.617251160000002</v>
      </c>
      <c r="P731">
        <f>M731-N731-H731</f>
        <v>0.39692000000000016</v>
      </c>
      <c r="Q731">
        <f>P731/O731</f>
        <v>6.239188156711299E-3</v>
      </c>
      <c r="R731">
        <f>I731-G731</f>
        <v>29</v>
      </c>
      <c r="S731">
        <f>Q731/R731</f>
        <v>2.1514441919694133E-4</v>
      </c>
      <c r="T731">
        <f>S731*10000</f>
        <v>2.1514441919694134</v>
      </c>
    </row>
    <row r="732" spans="1:20" x14ac:dyDescent="0.3">
      <c r="A732" t="s">
        <v>57</v>
      </c>
      <c r="B732" t="s">
        <v>37</v>
      </c>
      <c r="C732">
        <v>2</v>
      </c>
      <c r="D732">
        <v>24</v>
      </c>
      <c r="E732" t="s">
        <v>22</v>
      </c>
      <c r="F732">
        <v>0.44690999999999997</v>
      </c>
      <c r="G732" s="1">
        <v>45967</v>
      </c>
      <c r="H732">
        <v>2.0885699999999998</v>
      </c>
      <c r="I732" s="1">
        <v>45994</v>
      </c>
      <c r="J732">
        <v>63.617251160000002</v>
      </c>
      <c r="K732">
        <v>5.31</v>
      </c>
      <c r="L732">
        <v>1</v>
      </c>
      <c r="M732">
        <v>3.3172000000000001</v>
      </c>
      <c r="N732">
        <f>L732*F732</f>
        <v>0.44690999999999997</v>
      </c>
      <c r="O732">
        <f>L732*J732</f>
        <v>63.617251160000002</v>
      </c>
      <c r="P732">
        <f>M732-N732-H732</f>
        <v>0.78172000000000041</v>
      </c>
      <c r="Q732">
        <f>P732/O732</f>
        <v>1.2287861951688898E-2</v>
      </c>
      <c r="R732">
        <f>I732-G732</f>
        <v>27</v>
      </c>
      <c r="S732">
        <f>Q732/R732</f>
        <v>4.5510599821069994E-4</v>
      </c>
      <c r="T732">
        <f>S732*10000</f>
        <v>4.5510599821069997</v>
      </c>
    </row>
    <row r="733" spans="1:20" x14ac:dyDescent="0.3">
      <c r="A733" t="s">
        <v>57</v>
      </c>
      <c r="B733" t="s">
        <v>37</v>
      </c>
      <c r="C733">
        <v>2</v>
      </c>
      <c r="D733">
        <v>24</v>
      </c>
      <c r="E733" t="s">
        <v>23</v>
      </c>
      <c r="F733">
        <v>0.45079000000000002</v>
      </c>
      <c r="G733" s="1">
        <v>45967</v>
      </c>
      <c r="H733">
        <v>2.1122299999999998</v>
      </c>
      <c r="I733" s="1">
        <v>45994</v>
      </c>
      <c r="J733">
        <v>63.617251160000002</v>
      </c>
      <c r="K733">
        <v>5.31</v>
      </c>
      <c r="L733">
        <v>1</v>
      </c>
      <c r="M733">
        <v>3.2324000000000002</v>
      </c>
      <c r="N733">
        <f>L733*F733</f>
        <v>0.45079000000000002</v>
      </c>
      <c r="O733">
        <f>L733*J733</f>
        <v>63.617251160000002</v>
      </c>
      <c r="P733">
        <f>M733-N733-H733</f>
        <v>0.66938000000000031</v>
      </c>
      <c r="Q733">
        <f>P733/O733</f>
        <v>1.0521988734101102E-2</v>
      </c>
      <c r="R733">
        <f>I733-G733</f>
        <v>27</v>
      </c>
      <c r="S733">
        <f>Q733/R733</f>
        <v>3.8970328644818899E-4</v>
      </c>
      <c r="T733">
        <f>S733*10000</f>
        <v>3.8970328644818899</v>
      </c>
    </row>
    <row r="734" spans="1:20" x14ac:dyDescent="0.3">
      <c r="A734" t="s">
        <v>57</v>
      </c>
      <c r="B734" t="s">
        <v>37</v>
      </c>
      <c r="C734">
        <v>2</v>
      </c>
      <c r="D734">
        <v>24</v>
      </c>
      <c r="E734" t="s">
        <v>24</v>
      </c>
      <c r="F734">
        <v>0.45534999999999998</v>
      </c>
      <c r="G734" s="1">
        <v>45967</v>
      </c>
      <c r="H734">
        <v>2.1318100000000002</v>
      </c>
      <c r="I734" s="1">
        <v>45994</v>
      </c>
      <c r="J734">
        <v>63.617251160000002</v>
      </c>
      <c r="K734">
        <v>5.31</v>
      </c>
      <c r="L734">
        <v>1</v>
      </c>
      <c r="M734">
        <v>3.5292599999999998</v>
      </c>
      <c r="N734">
        <f>L734*F734</f>
        <v>0.45534999999999998</v>
      </c>
      <c r="O734">
        <f>L734*J734</f>
        <v>63.617251160000002</v>
      </c>
      <c r="P734">
        <f>M734-N734-H734</f>
        <v>0.94209999999999949</v>
      </c>
      <c r="Q734">
        <f>P734/O734</f>
        <v>1.4808876253244254E-2</v>
      </c>
      <c r="R734">
        <f>I734-G734</f>
        <v>27</v>
      </c>
      <c r="S734">
        <f>Q734/R734</f>
        <v>5.4847689826830566E-4</v>
      </c>
      <c r="T734">
        <f>S734*10000</f>
        <v>5.4847689826830566</v>
      </c>
    </row>
    <row r="735" spans="1:20" x14ac:dyDescent="0.3">
      <c r="A735" t="s">
        <v>57</v>
      </c>
      <c r="B735" t="s">
        <v>37</v>
      </c>
      <c r="C735">
        <v>2</v>
      </c>
      <c r="D735">
        <v>48</v>
      </c>
      <c r="E735" t="s">
        <v>47</v>
      </c>
      <c r="F735">
        <v>0.45809</v>
      </c>
      <c r="G735" s="1">
        <v>45967</v>
      </c>
      <c r="H735">
        <v>2.1170200000000001</v>
      </c>
      <c r="I735" s="1">
        <v>45994</v>
      </c>
      <c r="J735">
        <v>63.617251160000002</v>
      </c>
      <c r="K735">
        <v>5.31</v>
      </c>
      <c r="L735">
        <v>1</v>
      </c>
      <c r="M735">
        <v>2.9914299999999998</v>
      </c>
      <c r="N735">
        <f>L735*F735</f>
        <v>0.45809</v>
      </c>
      <c r="O735">
        <f>L735*J735</f>
        <v>63.617251160000002</v>
      </c>
      <c r="P735">
        <f>M735-N735-H735</f>
        <v>0.4163199999999998</v>
      </c>
      <c r="Q735">
        <f>P735/O735</f>
        <v>6.5441368875391662E-3</v>
      </c>
      <c r="R735">
        <f>I735-G735</f>
        <v>27</v>
      </c>
      <c r="S735">
        <f>Q735/R735</f>
        <v>2.4237544027922838E-4</v>
      </c>
      <c r="T735">
        <f>S735*10000</f>
        <v>2.4237544027922837</v>
      </c>
    </row>
    <row r="736" spans="1:20" x14ac:dyDescent="0.3">
      <c r="A736" t="s">
        <v>57</v>
      </c>
      <c r="B736" t="s">
        <v>37</v>
      </c>
      <c r="C736">
        <v>2</v>
      </c>
      <c r="D736">
        <v>48</v>
      </c>
      <c r="E736" t="s">
        <v>23</v>
      </c>
      <c r="F736">
        <v>0.45165</v>
      </c>
      <c r="G736" s="1">
        <v>45967</v>
      </c>
      <c r="H736">
        <v>2.1343100000000002</v>
      </c>
      <c r="I736" s="1">
        <v>45994</v>
      </c>
      <c r="J736">
        <v>63.617251160000002</v>
      </c>
      <c r="K736">
        <v>5.31</v>
      </c>
      <c r="L736">
        <v>1</v>
      </c>
      <c r="M736">
        <v>3.05681</v>
      </c>
      <c r="N736">
        <f>L736*F736</f>
        <v>0.45165</v>
      </c>
      <c r="O736">
        <f>L736*J736</f>
        <v>63.617251160000002</v>
      </c>
      <c r="P736">
        <f>M736-N736-H736</f>
        <v>0.47084999999999999</v>
      </c>
      <c r="Q736">
        <f>P736/O736</f>
        <v>7.4012943252733899E-3</v>
      </c>
      <c r="R736">
        <f>I736-G736</f>
        <v>27</v>
      </c>
      <c r="S736">
        <f>Q736/R736</f>
        <v>2.741220120471626E-4</v>
      </c>
      <c r="T736">
        <f>S736*10000</f>
        <v>2.7412201204716258</v>
      </c>
    </row>
    <row r="737" spans="1:20" x14ac:dyDescent="0.3">
      <c r="A737" t="s">
        <v>57</v>
      </c>
      <c r="B737" t="s">
        <v>37</v>
      </c>
      <c r="C737">
        <v>2</v>
      </c>
      <c r="D737">
        <v>48</v>
      </c>
      <c r="E737" t="s">
        <v>24</v>
      </c>
      <c r="F737">
        <v>0.45227000000000001</v>
      </c>
      <c r="G737" s="1">
        <v>45967</v>
      </c>
      <c r="H737">
        <v>2.1226600000000002</v>
      </c>
      <c r="I737" s="1">
        <v>45994</v>
      </c>
      <c r="J737">
        <v>63.617251160000002</v>
      </c>
      <c r="K737">
        <v>5.31</v>
      </c>
      <c r="L737">
        <v>1</v>
      </c>
      <c r="M737">
        <v>3.0171600000000001</v>
      </c>
      <c r="N737">
        <f>L737*F737</f>
        <v>0.45227000000000001</v>
      </c>
      <c r="O737">
        <f>L737*J737</f>
        <v>63.617251160000002</v>
      </c>
      <c r="P737">
        <f>M737-N737-H737</f>
        <v>0.4422299999999999</v>
      </c>
      <c r="Q737">
        <f>P737/O737</f>
        <v>6.9514163522685583E-3</v>
      </c>
      <c r="R737">
        <f>I737-G737</f>
        <v>27</v>
      </c>
      <c r="S737">
        <f>Q737/R737</f>
        <v>2.5745986489883547E-4</v>
      </c>
      <c r="T737">
        <f>S737*10000</f>
        <v>2.5745986489883546</v>
      </c>
    </row>
    <row r="738" spans="1:20" x14ac:dyDescent="0.3">
      <c r="A738" t="s">
        <v>57</v>
      </c>
      <c r="B738" t="s">
        <v>37</v>
      </c>
      <c r="E738" t="s">
        <v>48</v>
      </c>
      <c r="F738" t="s">
        <v>27</v>
      </c>
      <c r="G738" t="s">
        <v>27</v>
      </c>
      <c r="H738">
        <v>2.0418500000000002</v>
      </c>
      <c r="I738" t="s">
        <v>27</v>
      </c>
      <c r="J738">
        <v>63.617251160000002</v>
      </c>
      <c r="K738">
        <v>5.31</v>
      </c>
      <c r="L738" t="s">
        <v>27</v>
      </c>
      <c r="M738" t="s">
        <v>27</v>
      </c>
      <c r="N738" t="e">
        <f>L738*F738</f>
        <v>#VALUE!</v>
      </c>
      <c r="O738" t="e">
        <f>L738*J738</f>
        <v>#VALUE!</v>
      </c>
      <c r="P738" t="e">
        <f>M738-N738-H738</f>
        <v>#VALUE!</v>
      </c>
      <c r="Q738" t="e">
        <f>P738/O738</f>
        <v>#VALUE!</v>
      </c>
      <c r="R738" t="e">
        <f>I738-G738</f>
        <v>#VALUE!</v>
      </c>
      <c r="S738" t="e">
        <f>Q738/R738</f>
        <v>#VALUE!</v>
      </c>
      <c r="T738" t="e">
        <f>S738*10000</f>
        <v>#VALUE!</v>
      </c>
    </row>
    <row r="739" spans="1:20" x14ac:dyDescent="0.3">
      <c r="A739" t="s">
        <v>57</v>
      </c>
      <c r="B739" t="s">
        <v>37</v>
      </c>
      <c r="E739" t="s">
        <v>49</v>
      </c>
      <c r="F739" t="s">
        <v>27</v>
      </c>
      <c r="G739" t="s">
        <v>27</v>
      </c>
      <c r="H739">
        <v>2.0658699999999999</v>
      </c>
      <c r="I739" t="s">
        <v>27</v>
      </c>
      <c r="J739">
        <v>63.617251160000002</v>
      </c>
      <c r="K739">
        <v>5.31</v>
      </c>
      <c r="L739" t="s">
        <v>27</v>
      </c>
      <c r="M739" t="s">
        <v>27</v>
      </c>
      <c r="N739" t="e">
        <f>L739*F739</f>
        <v>#VALUE!</v>
      </c>
      <c r="O739" t="e">
        <f>L739*J739</f>
        <v>#VALUE!</v>
      </c>
      <c r="P739" t="e">
        <f>M739-N739-H739</f>
        <v>#VALUE!</v>
      </c>
      <c r="Q739" t="e">
        <f>P739/O739</f>
        <v>#VALUE!</v>
      </c>
      <c r="R739" t="e">
        <f>I739-G739</f>
        <v>#VALUE!</v>
      </c>
      <c r="S739" t="e">
        <f>Q739/R739</f>
        <v>#VALUE!</v>
      </c>
      <c r="T739" t="e">
        <f>S739*10000</f>
        <v>#VALUE!</v>
      </c>
    </row>
    <row r="740" spans="1:20" x14ac:dyDescent="0.3">
      <c r="A740" t="s">
        <v>57</v>
      </c>
      <c r="B740" t="s">
        <v>37</v>
      </c>
      <c r="E740" t="s">
        <v>50</v>
      </c>
      <c r="F740" t="s">
        <v>27</v>
      </c>
      <c r="G740" t="s">
        <v>27</v>
      </c>
      <c r="H740">
        <v>2.0540799999999999</v>
      </c>
      <c r="I740" t="s">
        <v>27</v>
      </c>
      <c r="J740">
        <v>63.617251160000002</v>
      </c>
      <c r="K740">
        <v>5.31</v>
      </c>
      <c r="L740" t="s">
        <v>27</v>
      </c>
      <c r="M740" t="s">
        <v>27</v>
      </c>
      <c r="N740" t="e">
        <f>L740*F740</f>
        <v>#VALUE!</v>
      </c>
      <c r="O740" t="e">
        <f>L740*J740</f>
        <v>#VALUE!</v>
      </c>
      <c r="P740" t="e">
        <f>M740-N740-H740</f>
        <v>#VALUE!</v>
      </c>
      <c r="Q740" t="e">
        <f>P740/O740</f>
        <v>#VALUE!</v>
      </c>
      <c r="R740" t="e">
        <f>I740-G740</f>
        <v>#VALUE!</v>
      </c>
      <c r="S740" t="e">
        <f>Q740/R740</f>
        <v>#VALUE!</v>
      </c>
      <c r="T740" t="e">
        <f>S740*10000</f>
        <v>#VALUE!</v>
      </c>
    </row>
    <row r="741" spans="1:20" x14ac:dyDescent="0.3">
      <c r="A741" t="s">
        <v>57</v>
      </c>
      <c r="B741" t="s">
        <v>37</v>
      </c>
      <c r="E741" t="s">
        <v>51</v>
      </c>
      <c r="F741" t="s">
        <v>27</v>
      </c>
      <c r="G741" t="s">
        <v>27</v>
      </c>
      <c r="H741">
        <v>2.1003599999999998</v>
      </c>
      <c r="I741" t="s">
        <v>27</v>
      </c>
      <c r="J741">
        <v>63.617251160000002</v>
      </c>
      <c r="K741">
        <v>5.31</v>
      </c>
      <c r="L741" t="s">
        <v>27</v>
      </c>
      <c r="M741" t="s">
        <v>27</v>
      </c>
      <c r="N741" t="e">
        <f>L741*F741</f>
        <v>#VALUE!</v>
      </c>
      <c r="O741" t="e">
        <f>L741*J741</f>
        <v>#VALUE!</v>
      </c>
      <c r="P741" t="e">
        <f>M741-N741-H741</f>
        <v>#VALUE!</v>
      </c>
      <c r="Q741" t="e">
        <f>P741/O741</f>
        <v>#VALUE!</v>
      </c>
      <c r="R741" t="e">
        <f>I741-G741</f>
        <v>#VALUE!</v>
      </c>
      <c r="S741" t="e">
        <f>Q741/R741</f>
        <v>#VALUE!</v>
      </c>
      <c r="T741" t="e">
        <f>S741*10000</f>
        <v>#VALUE!</v>
      </c>
    </row>
    <row r="742" spans="1:20" x14ac:dyDescent="0.3">
      <c r="A742" t="s">
        <v>57</v>
      </c>
      <c r="B742" t="s">
        <v>36</v>
      </c>
      <c r="C742">
        <v>1</v>
      </c>
      <c r="D742">
        <v>0.5</v>
      </c>
      <c r="E742" t="s">
        <v>47</v>
      </c>
      <c r="F742">
        <v>4.3131399999999998</v>
      </c>
      <c r="G742" s="1">
        <v>45965</v>
      </c>
      <c r="H742">
        <v>2.09992</v>
      </c>
      <c r="I742" s="1">
        <v>46002</v>
      </c>
      <c r="J742">
        <v>63.617251160000002</v>
      </c>
      <c r="K742">
        <v>5.31</v>
      </c>
      <c r="L742">
        <v>1</v>
      </c>
      <c r="M742">
        <v>6.4733499999999999</v>
      </c>
      <c r="N742">
        <f>L742*F742</f>
        <v>4.3131399999999998</v>
      </c>
      <c r="O742">
        <f>L742*J742</f>
        <v>63.617251160000002</v>
      </c>
      <c r="P742">
        <f>M742-N742-H742</f>
        <v>6.0290000000000177E-2</v>
      </c>
      <c r="Q742">
        <f>P742/O742</f>
        <v>9.4769891657796323E-4</v>
      </c>
      <c r="R742">
        <f>I742-G742</f>
        <v>37</v>
      </c>
      <c r="S742">
        <f>Q742/R742</f>
        <v>2.5613484231836845E-5</v>
      </c>
      <c r="T742">
        <f>S742*10000</f>
        <v>0.25613484231836847</v>
      </c>
    </row>
    <row r="743" spans="1:20" x14ac:dyDescent="0.3">
      <c r="A743" t="s">
        <v>57</v>
      </c>
      <c r="B743" t="s">
        <v>36</v>
      </c>
      <c r="C743">
        <v>1</v>
      </c>
      <c r="D743">
        <v>0.5</v>
      </c>
      <c r="E743" t="s">
        <v>23</v>
      </c>
      <c r="F743">
        <v>4.5310699999999997</v>
      </c>
      <c r="G743" s="1">
        <v>45965</v>
      </c>
      <c r="H743">
        <v>2.0790500000000001</v>
      </c>
      <c r="I743" s="1">
        <v>46002</v>
      </c>
      <c r="J743">
        <v>63.617251160000002</v>
      </c>
      <c r="K743">
        <v>5.31</v>
      </c>
      <c r="L743">
        <v>1</v>
      </c>
      <c r="M743">
        <v>6.7672999999999996</v>
      </c>
      <c r="N743">
        <f>L743*F743</f>
        <v>4.5310699999999997</v>
      </c>
      <c r="O743">
        <f>L743*J743</f>
        <v>63.617251160000002</v>
      </c>
      <c r="P743">
        <f>M743-N743-H743</f>
        <v>0.15717999999999988</v>
      </c>
      <c r="Q743">
        <f>P743/O743</f>
        <v>2.4707134799755136E-3</v>
      </c>
      <c r="R743">
        <f>I743-G743</f>
        <v>37</v>
      </c>
      <c r="S743">
        <f>Q743/R743</f>
        <v>6.6776039999338205E-5</v>
      </c>
      <c r="T743">
        <f>S743*10000</f>
        <v>0.6677603999933821</v>
      </c>
    </row>
    <row r="744" spans="1:20" x14ac:dyDescent="0.3">
      <c r="A744" t="s">
        <v>57</v>
      </c>
      <c r="B744" t="s">
        <v>36</v>
      </c>
      <c r="C744">
        <v>1</v>
      </c>
      <c r="D744">
        <v>0.5</v>
      </c>
      <c r="E744" t="s">
        <v>24</v>
      </c>
      <c r="F744">
        <v>4.3582999999999998</v>
      </c>
      <c r="G744" s="1">
        <v>45965</v>
      </c>
      <c r="H744">
        <v>2.1317400000000002</v>
      </c>
      <c r="I744" s="1">
        <v>46002</v>
      </c>
      <c r="J744">
        <v>63.617251160000002</v>
      </c>
      <c r="K744">
        <v>5.31</v>
      </c>
      <c r="L744">
        <v>1</v>
      </c>
      <c r="M744">
        <v>6.9140199999999998</v>
      </c>
      <c r="N744">
        <f>L744*F744</f>
        <v>4.3582999999999998</v>
      </c>
      <c r="O744">
        <f>L744*J744</f>
        <v>63.617251160000002</v>
      </c>
      <c r="P744">
        <f>M744-N744-H744</f>
        <v>0.4239799999999998</v>
      </c>
      <c r="Q744">
        <f>P744/O744</f>
        <v>6.6645444791959448E-3</v>
      </c>
      <c r="R744">
        <f>I744-G744</f>
        <v>37</v>
      </c>
      <c r="S744">
        <f>Q744/R744</f>
        <v>1.8012282376205256E-4</v>
      </c>
      <c r="T744">
        <f>S744*10000</f>
        <v>1.8012282376205255</v>
      </c>
    </row>
    <row r="745" spans="1:20" x14ac:dyDescent="0.3">
      <c r="A745" t="s">
        <v>57</v>
      </c>
      <c r="B745" t="s">
        <v>36</v>
      </c>
      <c r="C745">
        <v>1</v>
      </c>
      <c r="D745">
        <v>2</v>
      </c>
      <c r="E745" t="s">
        <v>47</v>
      </c>
      <c r="F745">
        <v>4.4091800000000001</v>
      </c>
      <c r="G745" s="1">
        <v>45965</v>
      </c>
      <c r="H745">
        <v>2.1292900000000001</v>
      </c>
      <c r="I745" s="1">
        <v>46002</v>
      </c>
      <c r="J745">
        <v>63.617251160000002</v>
      </c>
      <c r="K745">
        <v>5.31</v>
      </c>
      <c r="L745">
        <v>1</v>
      </c>
      <c r="M745">
        <v>6.9335699999999996</v>
      </c>
      <c r="N745">
        <f>L745*F745</f>
        <v>4.4091800000000001</v>
      </c>
      <c r="O745">
        <f>L745*J745</f>
        <v>63.617251160000002</v>
      </c>
      <c r="P745">
        <f>M745-N745-H745</f>
        <v>0.39509999999999934</v>
      </c>
      <c r="Q745">
        <f>P745/O745</f>
        <v>6.210579564437743E-3</v>
      </c>
      <c r="R745">
        <f>I745-G745</f>
        <v>37</v>
      </c>
      <c r="S745">
        <f>Q745/R745</f>
        <v>1.6785350174156063E-4</v>
      </c>
      <c r="T745">
        <f>S745*10000</f>
        <v>1.6785350174156064</v>
      </c>
    </row>
    <row r="746" spans="1:20" x14ac:dyDescent="0.3">
      <c r="A746" t="s">
        <v>57</v>
      </c>
      <c r="B746" t="s">
        <v>36</v>
      </c>
      <c r="C746">
        <v>1</v>
      </c>
      <c r="D746">
        <v>2</v>
      </c>
      <c r="E746" t="s">
        <v>23</v>
      </c>
      <c r="F746">
        <v>4.5034400000000003</v>
      </c>
      <c r="G746" s="1">
        <v>45965</v>
      </c>
      <c r="H746">
        <v>2.0795499999999998</v>
      </c>
      <c r="I746" s="1">
        <v>46002</v>
      </c>
      <c r="J746">
        <v>63.617251160000002</v>
      </c>
      <c r="K746">
        <v>5.31</v>
      </c>
      <c r="L746">
        <v>1</v>
      </c>
      <c r="M746">
        <v>11.35336</v>
      </c>
      <c r="N746">
        <f>L746*F746</f>
        <v>4.5034400000000003</v>
      </c>
      <c r="O746">
        <f>L746*J746</f>
        <v>63.617251160000002</v>
      </c>
      <c r="P746">
        <f>M746-N746-H746</f>
        <v>4.7703699999999998</v>
      </c>
      <c r="Q746">
        <f>P746/O746</f>
        <v>7.4985478199966912E-2</v>
      </c>
      <c r="R746">
        <f>I746-G746</f>
        <v>37</v>
      </c>
      <c r="S746">
        <f>Q746/R746</f>
        <v>2.0266345459450516E-3</v>
      </c>
      <c r="T746">
        <f>S746*10000</f>
        <v>20.266345459450516</v>
      </c>
    </row>
    <row r="747" spans="1:20" x14ac:dyDescent="0.3">
      <c r="A747" t="s">
        <v>57</v>
      </c>
      <c r="B747" t="s">
        <v>36</v>
      </c>
      <c r="C747">
        <v>1</v>
      </c>
      <c r="D747">
        <v>2</v>
      </c>
      <c r="E747" t="s">
        <v>24</v>
      </c>
      <c r="F747">
        <v>4.3292999999999999</v>
      </c>
      <c r="G747" s="1">
        <v>45965</v>
      </c>
      <c r="H747">
        <v>2.0956600000000001</v>
      </c>
      <c r="I747" s="1">
        <v>46002</v>
      </c>
      <c r="J747">
        <v>63.617251160000002</v>
      </c>
      <c r="K747">
        <v>5.31</v>
      </c>
      <c r="L747">
        <v>1</v>
      </c>
      <c r="M747">
        <v>31.956499999999998</v>
      </c>
      <c r="N747">
        <f>L747*F747</f>
        <v>4.3292999999999999</v>
      </c>
      <c r="O747">
        <f>L747*J747</f>
        <v>63.617251160000002</v>
      </c>
      <c r="P747">
        <f>M747-N747-H747</f>
        <v>25.53154</v>
      </c>
      <c r="Q747">
        <f>P747/O747</f>
        <v>0.401330449437168</v>
      </c>
      <c r="R747">
        <f>I747-G747</f>
        <v>37</v>
      </c>
      <c r="S747">
        <f>Q747/R747</f>
        <v>1.0846768903707244E-2</v>
      </c>
      <c r="T747">
        <f>S747*10000</f>
        <v>108.46768903707245</v>
      </c>
    </row>
    <row r="748" spans="1:20" x14ac:dyDescent="0.3">
      <c r="A748" t="s">
        <v>57</v>
      </c>
      <c r="B748" t="s">
        <v>36</v>
      </c>
      <c r="C748">
        <v>1</v>
      </c>
      <c r="D748">
        <v>6</v>
      </c>
      <c r="E748" t="s">
        <v>47</v>
      </c>
      <c r="F748">
        <v>0.44630999999999998</v>
      </c>
      <c r="G748" s="1">
        <v>45965</v>
      </c>
      <c r="H748">
        <v>2.13856</v>
      </c>
      <c r="I748" s="1">
        <v>46002</v>
      </c>
      <c r="J748">
        <v>63.617251160000002</v>
      </c>
      <c r="K748">
        <v>5.31</v>
      </c>
      <c r="L748">
        <v>1</v>
      </c>
      <c r="M748">
        <v>4.9276999999999997</v>
      </c>
      <c r="N748">
        <f>L748*F748</f>
        <v>0.44630999999999998</v>
      </c>
      <c r="O748">
        <f>L748*J748</f>
        <v>63.617251160000002</v>
      </c>
      <c r="P748">
        <f>M748-N748-H748</f>
        <v>2.3428299999999993</v>
      </c>
      <c r="Q748">
        <f>P748/O748</f>
        <v>3.6826960569353834E-2</v>
      </c>
      <c r="R748">
        <f>I748-G748</f>
        <v>37</v>
      </c>
      <c r="S748">
        <f>Q748/R748</f>
        <v>9.9532325863118461E-4</v>
      </c>
      <c r="T748">
        <f>S748*10000</f>
        <v>9.9532325863118469</v>
      </c>
    </row>
    <row r="749" spans="1:20" x14ac:dyDescent="0.3">
      <c r="A749" t="s">
        <v>57</v>
      </c>
      <c r="B749" t="s">
        <v>36</v>
      </c>
      <c r="C749">
        <v>1</v>
      </c>
      <c r="D749">
        <v>6</v>
      </c>
      <c r="E749" t="s">
        <v>23</v>
      </c>
      <c r="F749">
        <v>0.45945000000000003</v>
      </c>
      <c r="G749" s="1">
        <v>45965</v>
      </c>
      <c r="H749">
        <v>2.0969899999999999</v>
      </c>
      <c r="I749" s="1">
        <v>46002</v>
      </c>
      <c r="J749">
        <v>63.617251160000002</v>
      </c>
      <c r="K749">
        <v>5.31</v>
      </c>
      <c r="L749">
        <v>1</v>
      </c>
      <c r="M749">
        <v>4.1501200000000003</v>
      </c>
      <c r="N749">
        <f>L749*F749</f>
        <v>0.45945000000000003</v>
      </c>
      <c r="O749">
        <f>L749*J749</f>
        <v>63.617251160000002</v>
      </c>
      <c r="P749">
        <f>M749-N749-H749</f>
        <v>1.5936800000000004</v>
      </c>
      <c r="Q749">
        <f>P749/O749</f>
        <v>2.5051066667307421E-2</v>
      </c>
      <c r="R749">
        <f>I749-G749</f>
        <v>37</v>
      </c>
      <c r="S749">
        <f>Q749/R749</f>
        <v>6.7705585587317352E-4</v>
      </c>
      <c r="T749">
        <f>S749*10000</f>
        <v>6.770558558731735</v>
      </c>
    </row>
    <row r="750" spans="1:20" x14ac:dyDescent="0.3">
      <c r="A750" t="s">
        <v>57</v>
      </c>
      <c r="B750" t="s">
        <v>36</v>
      </c>
      <c r="C750">
        <v>1</v>
      </c>
      <c r="D750">
        <v>6</v>
      </c>
      <c r="E750" t="s">
        <v>24</v>
      </c>
      <c r="F750">
        <v>0.44718999999999998</v>
      </c>
      <c r="G750" s="1">
        <v>45965</v>
      </c>
      <c r="H750">
        <v>2.0808399999999998</v>
      </c>
      <c r="I750" s="1">
        <v>46002</v>
      </c>
      <c r="J750">
        <v>63.617251160000002</v>
      </c>
      <c r="K750">
        <v>5.31</v>
      </c>
      <c r="L750">
        <v>1</v>
      </c>
      <c r="M750">
        <v>4.4596099999999996</v>
      </c>
      <c r="N750">
        <f>L750*F750</f>
        <v>0.44718999999999998</v>
      </c>
      <c r="O750">
        <f>L750*J750</f>
        <v>63.617251160000002</v>
      </c>
      <c r="P750">
        <f>M750-N750-H750</f>
        <v>1.9315799999999999</v>
      </c>
      <c r="Q750">
        <f>P750/O750</f>
        <v>3.0362519046005253E-2</v>
      </c>
      <c r="R750">
        <f>I750-G750</f>
        <v>37</v>
      </c>
      <c r="S750">
        <f>Q750/R750</f>
        <v>8.2060862286500687E-4</v>
      </c>
      <c r="T750">
        <f>S750*10000</f>
        <v>8.2060862286500686</v>
      </c>
    </row>
    <row r="751" spans="1:20" x14ac:dyDescent="0.3">
      <c r="A751" t="s">
        <v>57</v>
      </c>
      <c r="B751" t="s">
        <v>36</v>
      </c>
      <c r="C751">
        <v>1</v>
      </c>
      <c r="D751">
        <v>12</v>
      </c>
      <c r="E751" t="s">
        <v>47</v>
      </c>
      <c r="F751">
        <v>0.45487</v>
      </c>
      <c r="G751" s="1">
        <v>45965</v>
      </c>
      <c r="H751">
        <v>2.0675400000000002</v>
      </c>
      <c r="I751" s="1">
        <v>46002</v>
      </c>
      <c r="J751">
        <v>63.617251160000002</v>
      </c>
      <c r="K751">
        <v>5.31</v>
      </c>
      <c r="L751">
        <v>1</v>
      </c>
      <c r="M751">
        <v>4.57796</v>
      </c>
      <c r="N751">
        <f>L751*F751</f>
        <v>0.45487</v>
      </c>
      <c r="O751">
        <f>L751*J751</f>
        <v>63.617251160000002</v>
      </c>
      <c r="P751">
        <f>M751-N751-H751</f>
        <v>2.0555500000000002</v>
      </c>
      <c r="Q751">
        <f>P751/O751</f>
        <v>3.2311204312022342E-2</v>
      </c>
      <c r="R751">
        <f>I751-G751</f>
        <v>37</v>
      </c>
      <c r="S751">
        <f>Q751/R751</f>
        <v>8.7327579221681999E-4</v>
      </c>
      <c r="T751">
        <f>S751*10000</f>
        <v>8.7327579221682008</v>
      </c>
    </row>
    <row r="752" spans="1:20" x14ac:dyDescent="0.3">
      <c r="A752" t="s">
        <v>57</v>
      </c>
      <c r="B752" t="s">
        <v>36</v>
      </c>
      <c r="C752">
        <v>1</v>
      </c>
      <c r="D752">
        <v>12</v>
      </c>
      <c r="E752" t="s">
        <v>23</v>
      </c>
      <c r="F752">
        <v>0.46063999999999999</v>
      </c>
      <c r="G752" s="1">
        <v>45965</v>
      </c>
      <c r="H752">
        <v>2.1236299999999999</v>
      </c>
      <c r="I752" s="1">
        <v>46002</v>
      </c>
      <c r="J752">
        <v>63.617251160000002</v>
      </c>
      <c r="K752">
        <v>5.31</v>
      </c>
      <c r="L752">
        <v>1</v>
      </c>
      <c r="M752">
        <v>4.7715800000000002</v>
      </c>
      <c r="N752">
        <f>L752*F752</f>
        <v>0.46063999999999999</v>
      </c>
      <c r="O752">
        <f>L752*J752</f>
        <v>63.617251160000002</v>
      </c>
      <c r="P752">
        <f>M752-N752-H752</f>
        <v>2.1873100000000005</v>
      </c>
      <c r="Q752">
        <f>P752/O752</f>
        <v>3.4382340640572884E-2</v>
      </c>
      <c r="R752">
        <f>I752-G752</f>
        <v>37</v>
      </c>
      <c r="S752">
        <f>Q752/R752</f>
        <v>9.2925244974521306E-4</v>
      </c>
      <c r="T752">
        <f>S752*10000</f>
        <v>9.2925244974521313</v>
      </c>
    </row>
    <row r="753" spans="1:20" x14ac:dyDescent="0.3">
      <c r="A753" t="s">
        <v>57</v>
      </c>
      <c r="B753" t="s">
        <v>36</v>
      </c>
      <c r="C753">
        <v>1</v>
      </c>
      <c r="D753">
        <v>12</v>
      </c>
      <c r="E753" t="s">
        <v>24</v>
      </c>
      <c r="F753">
        <v>0.45297999999999999</v>
      </c>
      <c r="G753" s="1">
        <v>45965</v>
      </c>
      <c r="H753">
        <v>2.1199400000000002</v>
      </c>
      <c r="I753" s="1">
        <v>46002</v>
      </c>
      <c r="J753">
        <v>63.617251160000002</v>
      </c>
      <c r="K753">
        <v>5.31</v>
      </c>
      <c r="L753">
        <v>1</v>
      </c>
      <c r="M753">
        <v>4.2225799999999998</v>
      </c>
      <c r="N753">
        <f>L753*F753</f>
        <v>0.45297999999999999</v>
      </c>
      <c r="O753">
        <f>L753*J753</f>
        <v>63.617251160000002</v>
      </c>
      <c r="P753">
        <f>M753-N753-H753</f>
        <v>1.6496599999999995</v>
      </c>
      <c r="Q753">
        <f>P753/O753</f>
        <v>2.5931016664819999E-2</v>
      </c>
      <c r="R753">
        <f>I753-G753</f>
        <v>37</v>
      </c>
      <c r="S753">
        <f>Q753/R753</f>
        <v>7.0083828823837833E-4</v>
      </c>
      <c r="T753">
        <f>S753*10000</f>
        <v>7.008382882383783</v>
      </c>
    </row>
    <row r="754" spans="1:20" x14ac:dyDescent="0.3">
      <c r="A754" t="s">
        <v>57</v>
      </c>
      <c r="B754" t="s">
        <v>36</v>
      </c>
      <c r="C754">
        <v>1</v>
      </c>
      <c r="D754">
        <v>18</v>
      </c>
      <c r="E754" t="s">
        <v>47</v>
      </c>
      <c r="F754">
        <v>0.45326</v>
      </c>
      <c r="G754" s="1">
        <v>45965</v>
      </c>
      <c r="H754">
        <v>2.0951599999999999</v>
      </c>
      <c r="I754" s="1">
        <v>46002</v>
      </c>
      <c r="J754">
        <v>63.617251160000002</v>
      </c>
      <c r="K754">
        <v>5.31</v>
      </c>
      <c r="L754">
        <v>1</v>
      </c>
      <c r="M754">
        <v>5.5038200000000002</v>
      </c>
      <c r="N754">
        <f>L754*F754</f>
        <v>0.45326</v>
      </c>
      <c r="O754">
        <f>L754*J754</f>
        <v>63.617251160000002</v>
      </c>
      <c r="P754">
        <f>M754-N754-H754</f>
        <v>2.9554</v>
      </c>
      <c r="Q754">
        <f>P754/O754</f>
        <v>4.6455952530345068E-2</v>
      </c>
      <c r="R754">
        <f>I754-G754</f>
        <v>37</v>
      </c>
      <c r="S754">
        <f>Q754/R754</f>
        <v>1.2555662846039208E-3</v>
      </c>
      <c r="T754">
        <f>S754*10000</f>
        <v>12.555662846039208</v>
      </c>
    </row>
    <row r="755" spans="1:20" x14ac:dyDescent="0.3">
      <c r="A755" t="s">
        <v>57</v>
      </c>
      <c r="B755" t="s">
        <v>36</v>
      </c>
      <c r="C755">
        <v>1</v>
      </c>
      <c r="D755">
        <v>18</v>
      </c>
      <c r="E755" t="s">
        <v>23</v>
      </c>
      <c r="F755">
        <v>0.44857000000000002</v>
      </c>
      <c r="G755" s="1">
        <v>45965</v>
      </c>
      <c r="H755">
        <v>2.3073700000000001</v>
      </c>
      <c r="I755" s="1">
        <v>46002</v>
      </c>
      <c r="J755">
        <v>63.617251160000002</v>
      </c>
      <c r="K755">
        <v>5.31</v>
      </c>
      <c r="L755">
        <v>1</v>
      </c>
      <c r="M755">
        <v>5.4001299999999999</v>
      </c>
      <c r="N755">
        <f>L755*F755</f>
        <v>0.44857000000000002</v>
      </c>
      <c r="O755">
        <f>L755*J755</f>
        <v>63.617251160000002</v>
      </c>
      <c r="P755">
        <f>M755-N755-H755</f>
        <v>2.6441899999999996</v>
      </c>
      <c r="Q755">
        <f>P755/O755</f>
        <v>4.1564040441636703E-2</v>
      </c>
      <c r="R755">
        <f>I755-G755</f>
        <v>37</v>
      </c>
      <c r="S755">
        <f>Q755/R755</f>
        <v>1.1233524443685595E-3</v>
      </c>
      <c r="T755">
        <f>S755*10000</f>
        <v>11.233524443685596</v>
      </c>
    </row>
    <row r="756" spans="1:20" x14ac:dyDescent="0.3">
      <c r="A756" t="s">
        <v>57</v>
      </c>
      <c r="B756" t="s">
        <v>36</v>
      </c>
      <c r="C756">
        <v>1</v>
      </c>
      <c r="D756">
        <v>18</v>
      </c>
      <c r="E756" t="s">
        <v>24</v>
      </c>
      <c r="F756">
        <v>0.45793</v>
      </c>
      <c r="G756" s="1">
        <v>45965</v>
      </c>
      <c r="H756">
        <v>2.2903199999999999</v>
      </c>
      <c r="I756" s="1">
        <v>46002</v>
      </c>
      <c r="J756">
        <v>63.617251160000002</v>
      </c>
      <c r="K756">
        <v>5.31</v>
      </c>
      <c r="L756">
        <v>1</v>
      </c>
      <c r="M756">
        <v>6.9870299999999999</v>
      </c>
      <c r="N756">
        <f>L756*F756</f>
        <v>0.45793</v>
      </c>
      <c r="O756">
        <f>L756*J756</f>
        <v>63.617251160000002</v>
      </c>
      <c r="P756">
        <f>M756-N756-H756</f>
        <v>4.2387800000000002</v>
      </c>
      <c r="Q756">
        <f>P756/O756</f>
        <v>6.6629411405080899E-2</v>
      </c>
      <c r="R756">
        <f>I756-G756</f>
        <v>37</v>
      </c>
      <c r="S756">
        <f>Q756/R756</f>
        <v>1.8007949028400242E-3</v>
      </c>
      <c r="T756">
        <f>S756*10000</f>
        <v>18.00794902840024</v>
      </c>
    </row>
    <row r="757" spans="1:20" x14ac:dyDescent="0.3">
      <c r="A757" t="s">
        <v>57</v>
      </c>
      <c r="B757" t="s">
        <v>36</v>
      </c>
      <c r="C757">
        <v>1</v>
      </c>
      <c r="D757">
        <v>24</v>
      </c>
      <c r="E757" t="s">
        <v>22</v>
      </c>
      <c r="F757">
        <v>0.45967000000000002</v>
      </c>
      <c r="G757" s="1">
        <v>45965</v>
      </c>
      <c r="H757">
        <v>2.3744900000000002</v>
      </c>
      <c r="I757" s="1">
        <v>46002</v>
      </c>
      <c r="J757">
        <v>63.617251160000002</v>
      </c>
      <c r="K757">
        <v>5.31</v>
      </c>
      <c r="L757">
        <v>1</v>
      </c>
      <c r="M757" t="s">
        <v>27</v>
      </c>
      <c r="N757">
        <f>L757*F757</f>
        <v>0.45967000000000002</v>
      </c>
      <c r="O757">
        <f>L757*J757</f>
        <v>63.617251160000002</v>
      </c>
      <c r="P757" t="e">
        <f>M757-N757-H757</f>
        <v>#VALUE!</v>
      </c>
      <c r="Q757" t="e">
        <f>P757/O757</f>
        <v>#VALUE!</v>
      </c>
      <c r="R757">
        <f>I757-G757</f>
        <v>37</v>
      </c>
      <c r="S757" t="e">
        <f>Q757/R757</f>
        <v>#VALUE!</v>
      </c>
      <c r="T757" t="e">
        <f>S757*10000</f>
        <v>#VALUE!</v>
      </c>
    </row>
    <row r="758" spans="1:20" x14ac:dyDescent="0.3">
      <c r="A758" t="s">
        <v>57</v>
      </c>
      <c r="B758" t="s">
        <v>36</v>
      </c>
      <c r="C758">
        <v>1</v>
      </c>
      <c r="D758">
        <v>24</v>
      </c>
      <c r="E758" t="s">
        <v>23</v>
      </c>
      <c r="F758">
        <v>0.45397999999999999</v>
      </c>
      <c r="G758" s="1">
        <v>45965</v>
      </c>
      <c r="H758">
        <v>2.3653400000000002</v>
      </c>
      <c r="I758" s="1">
        <v>46002</v>
      </c>
      <c r="J758">
        <v>63.617251160000002</v>
      </c>
      <c r="K758">
        <v>5.31</v>
      </c>
      <c r="L758">
        <v>1</v>
      </c>
      <c r="M758">
        <v>3.4100899999999998</v>
      </c>
      <c r="N758">
        <f>L758*F758</f>
        <v>0.45397999999999999</v>
      </c>
      <c r="O758">
        <f>L758*J758</f>
        <v>63.617251160000002</v>
      </c>
      <c r="P758">
        <f>M758-N758-H758</f>
        <v>0.59076999999999957</v>
      </c>
      <c r="Q758">
        <f>P758/O758</f>
        <v>9.2863176139784589E-3</v>
      </c>
      <c r="R758">
        <f>I758-G758</f>
        <v>37</v>
      </c>
      <c r="S758">
        <f>Q758/R758</f>
        <v>2.5098155713455296E-4</v>
      </c>
      <c r="T758">
        <f>S758*10000</f>
        <v>2.5098155713455297</v>
      </c>
    </row>
    <row r="759" spans="1:20" x14ac:dyDescent="0.3">
      <c r="A759" t="s">
        <v>57</v>
      </c>
      <c r="B759" t="s">
        <v>36</v>
      </c>
      <c r="C759">
        <v>1</v>
      </c>
      <c r="D759">
        <v>24</v>
      </c>
      <c r="E759" t="s">
        <v>24</v>
      </c>
      <c r="F759">
        <v>0.46278999999999998</v>
      </c>
      <c r="G759" s="1">
        <v>45965</v>
      </c>
      <c r="H759">
        <v>2.3741500000000002</v>
      </c>
      <c r="I759" s="1">
        <v>46002</v>
      </c>
      <c r="J759">
        <v>63.617251160000002</v>
      </c>
      <c r="K759">
        <v>5.31</v>
      </c>
      <c r="L759">
        <v>1</v>
      </c>
      <c r="M759">
        <v>3.42699</v>
      </c>
      <c r="N759">
        <f>L759*F759</f>
        <v>0.46278999999999998</v>
      </c>
      <c r="O759">
        <f>L759*J759</f>
        <v>63.617251160000002</v>
      </c>
      <c r="P759">
        <f>M759-N759-H759</f>
        <v>0.59004999999999974</v>
      </c>
      <c r="Q759">
        <f>P759/O759</f>
        <v>9.2749999291229946E-3</v>
      </c>
      <c r="R759">
        <f>I759-G759</f>
        <v>37</v>
      </c>
      <c r="S759">
        <f>Q759/R759</f>
        <v>2.5067567376008094E-4</v>
      </c>
      <c r="T759">
        <f>S759*10000</f>
        <v>2.5067567376008095</v>
      </c>
    </row>
    <row r="760" spans="1:20" x14ac:dyDescent="0.3">
      <c r="A760" t="s">
        <v>57</v>
      </c>
      <c r="B760" t="s">
        <v>36</v>
      </c>
      <c r="C760">
        <v>1</v>
      </c>
      <c r="D760">
        <v>48</v>
      </c>
      <c r="E760" t="s">
        <v>47</v>
      </c>
      <c r="F760">
        <v>0.45417000000000002</v>
      </c>
      <c r="G760" s="1">
        <v>45965</v>
      </c>
      <c r="H760">
        <v>2.32518</v>
      </c>
      <c r="I760" s="1">
        <v>46002</v>
      </c>
      <c r="J760">
        <v>63.617251160000002</v>
      </c>
      <c r="K760">
        <v>5.31</v>
      </c>
      <c r="L760">
        <v>1</v>
      </c>
      <c r="M760">
        <v>3.2911999999999999</v>
      </c>
      <c r="N760">
        <f>L760*F760</f>
        <v>0.45417000000000002</v>
      </c>
      <c r="O760">
        <f>L760*J760</f>
        <v>63.617251160000002</v>
      </c>
      <c r="P760">
        <f>M760-N760-H760</f>
        <v>0.51184999999999992</v>
      </c>
      <c r="Q760">
        <f>P760/O760</f>
        <v>8.0457736017652843E-3</v>
      </c>
      <c r="R760">
        <f>I760-G760</f>
        <v>37</v>
      </c>
      <c r="S760">
        <f>Q760/R760</f>
        <v>2.1745334058825093E-4</v>
      </c>
      <c r="T760">
        <f>S760*10000</f>
        <v>2.1745334058825092</v>
      </c>
    </row>
    <row r="761" spans="1:20" x14ac:dyDescent="0.3">
      <c r="A761" t="s">
        <v>57</v>
      </c>
      <c r="B761" t="s">
        <v>36</v>
      </c>
      <c r="C761">
        <v>1</v>
      </c>
      <c r="D761">
        <v>48</v>
      </c>
      <c r="E761" t="s">
        <v>23</v>
      </c>
      <c r="F761">
        <v>0.44811000000000001</v>
      </c>
      <c r="G761" s="1">
        <v>45965</v>
      </c>
      <c r="H761">
        <v>2.3280599999999998</v>
      </c>
      <c r="I761" s="1">
        <v>46002</v>
      </c>
      <c r="J761">
        <v>63.617251160000002</v>
      </c>
      <c r="K761">
        <v>5.31</v>
      </c>
      <c r="L761">
        <v>1</v>
      </c>
      <c r="M761">
        <v>3.26688</v>
      </c>
      <c r="N761">
        <f>L761*F761</f>
        <v>0.44811000000000001</v>
      </c>
      <c r="O761">
        <f>L761*J761</f>
        <v>63.617251160000002</v>
      </c>
      <c r="P761">
        <f>M761-N761-H761</f>
        <v>0.49070999999999998</v>
      </c>
      <c r="Q761">
        <f>P761/O761</f>
        <v>7.713473799203366E-3</v>
      </c>
      <c r="R761">
        <f>I761-G761</f>
        <v>37</v>
      </c>
      <c r="S761">
        <f>Q761/R761</f>
        <v>2.0847226484333421E-4</v>
      </c>
      <c r="T761">
        <f>S761*10000</f>
        <v>2.0847226484333423</v>
      </c>
    </row>
    <row r="762" spans="1:20" x14ac:dyDescent="0.3">
      <c r="A762" t="s">
        <v>57</v>
      </c>
      <c r="B762" t="s">
        <v>36</v>
      </c>
      <c r="C762">
        <v>1</v>
      </c>
      <c r="D762">
        <v>48</v>
      </c>
      <c r="E762" t="s">
        <v>24</v>
      </c>
      <c r="F762">
        <v>0.45824999999999999</v>
      </c>
      <c r="G762" s="1">
        <v>45965</v>
      </c>
      <c r="H762">
        <v>2.3386200000000001</v>
      </c>
      <c r="I762" s="1">
        <v>46002</v>
      </c>
      <c r="J762">
        <v>63.617251160000002</v>
      </c>
      <c r="K762">
        <v>5.31</v>
      </c>
      <c r="L762">
        <v>1</v>
      </c>
      <c r="M762">
        <v>3.4343900000000001</v>
      </c>
      <c r="N762">
        <f>L762*F762</f>
        <v>0.45824999999999999</v>
      </c>
      <c r="O762">
        <f>L762*J762</f>
        <v>63.617251160000002</v>
      </c>
      <c r="P762">
        <f>M762-N762-H762</f>
        <v>0.63751999999999986</v>
      </c>
      <c r="Q762">
        <f>P762/O762</f>
        <v>1.0021181179246661E-2</v>
      </c>
      <c r="R762">
        <f>I762-G762</f>
        <v>37</v>
      </c>
      <c r="S762">
        <f>Q762/R762</f>
        <v>2.708427345742341E-4</v>
      </c>
      <c r="T762">
        <f>S762*10000</f>
        <v>2.7084273457423409</v>
      </c>
    </row>
    <row r="763" spans="1:20" x14ac:dyDescent="0.3">
      <c r="A763" t="s">
        <v>57</v>
      </c>
      <c r="B763" t="s">
        <v>36</v>
      </c>
      <c r="C763">
        <v>2</v>
      </c>
      <c r="D763">
        <v>0.5</v>
      </c>
      <c r="E763" t="s">
        <v>47</v>
      </c>
      <c r="F763">
        <v>4.3745599999999998</v>
      </c>
      <c r="G763" s="1">
        <v>45965</v>
      </c>
      <c r="H763">
        <v>2.3553500000000001</v>
      </c>
      <c r="I763" s="1">
        <v>46002</v>
      </c>
      <c r="J763">
        <v>63.617251160000002</v>
      </c>
      <c r="K763">
        <v>5.31</v>
      </c>
      <c r="L763">
        <v>1</v>
      </c>
      <c r="M763">
        <v>7.11524</v>
      </c>
      <c r="N763">
        <f>L763*F763</f>
        <v>4.3745599999999998</v>
      </c>
      <c r="O763">
        <f>L763*J763</f>
        <v>63.617251160000002</v>
      </c>
      <c r="P763">
        <f>M763-N763-H763</f>
        <v>0.38533000000000017</v>
      </c>
      <c r="Q763">
        <f>P763/O763</f>
        <v>6.0570048685517613E-3</v>
      </c>
      <c r="R763">
        <f>I763-G763</f>
        <v>37</v>
      </c>
      <c r="S763">
        <f>Q763/R763</f>
        <v>1.6370283428518274E-4</v>
      </c>
      <c r="T763">
        <f>S763*10000</f>
        <v>1.6370283428518273</v>
      </c>
    </row>
    <row r="764" spans="1:20" x14ac:dyDescent="0.3">
      <c r="A764" t="s">
        <v>57</v>
      </c>
      <c r="B764" t="s">
        <v>36</v>
      </c>
      <c r="C764">
        <v>2</v>
      </c>
      <c r="D764">
        <v>0.5</v>
      </c>
      <c r="E764" t="s">
        <v>23</v>
      </c>
      <c r="F764">
        <v>4.5347900000000001</v>
      </c>
      <c r="G764" s="1">
        <v>45965</v>
      </c>
      <c r="H764">
        <v>2.3867600000000002</v>
      </c>
      <c r="I764" s="1">
        <v>46002</v>
      </c>
      <c r="J764">
        <v>63.617251160000002</v>
      </c>
      <c r="K764">
        <v>5.31</v>
      </c>
      <c r="L764">
        <v>1</v>
      </c>
      <c r="M764">
        <v>7.38673</v>
      </c>
      <c r="N764">
        <f>L764*F764</f>
        <v>4.5347900000000001</v>
      </c>
      <c r="O764">
        <f>L764*J764</f>
        <v>63.617251160000002</v>
      </c>
      <c r="P764">
        <f>M764-N764-H764</f>
        <v>0.4651799999999997</v>
      </c>
      <c r="Q764">
        <f>P764/O764</f>
        <v>7.3121675570365797E-3</v>
      </c>
      <c r="R764">
        <f>I764-G764</f>
        <v>37</v>
      </c>
      <c r="S764">
        <f>Q764/R764</f>
        <v>1.9762615019017782E-4</v>
      </c>
      <c r="T764">
        <f>S764*10000</f>
        <v>1.9762615019017782</v>
      </c>
    </row>
    <row r="765" spans="1:20" x14ac:dyDescent="0.3">
      <c r="A765" t="s">
        <v>57</v>
      </c>
      <c r="B765" t="s">
        <v>36</v>
      </c>
      <c r="C765">
        <v>2</v>
      </c>
      <c r="D765">
        <v>0.5</v>
      </c>
      <c r="E765" t="s">
        <v>24</v>
      </c>
      <c r="F765">
        <v>4.2969400000000002</v>
      </c>
      <c r="G765" s="1">
        <v>45965</v>
      </c>
      <c r="H765">
        <v>2.3814099999999998</v>
      </c>
      <c r="I765" s="1">
        <v>46002</v>
      </c>
      <c r="J765">
        <v>63.617251160000002</v>
      </c>
      <c r="K765">
        <v>5.31</v>
      </c>
      <c r="L765">
        <v>1</v>
      </c>
      <c r="M765">
        <v>6.7389200000000002</v>
      </c>
      <c r="N765">
        <f>L765*F765</f>
        <v>4.2969400000000002</v>
      </c>
      <c r="O765">
        <f>L765*J765</f>
        <v>63.617251160000002</v>
      </c>
      <c r="P765">
        <f>M765-N765-H765</f>
        <v>6.0570000000000235E-2</v>
      </c>
      <c r="Q765">
        <f>P765/O765</f>
        <v>9.5210023846620153E-4</v>
      </c>
      <c r="R765">
        <f>I765-G765</f>
        <v>37</v>
      </c>
      <c r="S765">
        <f>Q765/R765</f>
        <v>2.5732438877464905E-5</v>
      </c>
      <c r="T765">
        <f>S765*10000</f>
        <v>0.25732438877464903</v>
      </c>
    </row>
    <row r="766" spans="1:20" x14ac:dyDescent="0.3">
      <c r="A766" t="s">
        <v>57</v>
      </c>
      <c r="B766" t="s">
        <v>36</v>
      </c>
      <c r="C766">
        <v>2</v>
      </c>
      <c r="D766">
        <v>2</v>
      </c>
      <c r="E766" t="s">
        <v>47</v>
      </c>
      <c r="F766">
        <v>4.3348100000000001</v>
      </c>
      <c r="G766" s="1">
        <v>45965</v>
      </c>
      <c r="H766">
        <v>2.28227</v>
      </c>
      <c r="I766" s="1">
        <v>46002</v>
      </c>
      <c r="J766">
        <v>63.617251160000002</v>
      </c>
      <c r="K766">
        <v>5.31</v>
      </c>
      <c r="L766">
        <v>1</v>
      </c>
      <c r="M766">
        <v>362.73</v>
      </c>
      <c r="N766">
        <f>L766*F766</f>
        <v>4.3348100000000001</v>
      </c>
      <c r="O766">
        <f>L766*J766</f>
        <v>63.617251160000002</v>
      </c>
      <c r="P766">
        <f>M766-N766-H766</f>
        <v>356.11292000000003</v>
      </c>
      <c r="Q766">
        <f>P766/O766</f>
        <v>5.5977413910003966</v>
      </c>
      <c r="R766">
        <f>I766-G766</f>
        <v>37</v>
      </c>
      <c r="S766">
        <f>Q766/R766</f>
        <v>0.15129030786487557</v>
      </c>
      <c r="T766">
        <f>S766*10000</f>
        <v>1512.9030786487558</v>
      </c>
    </row>
    <row r="767" spans="1:20" x14ac:dyDescent="0.3">
      <c r="A767" t="s">
        <v>57</v>
      </c>
      <c r="B767" t="s">
        <v>36</v>
      </c>
      <c r="C767">
        <v>2</v>
      </c>
      <c r="D767">
        <v>2</v>
      </c>
      <c r="E767" t="s">
        <v>23</v>
      </c>
      <c r="F767">
        <v>4.41113</v>
      </c>
      <c r="G767" s="1">
        <v>45965</v>
      </c>
      <c r="H767">
        <v>2.2964799999999999</v>
      </c>
      <c r="I767" s="1">
        <v>46002</v>
      </c>
      <c r="J767">
        <v>63.617251160000002</v>
      </c>
      <c r="K767">
        <v>5.31</v>
      </c>
      <c r="L767">
        <v>1</v>
      </c>
      <c r="M767">
        <v>288.93</v>
      </c>
      <c r="N767">
        <f>L767*F767</f>
        <v>4.41113</v>
      </c>
      <c r="O767">
        <f>L767*J767</f>
        <v>63.617251160000002</v>
      </c>
      <c r="P767">
        <f>M767-N767-H767</f>
        <v>282.22239000000002</v>
      </c>
      <c r="Q767">
        <f>P767/O767</f>
        <v>4.4362556516344771</v>
      </c>
      <c r="R767">
        <f>I767-G767</f>
        <v>37</v>
      </c>
      <c r="S767">
        <f>Q767/R767</f>
        <v>0.1198988013955264</v>
      </c>
      <c r="T767">
        <f>S767*10000</f>
        <v>1198.988013955264</v>
      </c>
    </row>
    <row r="768" spans="1:20" x14ac:dyDescent="0.3">
      <c r="A768" t="s">
        <v>57</v>
      </c>
      <c r="B768" t="s">
        <v>36</v>
      </c>
      <c r="C768">
        <v>2</v>
      </c>
      <c r="D768">
        <v>2</v>
      </c>
      <c r="E768" t="s">
        <v>24</v>
      </c>
      <c r="F768">
        <v>4.4548199999999998</v>
      </c>
      <c r="G768" s="1">
        <v>45965</v>
      </c>
      <c r="H768">
        <v>2.3384800000000001</v>
      </c>
      <c r="I768" s="1">
        <v>46002</v>
      </c>
      <c r="J768">
        <v>63.617251160000002</v>
      </c>
      <c r="K768">
        <v>5.31</v>
      </c>
      <c r="L768">
        <v>1</v>
      </c>
      <c r="M768">
        <v>92.78</v>
      </c>
      <c r="N768">
        <f>L768*F768</f>
        <v>4.4548199999999998</v>
      </c>
      <c r="O768">
        <f>L768*J768</f>
        <v>63.617251160000002</v>
      </c>
      <c r="P768">
        <f>M768-N768-H768</f>
        <v>85.986699999999999</v>
      </c>
      <c r="Q768">
        <f>P768/O768</f>
        <v>1.3516255171689187</v>
      </c>
      <c r="R768">
        <f>I768-G768</f>
        <v>37</v>
      </c>
      <c r="S768">
        <f>Q768/R768</f>
        <v>3.6530419382943748E-2</v>
      </c>
      <c r="T768">
        <f>S768*10000</f>
        <v>365.30419382943745</v>
      </c>
    </row>
    <row r="769" spans="1:20" x14ac:dyDescent="0.3">
      <c r="A769" t="s">
        <v>57</v>
      </c>
      <c r="B769" t="s">
        <v>36</v>
      </c>
      <c r="C769">
        <v>2</v>
      </c>
      <c r="D769">
        <v>6</v>
      </c>
      <c r="E769" t="s">
        <v>47</v>
      </c>
      <c r="F769">
        <v>0.44756000000000001</v>
      </c>
      <c r="G769" s="1">
        <v>45965</v>
      </c>
      <c r="H769">
        <v>2.3923899999999998</v>
      </c>
      <c r="I769" s="1">
        <v>46002</v>
      </c>
      <c r="J769">
        <v>63.617251160000002</v>
      </c>
      <c r="K769">
        <v>5.31</v>
      </c>
      <c r="L769">
        <v>1</v>
      </c>
      <c r="M769">
        <v>9.0146899999999999</v>
      </c>
      <c r="N769">
        <f>L769*F769</f>
        <v>0.44756000000000001</v>
      </c>
      <c r="O769">
        <f>L769*J769</f>
        <v>63.617251160000002</v>
      </c>
      <c r="P769">
        <f>M769-N769-H769</f>
        <v>6.1747400000000008</v>
      </c>
      <c r="Q769">
        <f>P769/O769</f>
        <v>9.7060779700623587E-2</v>
      </c>
      <c r="R769">
        <f>I769-G769</f>
        <v>37</v>
      </c>
      <c r="S769">
        <f>Q769/R769</f>
        <v>2.6232643162330698E-3</v>
      </c>
      <c r="T769">
        <f>S769*10000</f>
        <v>26.232643162330699</v>
      </c>
    </row>
    <row r="770" spans="1:20" x14ac:dyDescent="0.3">
      <c r="A770" t="s">
        <v>57</v>
      </c>
      <c r="B770" t="s">
        <v>36</v>
      </c>
      <c r="C770">
        <v>2</v>
      </c>
      <c r="D770">
        <v>6</v>
      </c>
      <c r="E770" t="s">
        <v>23</v>
      </c>
      <c r="F770">
        <v>0.45771000000000001</v>
      </c>
      <c r="G770" s="1">
        <v>45965</v>
      </c>
      <c r="H770">
        <v>2.2900900000000002</v>
      </c>
      <c r="I770" s="1">
        <v>46002</v>
      </c>
      <c r="J770">
        <v>63.617251160000002</v>
      </c>
      <c r="K770">
        <v>5.31</v>
      </c>
      <c r="L770">
        <v>1</v>
      </c>
      <c r="M770">
        <v>5.4150099999999997</v>
      </c>
      <c r="N770">
        <f>L770*F770</f>
        <v>0.45771000000000001</v>
      </c>
      <c r="O770">
        <f>L770*J770</f>
        <v>63.617251160000002</v>
      </c>
      <c r="P770">
        <f>M770-N770-H770</f>
        <v>2.6672099999999999</v>
      </c>
      <c r="Q770">
        <f>P770/O770</f>
        <v>4.1925891976876795E-2</v>
      </c>
      <c r="R770">
        <f>I770-G770</f>
        <v>37</v>
      </c>
      <c r="S770">
        <f>Q770/R770</f>
        <v>1.1331322155912647E-3</v>
      </c>
      <c r="T770">
        <f>S770*10000</f>
        <v>11.331322155912646</v>
      </c>
    </row>
    <row r="771" spans="1:20" x14ac:dyDescent="0.3">
      <c r="A771" t="s">
        <v>57</v>
      </c>
      <c r="B771" t="s">
        <v>36</v>
      </c>
      <c r="C771">
        <v>2</v>
      </c>
      <c r="D771">
        <v>6</v>
      </c>
      <c r="E771" t="s">
        <v>24</v>
      </c>
      <c r="F771">
        <v>0.4471</v>
      </c>
      <c r="G771" s="1">
        <v>45965</v>
      </c>
      <c r="H771">
        <v>2.2945000000000002</v>
      </c>
      <c r="I771" s="1">
        <v>46002</v>
      </c>
      <c r="J771">
        <v>63.617251160000002</v>
      </c>
      <c r="K771">
        <v>5.31</v>
      </c>
      <c r="L771">
        <v>1</v>
      </c>
      <c r="M771">
        <v>4.7604499999999996</v>
      </c>
      <c r="N771">
        <f>L771*F771</f>
        <v>0.4471</v>
      </c>
      <c r="O771">
        <f>L771*J771</f>
        <v>63.617251160000002</v>
      </c>
      <c r="P771">
        <f>M771-N771-H771</f>
        <v>2.0188499999999996</v>
      </c>
      <c r="Q771">
        <f>P771/O771</f>
        <v>3.1734316764528363E-2</v>
      </c>
      <c r="R771">
        <f>I771-G771</f>
        <v>37</v>
      </c>
      <c r="S771">
        <f>Q771/R771</f>
        <v>8.5768423687914493E-4</v>
      </c>
      <c r="T771">
        <f>S771*10000</f>
        <v>8.5768423687914499</v>
      </c>
    </row>
    <row r="772" spans="1:20" x14ac:dyDescent="0.3">
      <c r="A772" t="s">
        <v>57</v>
      </c>
      <c r="B772" t="s">
        <v>36</v>
      </c>
      <c r="C772">
        <v>2</v>
      </c>
      <c r="D772">
        <v>12</v>
      </c>
      <c r="E772" t="s">
        <v>47</v>
      </c>
      <c r="F772">
        <v>0.46124999999999999</v>
      </c>
      <c r="G772" s="1">
        <v>45965</v>
      </c>
      <c r="H772">
        <v>2.3267099999999998</v>
      </c>
      <c r="I772" s="1">
        <v>46002</v>
      </c>
      <c r="J772">
        <v>63.617251160000002</v>
      </c>
      <c r="K772">
        <v>5.31</v>
      </c>
      <c r="L772">
        <v>1</v>
      </c>
      <c r="M772">
        <v>4.9902300000000004</v>
      </c>
      <c r="N772">
        <f>L772*F772</f>
        <v>0.46124999999999999</v>
      </c>
      <c r="O772">
        <f>L772*J772</f>
        <v>63.617251160000002</v>
      </c>
      <c r="P772">
        <f>M772-N772-H772</f>
        <v>2.2022700000000008</v>
      </c>
      <c r="Q772">
        <f>P772/O772</f>
        <v>3.4617496981458711E-2</v>
      </c>
      <c r="R772">
        <f>I772-G772</f>
        <v>37</v>
      </c>
      <c r="S772">
        <f>Q772/R772</f>
        <v>9.3560802652591112E-4</v>
      </c>
      <c r="T772">
        <f>S772*10000</f>
        <v>9.3560802652591111</v>
      </c>
    </row>
    <row r="773" spans="1:20" x14ac:dyDescent="0.3">
      <c r="A773" t="s">
        <v>57</v>
      </c>
      <c r="B773" t="s">
        <v>36</v>
      </c>
      <c r="C773">
        <v>2</v>
      </c>
      <c r="D773">
        <v>12</v>
      </c>
      <c r="E773" t="s">
        <v>23</v>
      </c>
      <c r="F773">
        <v>0.44746999999999998</v>
      </c>
      <c r="G773" s="1">
        <v>45965</v>
      </c>
      <c r="H773">
        <v>2.2891499999999998</v>
      </c>
      <c r="I773" s="1">
        <v>46002</v>
      </c>
      <c r="J773">
        <v>63.617251160000002</v>
      </c>
      <c r="K773">
        <v>5.31</v>
      </c>
      <c r="L773">
        <v>1</v>
      </c>
      <c r="M773">
        <v>4.2398899999999999</v>
      </c>
      <c r="N773">
        <f>L773*F773</f>
        <v>0.44746999999999998</v>
      </c>
      <c r="O773">
        <f>L773*J773</f>
        <v>63.617251160000002</v>
      </c>
      <c r="P773">
        <f>M773-N773-H773</f>
        <v>1.5032700000000001</v>
      </c>
      <c r="Q773">
        <f>P773/O773</f>
        <v>2.3629911267609067E-2</v>
      </c>
      <c r="R773">
        <f>I773-G773</f>
        <v>37</v>
      </c>
      <c r="S773">
        <f>Q773/R773</f>
        <v>6.386462504759207E-4</v>
      </c>
      <c r="T773">
        <f>S773*10000</f>
        <v>6.3864625047592067</v>
      </c>
    </row>
    <row r="774" spans="1:20" x14ac:dyDescent="0.3">
      <c r="A774" t="s">
        <v>57</v>
      </c>
      <c r="B774" t="s">
        <v>36</v>
      </c>
      <c r="C774">
        <v>2</v>
      </c>
      <c r="D774">
        <v>12</v>
      </c>
      <c r="E774" t="s">
        <v>24</v>
      </c>
      <c r="F774">
        <v>0.45422000000000001</v>
      </c>
      <c r="G774" s="1">
        <v>45965</v>
      </c>
      <c r="H774">
        <v>2.3116400000000001</v>
      </c>
      <c r="I774" s="1">
        <v>46002</v>
      </c>
      <c r="J774">
        <v>63.617251160000002</v>
      </c>
      <c r="K774">
        <v>5.31</v>
      </c>
      <c r="L774">
        <v>1</v>
      </c>
      <c r="M774">
        <v>4.9765199999999998</v>
      </c>
      <c r="N774">
        <f>L774*F774</f>
        <v>0.45422000000000001</v>
      </c>
      <c r="O774">
        <f>L774*J774</f>
        <v>63.617251160000002</v>
      </c>
      <c r="P774">
        <f>M774-N774-H774</f>
        <v>2.2106599999999994</v>
      </c>
      <c r="Q774">
        <f>P774/O774</f>
        <v>3.4749379448038374E-2</v>
      </c>
      <c r="R774">
        <f>I774-G774</f>
        <v>37</v>
      </c>
      <c r="S774">
        <f>Q774/R774</f>
        <v>9.3917241751455066E-4</v>
      </c>
      <c r="T774">
        <f>S774*10000</f>
        <v>9.3917241751455069</v>
      </c>
    </row>
    <row r="775" spans="1:20" x14ac:dyDescent="0.3">
      <c r="A775" t="s">
        <v>57</v>
      </c>
      <c r="B775" t="s">
        <v>36</v>
      </c>
      <c r="C775">
        <v>2</v>
      </c>
      <c r="D775">
        <v>18</v>
      </c>
      <c r="E775" t="s">
        <v>47</v>
      </c>
      <c r="F775">
        <v>0.44567000000000001</v>
      </c>
      <c r="G775" s="1">
        <v>45967</v>
      </c>
      <c r="H775">
        <v>2.27969</v>
      </c>
      <c r="I775" s="1">
        <v>45994</v>
      </c>
      <c r="J775">
        <v>63.617251160000002</v>
      </c>
      <c r="K775">
        <v>5.31</v>
      </c>
      <c r="L775">
        <v>1</v>
      </c>
      <c r="M775">
        <v>4.3245199999999997</v>
      </c>
      <c r="N775">
        <f>L775*F775</f>
        <v>0.44567000000000001</v>
      </c>
      <c r="O775">
        <f>L775*J775</f>
        <v>63.617251160000002</v>
      </c>
      <c r="P775">
        <f>M775-N775-H775</f>
        <v>1.5991599999999999</v>
      </c>
      <c r="Q775">
        <f>P775/O775</f>
        <v>2.5137206824262914E-2</v>
      </c>
      <c r="R775">
        <f>I775-G775</f>
        <v>27</v>
      </c>
      <c r="S775">
        <f>Q775/R775</f>
        <v>9.3100766015788569E-4</v>
      </c>
      <c r="T775">
        <f>S775*10000</f>
        <v>9.3100766015788565</v>
      </c>
    </row>
    <row r="776" spans="1:20" x14ac:dyDescent="0.3">
      <c r="A776" t="s">
        <v>57</v>
      </c>
      <c r="B776" t="s">
        <v>36</v>
      </c>
      <c r="C776">
        <v>2</v>
      </c>
      <c r="D776">
        <v>18</v>
      </c>
      <c r="E776" t="s">
        <v>23</v>
      </c>
      <c r="F776">
        <v>0.45862999999999998</v>
      </c>
      <c r="G776" s="1">
        <v>45967</v>
      </c>
      <c r="H776">
        <v>2.2798099999999999</v>
      </c>
      <c r="I776" s="1">
        <v>45994</v>
      </c>
      <c r="J776">
        <v>63.617251160000002</v>
      </c>
      <c r="K776">
        <v>5.31</v>
      </c>
      <c r="L776">
        <v>1</v>
      </c>
      <c r="M776">
        <v>4.71807</v>
      </c>
      <c r="N776">
        <f>L776*F776</f>
        <v>0.45862999999999998</v>
      </c>
      <c r="O776">
        <f>L776*J776</f>
        <v>63.617251160000002</v>
      </c>
      <c r="P776">
        <f>M776-N776-H776</f>
        <v>1.9796299999999998</v>
      </c>
      <c r="Q776">
        <f>P776/O776</f>
        <v>3.1117817320040268E-2</v>
      </c>
      <c r="R776">
        <f>I776-G776</f>
        <v>27</v>
      </c>
      <c r="S776">
        <f>Q776/R776</f>
        <v>1.152511752594084E-3</v>
      </c>
      <c r="T776">
        <f>S776*10000</f>
        <v>11.525117525940839</v>
      </c>
    </row>
    <row r="777" spans="1:20" x14ac:dyDescent="0.3">
      <c r="A777" t="s">
        <v>57</v>
      </c>
      <c r="B777" t="s">
        <v>36</v>
      </c>
      <c r="C777">
        <v>2</v>
      </c>
      <c r="D777">
        <v>18</v>
      </c>
      <c r="E777" t="s">
        <v>24</v>
      </c>
      <c r="F777">
        <v>0.44677</v>
      </c>
      <c r="G777" s="1">
        <v>45967</v>
      </c>
      <c r="H777">
        <v>2.3092000000000001</v>
      </c>
      <c r="I777" s="1">
        <v>45994</v>
      </c>
      <c r="J777">
        <v>63.617251160000002</v>
      </c>
      <c r="K777">
        <v>5.31</v>
      </c>
      <c r="L777">
        <v>1</v>
      </c>
      <c r="M777">
        <v>4.7136899999999997</v>
      </c>
      <c r="N777">
        <f>L777*F777</f>
        <v>0.44677</v>
      </c>
      <c r="O777">
        <f>L777*J777</f>
        <v>63.617251160000002</v>
      </c>
      <c r="P777">
        <f>M777-N777-H777</f>
        <v>1.9577199999999997</v>
      </c>
      <c r="Q777">
        <f>P777/O777</f>
        <v>3.0773413882285692E-2</v>
      </c>
      <c r="R777">
        <f>I777-G777</f>
        <v>27</v>
      </c>
      <c r="S777">
        <f>Q777/R777</f>
        <v>1.1397560697142849E-3</v>
      </c>
      <c r="T777">
        <f>S777*10000</f>
        <v>11.397560697142849</v>
      </c>
    </row>
    <row r="778" spans="1:20" x14ac:dyDescent="0.3">
      <c r="A778" t="s">
        <v>57</v>
      </c>
      <c r="B778" t="s">
        <v>36</v>
      </c>
      <c r="C778">
        <v>2</v>
      </c>
      <c r="D778">
        <v>24</v>
      </c>
      <c r="E778" t="s">
        <v>22</v>
      </c>
      <c r="F778">
        <v>0.46033000000000002</v>
      </c>
      <c r="G778" s="1">
        <v>45965</v>
      </c>
      <c r="H778">
        <v>2.2993800000000002</v>
      </c>
      <c r="I778" s="1">
        <v>46002</v>
      </c>
      <c r="J778">
        <v>63.617251160000002</v>
      </c>
      <c r="K778">
        <v>5.31</v>
      </c>
      <c r="L778">
        <v>1</v>
      </c>
      <c r="M778">
        <v>3.2715000000000001</v>
      </c>
      <c r="N778">
        <f>L778*F778</f>
        <v>0.46033000000000002</v>
      </c>
      <c r="O778">
        <f>L778*J778</f>
        <v>63.617251160000002</v>
      </c>
      <c r="P778">
        <f>M778-N778-H778</f>
        <v>0.51178999999999997</v>
      </c>
      <c r="Q778">
        <f>P778/O778</f>
        <v>8.0448304613606626E-3</v>
      </c>
      <c r="R778">
        <f>I778-G778</f>
        <v>37</v>
      </c>
      <c r="S778">
        <f>Q778/R778</f>
        <v>2.1742785030704493E-4</v>
      </c>
      <c r="T778">
        <f>S778*10000</f>
        <v>2.1742785030704495</v>
      </c>
    </row>
    <row r="779" spans="1:20" x14ac:dyDescent="0.3">
      <c r="A779" t="s">
        <v>57</v>
      </c>
      <c r="B779" t="s">
        <v>36</v>
      </c>
      <c r="C779">
        <v>2</v>
      </c>
      <c r="D779">
        <v>24</v>
      </c>
      <c r="E779" t="s">
        <v>23</v>
      </c>
      <c r="F779">
        <v>0.44646000000000002</v>
      </c>
      <c r="G779" s="1">
        <v>45965</v>
      </c>
      <c r="H779">
        <v>2.2958099999999999</v>
      </c>
      <c r="I779" s="1">
        <v>46002</v>
      </c>
      <c r="J779">
        <v>63.617251160000002</v>
      </c>
      <c r="K779">
        <v>5.31</v>
      </c>
      <c r="L779">
        <v>1</v>
      </c>
      <c r="M779">
        <v>3.18404</v>
      </c>
      <c r="N779">
        <f>L779*F779</f>
        <v>0.44646000000000002</v>
      </c>
      <c r="O779">
        <f>L779*J779</f>
        <v>63.617251160000002</v>
      </c>
      <c r="P779">
        <f>M779-N779-H779</f>
        <v>0.44177</v>
      </c>
      <c r="Q779">
        <f>P779/O779</f>
        <v>6.9441856091664554E-3</v>
      </c>
      <c r="R779">
        <f>I779-G779</f>
        <v>37</v>
      </c>
      <c r="S779">
        <f>Q779/R779</f>
        <v>1.8768069213963393E-4</v>
      </c>
      <c r="T779">
        <f>S779*10000</f>
        <v>1.8768069213963392</v>
      </c>
    </row>
    <row r="780" spans="1:20" x14ac:dyDescent="0.3">
      <c r="A780" t="s">
        <v>57</v>
      </c>
      <c r="B780" t="s">
        <v>36</v>
      </c>
      <c r="C780">
        <v>2</v>
      </c>
      <c r="D780">
        <v>24</v>
      </c>
      <c r="E780" t="s">
        <v>24</v>
      </c>
      <c r="F780">
        <v>0.45934999999999998</v>
      </c>
      <c r="G780" s="1">
        <v>45965</v>
      </c>
      <c r="H780">
        <v>2.2769900000000001</v>
      </c>
      <c r="I780" s="1">
        <v>46002</v>
      </c>
      <c r="J780">
        <v>63.617251160000002</v>
      </c>
      <c r="K780">
        <v>5.31</v>
      </c>
      <c r="L780">
        <v>1</v>
      </c>
      <c r="M780">
        <v>3.1568900000000002</v>
      </c>
      <c r="N780">
        <f>L780*F780</f>
        <v>0.45934999999999998</v>
      </c>
      <c r="O780">
        <f>L780*J780</f>
        <v>63.617251160000002</v>
      </c>
      <c r="P780">
        <f>M780-N780-H780</f>
        <v>0.42054999999999998</v>
      </c>
      <c r="Q780">
        <f>P780/O780</f>
        <v>6.61062828606504E-3</v>
      </c>
      <c r="R780">
        <f>I780-G780</f>
        <v>37</v>
      </c>
      <c r="S780">
        <f>Q780/R780</f>
        <v>1.786656293531092E-4</v>
      </c>
      <c r="T780">
        <f>S780*10000</f>
        <v>1.7866562935310921</v>
      </c>
    </row>
    <row r="781" spans="1:20" x14ac:dyDescent="0.3">
      <c r="A781" t="s">
        <v>57</v>
      </c>
      <c r="B781" t="s">
        <v>36</v>
      </c>
      <c r="C781">
        <v>2</v>
      </c>
      <c r="D781">
        <v>48</v>
      </c>
      <c r="E781" t="s">
        <v>47</v>
      </c>
      <c r="F781">
        <v>0.44563000000000003</v>
      </c>
      <c r="G781" s="1">
        <v>45965</v>
      </c>
      <c r="H781">
        <v>2.2377400000000001</v>
      </c>
      <c r="I781" s="1">
        <v>46002</v>
      </c>
      <c r="J781">
        <v>63.617251160000002</v>
      </c>
      <c r="K781">
        <v>5.31</v>
      </c>
      <c r="L781">
        <v>1</v>
      </c>
      <c r="M781">
        <v>3.1548600000000002</v>
      </c>
      <c r="N781">
        <f>L781*F781</f>
        <v>0.44563000000000003</v>
      </c>
      <c r="O781">
        <f>L781*J781</f>
        <v>63.617251160000002</v>
      </c>
      <c r="P781">
        <f>M781-N781-H781</f>
        <v>0.47149000000000019</v>
      </c>
      <c r="Q781">
        <f>P781/O781</f>
        <v>7.411354489589364E-3</v>
      </c>
      <c r="R781">
        <f>I781-G781</f>
        <v>37</v>
      </c>
      <c r="S781">
        <f>Q781/R781</f>
        <v>2.0030687809700985E-4</v>
      </c>
      <c r="T781">
        <f>S781*10000</f>
        <v>2.0030687809700987</v>
      </c>
    </row>
    <row r="782" spans="1:20" x14ac:dyDescent="0.3">
      <c r="A782" t="s">
        <v>57</v>
      </c>
      <c r="B782" t="s">
        <v>36</v>
      </c>
      <c r="C782">
        <v>2</v>
      </c>
      <c r="D782">
        <v>48</v>
      </c>
      <c r="E782" t="s">
        <v>23</v>
      </c>
      <c r="F782">
        <v>0.45154</v>
      </c>
      <c r="G782" s="1">
        <v>45965</v>
      </c>
      <c r="H782">
        <v>2.2907199999999999</v>
      </c>
      <c r="I782" s="1">
        <v>46002</v>
      </c>
      <c r="J782">
        <v>63.617251160000002</v>
      </c>
      <c r="K782">
        <v>5.31</v>
      </c>
      <c r="L782">
        <v>1</v>
      </c>
      <c r="M782">
        <v>3.1200399999999999</v>
      </c>
      <c r="N782">
        <f>L782*F782</f>
        <v>0.45154</v>
      </c>
      <c r="O782">
        <f>L782*J782</f>
        <v>63.617251160000002</v>
      </c>
      <c r="P782">
        <f>M782-N782-H782</f>
        <v>0.37778</v>
      </c>
      <c r="Q782">
        <f>P782/O782</f>
        <v>5.9383263676367872E-3</v>
      </c>
      <c r="R782">
        <f>I782-G782</f>
        <v>37</v>
      </c>
      <c r="S782">
        <f>Q782/R782</f>
        <v>1.6049530723342669E-4</v>
      </c>
      <c r="T782">
        <f>S782*10000</f>
        <v>1.6049530723342669</v>
      </c>
    </row>
    <row r="783" spans="1:20" x14ac:dyDescent="0.3">
      <c r="A783" t="s">
        <v>57</v>
      </c>
      <c r="B783" t="s">
        <v>36</v>
      </c>
      <c r="C783">
        <v>2</v>
      </c>
      <c r="D783">
        <v>48</v>
      </c>
      <c r="E783" t="s">
        <v>24</v>
      </c>
      <c r="F783">
        <v>0.45873000000000003</v>
      </c>
      <c r="G783" s="1">
        <v>45965</v>
      </c>
      <c r="H783">
        <v>2.2641399999999998</v>
      </c>
      <c r="I783" s="1">
        <v>46002</v>
      </c>
      <c r="J783">
        <v>63.617251160000002</v>
      </c>
      <c r="K783">
        <v>5.31</v>
      </c>
      <c r="L783">
        <v>1</v>
      </c>
      <c r="M783">
        <v>3.19225</v>
      </c>
      <c r="N783">
        <f>L783*F783</f>
        <v>0.45873000000000003</v>
      </c>
      <c r="O783">
        <f>L783*J783</f>
        <v>63.617251160000002</v>
      </c>
      <c r="P783">
        <f>M783-N783-H783</f>
        <v>0.46938000000000013</v>
      </c>
      <c r="Q783">
        <f>P783/O783</f>
        <v>7.3781873853601462E-3</v>
      </c>
      <c r="R783">
        <f>I783-G783</f>
        <v>37</v>
      </c>
      <c r="S783">
        <f>Q783/R783</f>
        <v>1.9941046987459856E-4</v>
      </c>
      <c r="T783">
        <f>S783*10000</f>
        <v>1.9941046987459856</v>
      </c>
    </row>
    <row r="784" spans="1:20" x14ac:dyDescent="0.3">
      <c r="A784" t="s">
        <v>57</v>
      </c>
      <c r="B784" t="s">
        <v>36</v>
      </c>
      <c r="E784" t="s">
        <v>48</v>
      </c>
      <c r="F784">
        <v>0.45238</v>
      </c>
      <c r="G784" t="s">
        <v>27</v>
      </c>
      <c r="H784">
        <v>2.3232499999999998</v>
      </c>
      <c r="I784" t="s">
        <v>27</v>
      </c>
      <c r="J784">
        <v>63.617251160000002</v>
      </c>
      <c r="K784">
        <v>5.31</v>
      </c>
      <c r="L784" t="s">
        <v>27</v>
      </c>
      <c r="M784" t="s">
        <v>27</v>
      </c>
      <c r="N784" t="e">
        <f>L784*F784</f>
        <v>#VALUE!</v>
      </c>
      <c r="O784" t="e">
        <f>L784*J784</f>
        <v>#VALUE!</v>
      </c>
      <c r="P784" t="e">
        <f>M784-N784-H784</f>
        <v>#VALUE!</v>
      </c>
      <c r="Q784" t="e">
        <f>P784/O784</f>
        <v>#VALUE!</v>
      </c>
      <c r="R784" t="e">
        <f>I784-G784</f>
        <v>#VALUE!</v>
      </c>
      <c r="S784" t="e">
        <f>Q784/R784</f>
        <v>#VALUE!</v>
      </c>
      <c r="T784" t="e">
        <f>S784*10000</f>
        <v>#VALUE!</v>
      </c>
    </row>
    <row r="785" spans="1:20" x14ac:dyDescent="0.3">
      <c r="A785" t="s">
        <v>57</v>
      </c>
      <c r="B785" t="s">
        <v>36</v>
      </c>
      <c r="E785" t="s">
        <v>49</v>
      </c>
      <c r="F785">
        <v>0.45788000000000001</v>
      </c>
      <c r="G785" t="s">
        <v>27</v>
      </c>
      <c r="H785">
        <v>2.3544900000000002</v>
      </c>
      <c r="I785" t="s">
        <v>27</v>
      </c>
      <c r="J785">
        <v>63.617251160000002</v>
      </c>
      <c r="K785">
        <v>5.31</v>
      </c>
      <c r="L785" t="s">
        <v>27</v>
      </c>
      <c r="M785" t="s">
        <v>27</v>
      </c>
      <c r="N785" t="e">
        <f>L785*F785</f>
        <v>#VALUE!</v>
      </c>
      <c r="O785" t="e">
        <f>L785*J785</f>
        <v>#VALUE!</v>
      </c>
      <c r="P785" t="e">
        <f>M785-N785-H785</f>
        <v>#VALUE!</v>
      </c>
      <c r="Q785" t="e">
        <f>P785/O785</f>
        <v>#VALUE!</v>
      </c>
      <c r="R785" t="e">
        <f>I785-G785</f>
        <v>#VALUE!</v>
      </c>
      <c r="S785" t="e">
        <f>Q785/R785</f>
        <v>#VALUE!</v>
      </c>
      <c r="T785" t="e">
        <f>S785*10000</f>
        <v>#VALUE!</v>
      </c>
    </row>
    <row r="786" spans="1:20" x14ac:dyDescent="0.3">
      <c r="A786" t="s">
        <v>57</v>
      </c>
      <c r="B786" t="s">
        <v>36</v>
      </c>
      <c r="E786" t="s">
        <v>50</v>
      </c>
      <c r="F786">
        <v>0.45236999999999999</v>
      </c>
      <c r="G786" t="s">
        <v>27</v>
      </c>
      <c r="H786">
        <v>2.3369900000000001</v>
      </c>
      <c r="I786" t="s">
        <v>27</v>
      </c>
      <c r="J786">
        <v>63.617251160000002</v>
      </c>
      <c r="K786">
        <v>5.31</v>
      </c>
      <c r="L786" t="s">
        <v>27</v>
      </c>
      <c r="M786" t="s">
        <v>27</v>
      </c>
      <c r="N786" t="e">
        <f>L786*F786</f>
        <v>#VALUE!</v>
      </c>
      <c r="O786" t="e">
        <f>L786*J786</f>
        <v>#VALUE!</v>
      </c>
      <c r="P786" t="e">
        <f>M786-N786-H786</f>
        <v>#VALUE!</v>
      </c>
      <c r="Q786" t="e">
        <f>P786/O786</f>
        <v>#VALUE!</v>
      </c>
      <c r="R786" t="e">
        <f>I786-G786</f>
        <v>#VALUE!</v>
      </c>
      <c r="S786" t="e">
        <f>Q786/R786</f>
        <v>#VALUE!</v>
      </c>
      <c r="T786" t="e">
        <f>S786*10000</f>
        <v>#VALUE!</v>
      </c>
    </row>
    <row r="787" spans="1:20" x14ac:dyDescent="0.3">
      <c r="A787" t="s">
        <v>57</v>
      </c>
      <c r="B787" t="s">
        <v>36</v>
      </c>
      <c r="E787" t="s">
        <v>51</v>
      </c>
      <c r="F787">
        <v>0.45967999999999998</v>
      </c>
      <c r="G787" t="s">
        <v>27</v>
      </c>
      <c r="H787">
        <v>2.29352</v>
      </c>
      <c r="I787" t="s">
        <v>27</v>
      </c>
      <c r="J787">
        <v>63.617251160000002</v>
      </c>
      <c r="K787">
        <v>5.31</v>
      </c>
      <c r="L787" t="s">
        <v>27</v>
      </c>
      <c r="M787" t="s">
        <v>27</v>
      </c>
      <c r="N787" t="e">
        <f>L787*F787</f>
        <v>#VALUE!</v>
      </c>
      <c r="O787" t="e">
        <f>L787*J787</f>
        <v>#VALUE!</v>
      </c>
      <c r="P787" t="e">
        <f>M787-N787-H787</f>
        <v>#VALUE!</v>
      </c>
      <c r="Q787" t="e">
        <f>P787/O787</f>
        <v>#VALUE!</v>
      </c>
      <c r="R787" t="e">
        <f>I787-G787</f>
        <v>#VALUE!</v>
      </c>
      <c r="S787" t="e">
        <f>Q787/R787</f>
        <v>#VALUE!</v>
      </c>
      <c r="T787" t="e">
        <f>S787*10000</f>
        <v>#VALUE!</v>
      </c>
    </row>
    <row r="788" spans="1:20" x14ac:dyDescent="0.3">
      <c r="A788" t="s">
        <v>57</v>
      </c>
      <c r="B788" t="s">
        <v>40</v>
      </c>
      <c r="C788">
        <v>1</v>
      </c>
      <c r="D788">
        <v>0.5</v>
      </c>
      <c r="E788" t="s">
        <v>47</v>
      </c>
      <c r="F788">
        <v>4.3292299999999999</v>
      </c>
      <c r="G788" s="1">
        <v>45964</v>
      </c>
      <c r="H788">
        <v>2.1002999999999998</v>
      </c>
      <c r="I788" s="1">
        <v>45993</v>
      </c>
      <c r="J788">
        <v>63.617251160000002</v>
      </c>
      <c r="K788">
        <v>5.31</v>
      </c>
      <c r="L788">
        <v>1</v>
      </c>
      <c r="M788">
        <v>6.61944</v>
      </c>
      <c r="N788">
        <f>L788*F788</f>
        <v>4.3292299999999999</v>
      </c>
      <c r="O788">
        <f>L788*J788</f>
        <v>63.617251160000002</v>
      </c>
      <c r="P788">
        <f>M788-N788-H788</f>
        <v>0.18991000000000025</v>
      </c>
      <c r="Q788">
        <f>P788/O788</f>
        <v>2.9851965706969765E-3</v>
      </c>
      <c r="R788">
        <f>I788-G788</f>
        <v>29</v>
      </c>
      <c r="S788">
        <f>Q788/R788</f>
        <v>1.0293781278265437E-4</v>
      </c>
      <c r="T788">
        <f>S788*10000</f>
        <v>1.0293781278265437</v>
      </c>
    </row>
    <row r="789" spans="1:20" x14ac:dyDescent="0.3">
      <c r="A789" t="s">
        <v>57</v>
      </c>
      <c r="B789" t="s">
        <v>40</v>
      </c>
      <c r="C789">
        <v>1</v>
      </c>
      <c r="D789">
        <v>0.5</v>
      </c>
      <c r="E789" t="s">
        <v>23</v>
      </c>
      <c r="F789">
        <v>4.4959699999999998</v>
      </c>
      <c r="G789" s="1">
        <v>45964</v>
      </c>
      <c r="H789">
        <v>2.1134300000000001</v>
      </c>
      <c r="I789" s="1">
        <v>45993</v>
      </c>
      <c r="J789">
        <v>63.617251160000002</v>
      </c>
      <c r="K789">
        <v>5.31</v>
      </c>
      <c r="L789">
        <v>1</v>
      </c>
      <c r="M789">
        <v>6.7025199999999998</v>
      </c>
      <c r="N789">
        <f>L789*F789</f>
        <v>4.4959699999999998</v>
      </c>
      <c r="O789">
        <f>L789*J789</f>
        <v>63.617251160000002</v>
      </c>
      <c r="P789">
        <f>M789-N789-H789</f>
        <v>9.311999999999987E-2</v>
      </c>
      <c r="Q789">
        <f>P789/O789</f>
        <v>1.4637539079737859E-3</v>
      </c>
      <c r="R789">
        <f>I789-G789</f>
        <v>29</v>
      </c>
      <c r="S789">
        <f>Q789/R789</f>
        <v>5.0474272688751237E-5</v>
      </c>
      <c r="T789">
        <f>S789*10000</f>
        <v>0.50474272688751232</v>
      </c>
    </row>
    <row r="790" spans="1:20" x14ac:dyDescent="0.3">
      <c r="A790" t="s">
        <v>57</v>
      </c>
      <c r="B790" t="s">
        <v>40</v>
      </c>
      <c r="C790">
        <v>1</v>
      </c>
      <c r="D790">
        <v>0.5</v>
      </c>
      <c r="E790" t="s">
        <v>24</v>
      </c>
      <c r="F790">
        <v>4.3041900000000002</v>
      </c>
      <c r="G790" s="1">
        <v>45964</v>
      </c>
      <c r="H790">
        <v>2.26328</v>
      </c>
      <c r="I790" s="1">
        <v>45993</v>
      </c>
      <c r="J790">
        <v>63.617251160000002</v>
      </c>
      <c r="K790">
        <v>5.31</v>
      </c>
      <c r="L790">
        <v>1</v>
      </c>
      <c r="M790">
        <v>6.77529</v>
      </c>
      <c r="N790">
        <f>L790*F790</f>
        <v>4.3041900000000002</v>
      </c>
      <c r="O790">
        <f>L790*J790</f>
        <v>63.617251160000002</v>
      </c>
      <c r="P790">
        <f>M790-N790-H790</f>
        <v>0.20781999999999989</v>
      </c>
      <c r="Q790">
        <f>P790/O790</f>
        <v>3.2667239814767233E-3</v>
      </c>
      <c r="R790">
        <f>I790-G790</f>
        <v>29</v>
      </c>
      <c r="S790">
        <f>Q790/R790</f>
        <v>1.1264565453368011E-4</v>
      </c>
      <c r="T790">
        <f>S790*10000</f>
        <v>1.1264565453368012</v>
      </c>
    </row>
    <row r="791" spans="1:20" x14ac:dyDescent="0.3">
      <c r="A791" t="s">
        <v>57</v>
      </c>
      <c r="B791" t="s">
        <v>40</v>
      </c>
      <c r="C791">
        <v>1</v>
      </c>
      <c r="D791">
        <v>2</v>
      </c>
      <c r="E791" t="s">
        <v>47</v>
      </c>
      <c r="F791">
        <v>4.1334099999999996</v>
      </c>
      <c r="G791" s="1">
        <v>45964</v>
      </c>
      <c r="H791">
        <v>2.0965699999999998</v>
      </c>
      <c r="I791" s="1">
        <v>45993</v>
      </c>
      <c r="J791">
        <v>63.617251160000002</v>
      </c>
      <c r="K791">
        <v>5.31</v>
      </c>
      <c r="L791">
        <v>1</v>
      </c>
      <c r="M791">
        <v>6.54345</v>
      </c>
      <c r="N791">
        <f>L791*F791</f>
        <v>4.1334099999999996</v>
      </c>
      <c r="O791">
        <f>L791*J791</f>
        <v>63.617251160000002</v>
      </c>
      <c r="P791">
        <f>M791-N791-H791</f>
        <v>0.31347000000000058</v>
      </c>
      <c r="Q791">
        <f>P791/O791</f>
        <v>4.9274370439491427E-3</v>
      </c>
      <c r="R791">
        <f>I791-G791</f>
        <v>29</v>
      </c>
      <c r="S791">
        <f>Q791/R791</f>
        <v>1.6991162220514284E-4</v>
      </c>
      <c r="T791">
        <f>S791*10000</f>
        <v>1.6991162220514284</v>
      </c>
    </row>
    <row r="792" spans="1:20" x14ac:dyDescent="0.3">
      <c r="A792" t="s">
        <v>57</v>
      </c>
      <c r="B792" t="s">
        <v>40</v>
      </c>
      <c r="C792">
        <v>1</v>
      </c>
      <c r="D792">
        <v>2</v>
      </c>
      <c r="E792" t="s">
        <v>23</v>
      </c>
      <c r="F792">
        <v>4.28667</v>
      </c>
      <c r="G792" s="1">
        <v>45964</v>
      </c>
      <c r="H792">
        <v>2.0750199999999999</v>
      </c>
      <c r="I792" s="1">
        <v>45993</v>
      </c>
      <c r="J792">
        <v>63.617251160000002</v>
      </c>
      <c r="K792">
        <v>5.31</v>
      </c>
      <c r="L792">
        <v>1</v>
      </c>
      <c r="M792">
        <v>6.6222099999999999</v>
      </c>
      <c r="N792">
        <f>L792*F792</f>
        <v>4.28667</v>
      </c>
      <c r="O792">
        <f>L792*J792</f>
        <v>63.617251160000002</v>
      </c>
      <c r="P792">
        <f>M792-N792-H792</f>
        <v>0.26052000000000008</v>
      </c>
      <c r="Q792">
        <f>P792/O792</f>
        <v>4.0951156368699672E-3</v>
      </c>
      <c r="R792">
        <f>I792-G792</f>
        <v>29</v>
      </c>
      <c r="S792">
        <f>Q792/R792</f>
        <v>1.4121088402999887E-4</v>
      </c>
      <c r="T792">
        <f>S792*10000</f>
        <v>1.4121088402999888</v>
      </c>
    </row>
    <row r="793" spans="1:20" x14ac:dyDescent="0.3">
      <c r="A793" t="s">
        <v>57</v>
      </c>
      <c r="B793" t="s">
        <v>40</v>
      </c>
      <c r="C793">
        <v>1</v>
      </c>
      <c r="D793">
        <v>2</v>
      </c>
      <c r="E793" t="s">
        <v>24</v>
      </c>
      <c r="F793">
        <v>4.5328999999999997</v>
      </c>
      <c r="G793" s="1">
        <v>45964</v>
      </c>
      <c r="H793">
        <v>2.3880400000000002</v>
      </c>
      <c r="I793" s="1">
        <v>45993</v>
      </c>
      <c r="J793">
        <v>63.617251160000002</v>
      </c>
      <c r="K793">
        <v>5.31</v>
      </c>
      <c r="L793">
        <v>1</v>
      </c>
      <c r="M793">
        <v>7.0923699999999998</v>
      </c>
      <c r="N793">
        <f>L793*F793</f>
        <v>4.5328999999999997</v>
      </c>
      <c r="O793">
        <f>L793*J793</f>
        <v>63.617251160000002</v>
      </c>
      <c r="P793">
        <f>M793-N793-H793</f>
        <v>0.17142999999999997</v>
      </c>
      <c r="Q793">
        <f>P793/O793</f>
        <v>2.6947093260733081E-3</v>
      </c>
      <c r="R793">
        <f>I793-G793</f>
        <v>29</v>
      </c>
      <c r="S793">
        <f>Q793/R793</f>
        <v>9.2921011243907173E-5</v>
      </c>
      <c r="T793">
        <f>S793*10000</f>
        <v>0.9292101124390717</v>
      </c>
    </row>
    <row r="794" spans="1:20" x14ac:dyDescent="0.3">
      <c r="A794" t="s">
        <v>57</v>
      </c>
      <c r="B794" t="s">
        <v>40</v>
      </c>
      <c r="C794">
        <v>1</v>
      </c>
      <c r="D794">
        <v>6</v>
      </c>
      <c r="E794" t="s">
        <v>47</v>
      </c>
      <c r="F794">
        <v>0.45563999999999999</v>
      </c>
      <c r="G794" s="1">
        <v>45964</v>
      </c>
      <c r="H794">
        <v>2.4059599999999999</v>
      </c>
      <c r="I794" s="1">
        <v>45993</v>
      </c>
      <c r="J794">
        <v>63.617251160000002</v>
      </c>
      <c r="K794">
        <v>5.31</v>
      </c>
      <c r="L794">
        <v>1</v>
      </c>
      <c r="M794">
        <v>3.71339</v>
      </c>
      <c r="N794">
        <f>L794*F794</f>
        <v>0.45563999999999999</v>
      </c>
      <c r="O794">
        <f>L794*J794</f>
        <v>63.617251160000002</v>
      </c>
      <c r="P794">
        <f>M794-N794-H794</f>
        <v>0.85179000000000027</v>
      </c>
      <c r="Q794">
        <f>P794/O794</f>
        <v>1.3389292754220289E-2</v>
      </c>
      <c r="R794">
        <f>I794-G794</f>
        <v>29</v>
      </c>
      <c r="S794">
        <f>Q794/R794</f>
        <v>4.6169975014552722E-4</v>
      </c>
      <c r="T794">
        <f>S794*10000</f>
        <v>4.6169975014552724</v>
      </c>
    </row>
    <row r="795" spans="1:20" x14ac:dyDescent="0.3">
      <c r="A795" t="s">
        <v>57</v>
      </c>
      <c r="B795" t="s">
        <v>40</v>
      </c>
      <c r="C795">
        <v>1</v>
      </c>
      <c r="D795">
        <v>6</v>
      </c>
      <c r="E795" t="s">
        <v>23</v>
      </c>
      <c r="F795">
        <v>0.46110000000000001</v>
      </c>
      <c r="G795" s="1">
        <v>45964</v>
      </c>
      <c r="H795">
        <v>2.4138700000000002</v>
      </c>
      <c r="I795" s="1">
        <v>45993</v>
      </c>
      <c r="J795">
        <v>63.617251160000002</v>
      </c>
      <c r="K795">
        <v>5.31</v>
      </c>
      <c r="L795">
        <v>1</v>
      </c>
      <c r="M795">
        <v>3.4011499999999999</v>
      </c>
      <c r="N795">
        <f>L795*F795</f>
        <v>0.46110000000000001</v>
      </c>
      <c r="O795">
        <f>L795*J795</f>
        <v>63.617251160000002</v>
      </c>
      <c r="P795">
        <f>M795-N795-H795</f>
        <v>0.52617999999999965</v>
      </c>
      <c r="Q795">
        <f>P795/O795</f>
        <v>8.271026968402569E-3</v>
      </c>
      <c r="R795">
        <f>I795-G795</f>
        <v>29</v>
      </c>
      <c r="S795">
        <f>Q795/R795</f>
        <v>2.8520782649664033E-4</v>
      </c>
      <c r="T795">
        <f>S795*10000</f>
        <v>2.8520782649664032</v>
      </c>
    </row>
    <row r="796" spans="1:20" x14ac:dyDescent="0.3">
      <c r="A796" t="s">
        <v>57</v>
      </c>
      <c r="B796" t="s">
        <v>40</v>
      </c>
      <c r="C796">
        <v>1</v>
      </c>
      <c r="D796">
        <v>6</v>
      </c>
      <c r="E796" t="s">
        <v>24</v>
      </c>
      <c r="F796">
        <v>0.45429999999999998</v>
      </c>
      <c r="G796" s="1">
        <v>45964</v>
      </c>
      <c r="H796">
        <v>2.4003899999999998</v>
      </c>
      <c r="I796" s="1">
        <v>45993</v>
      </c>
      <c r="J796">
        <v>63.617251160000002</v>
      </c>
      <c r="K796">
        <v>5.31</v>
      </c>
      <c r="L796">
        <v>1</v>
      </c>
      <c r="M796">
        <v>3.2664499999999999</v>
      </c>
      <c r="N796">
        <f>L796*F796</f>
        <v>0.45429999999999998</v>
      </c>
      <c r="O796">
        <f>L796*J796</f>
        <v>63.617251160000002</v>
      </c>
      <c r="P796">
        <f>M796-N796-H796</f>
        <v>0.41176000000000013</v>
      </c>
      <c r="Q796">
        <f>P796/O796</f>
        <v>6.4724582167878771E-3</v>
      </c>
      <c r="R796">
        <f>I796-G796</f>
        <v>29</v>
      </c>
      <c r="S796">
        <f>Q796/R796</f>
        <v>2.2318821437199577E-4</v>
      </c>
      <c r="T796">
        <f>S796*10000</f>
        <v>2.2318821437199579</v>
      </c>
    </row>
    <row r="797" spans="1:20" x14ac:dyDescent="0.3">
      <c r="A797" t="s">
        <v>57</v>
      </c>
      <c r="B797" t="s">
        <v>40</v>
      </c>
      <c r="C797">
        <v>1</v>
      </c>
      <c r="D797">
        <v>12</v>
      </c>
      <c r="E797" t="s">
        <v>47</v>
      </c>
      <c r="F797">
        <v>0.46096999999999999</v>
      </c>
      <c r="G797" s="1">
        <v>45964</v>
      </c>
      <c r="H797">
        <v>2.3801000000000001</v>
      </c>
      <c r="I797" s="1">
        <v>45993</v>
      </c>
      <c r="J797">
        <v>63.617251160000002</v>
      </c>
      <c r="K797">
        <v>5.31</v>
      </c>
      <c r="L797">
        <v>1</v>
      </c>
      <c r="M797">
        <v>3.5631200000000001</v>
      </c>
      <c r="N797">
        <f>L797*F797</f>
        <v>0.46096999999999999</v>
      </c>
      <c r="O797">
        <f>L797*J797</f>
        <v>63.617251160000002</v>
      </c>
      <c r="P797">
        <f>M797-N797-H797</f>
        <v>0.72204999999999986</v>
      </c>
      <c r="Q797">
        <f>P797/O797</f>
        <v>1.1349908819292025E-2</v>
      </c>
      <c r="R797">
        <f>I797-G797</f>
        <v>29</v>
      </c>
      <c r="S797">
        <f>Q797/R797</f>
        <v>3.9137616618248366E-4</v>
      </c>
      <c r="T797">
        <f>S797*10000</f>
        <v>3.9137616618248368</v>
      </c>
    </row>
    <row r="798" spans="1:20" x14ac:dyDescent="0.3">
      <c r="A798" t="s">
        <v>57</v>
      </c>
      <c r="B798" t="s">
        <v>40</v>
      </c>
      <c r="C798">
        <v>1</v>
      </c>
      <c r="D798">
        <v>12</v>
      </c>
      <c r="E798" t="s">
        <v>23</v>
      </c>
      <c r="F798">
        <v>0.45548</v>
      </c>
      <c r="G798" s="1">
        <v>45964</v>
      </c>
      <c r="H798">
        <v>2.3628200000000001</v>
      </c>
      <c r="I798" s="1">
        <v>45993</v>
      </c>
      <c r="J798">
        <v>63.617251160000002</v>
      </c>
      <c r="K798">
        <v>5.31</v>
      </c>
      <c r="L798">
        <v>1</v>
      </c>
      <c r="M798">
        <v>3.4254500000000001</v>
      </c>
      <c r="N798">
        <f>L798*F798</f>
        <v>0.45548</v>
      </c>
      <c r="O798">
        <f>L798*J798</f>
        <v>63.617251160000002</v>
      </c>
      <c r="P798">
        <f>M798-N798-H798</f>
        <v>0.60714999999999986</v>
      </c>
      <c r="Q798">
        <f>P798/O798</f>
        <v>9.5437949444403484E-3</v>
      </c>
      <c r="R798">
        <f>I798-G798</f>
        <v>29</v>
      </c>
      <c r="S798">
        <f>Q798/R798</f>
        <v>3.2909637739449475E-4</v>
      </c>
      <c r="T798">
        <f>S798*10000</f>
        <v>3.2909637739449473</v>
      </c>
    </row>
    <row r="799" spans="1:20" x14ac:dyDescent="0.3">
      <c r="A799" t="s">
        <v>57</v>
      </c>
      <c r="B799" t="s">
        <v>40</v>
      </c>
      <c r="C799">
        <v>1</v>
      </c>
      <c r="D799">
        <v>12</v>
      </c>
      <c r="E799" t="s">
        <v>24</v>
      </c>
      <c r="F799">
        <v>0.45974999999999999</v>
      </c>
      <c r="G799" s="1">
        <v>45964</v>
      </c>
      <c r="H799">
        <v>2.3849800000000001</v>
      </c>
      <c r="I799" s="1">
        <v>45993</v>
      </c>
      <c r="J799">
        <v>63.617251160000002</v>
      </c>
      <c r="K799">
        <v>5.31</v>
      </c>
      <c r="L799">
        <v>1</v>
      </c>
      <c r="M799">
        <v>3.60825</v>
      </c>
      <c r="N799">
        <f>L799*F799</f>
        <v>0.45974999999999999</v>
      </c>
      <c r="O799">
        <f>L799*J799</f>
        <v>63.617251160000002</v>
      </c>
      <c r="P799">
        <f>M799-N799-H799</f>
        <v>0.76351999999999975</v>
      </c>
      <c r="Q799">
        <f>P799/O799</f>
        <v>1.200177602895346E-2</v>
      </c>
      <c r="R799">
        <f>I799-G799</f>
        <v>29</v>
      </c>
      <c r="S799">
        <f>Q799/R799</f>
        <v>4.1385434582598136E-4</v>
      </c>
      <c r="T799">
        <f>S799*10000</f>
        <v>4.1385434582598135</v>
      </c>
    </row>
    <row r="800" spans="1:20" x14ac:dyDescent="0.3">
      <c r="A800" t="s">
        <v>57</v>
      </c>
      <c r="B800" t="s">
        <v>40</v>
      </c>
      <c r="C800">
        <v>1</v>
      </c>
      <c r="D800">
        <v>18</v>
      </c>
      <c r="E800" t="s">
        <v>47</v>
      </c>
      <c r="F800">
        <v>0.44888</v>
      </c>
      <c r="G800" s="1">
        <v>45976</v>
      </c>
      <c r="H800">
        <v>2.3775300000000001</v>
      </c>
      <c r="I800" s="1">
        <v>46003</v>
      </c>
      <c r="J800">
        <v>63.617251160000002</v>
      </c>
      <c r="K800">
        <v>5.31</v>
      </c>
      <c r="L800">
        <v>1</v>
      </c>
      <c r="M800">
        <v>3.5011299999999999</v>
      </c>
      <c r="N800">
        <f>L800*F800</f>
        <v>0.44888</v>
      </c>
      <c r="O800">
        <f>L800*J800</f>
        <v>63.617251160000002</v>
      </c>
      <c r="P800">
        <f>M800-N800-H800</f>
        <v>0.67471999999999976</v>
      </c>
      <c r="Q800">
        <f>P800/O800</f>
        <v>1.0605928230112477E-2</v>
      </c>
      <c r="R800">
        <f>I800-G800</f>
        <v>27</v>
      </c>
      <c r="S800">
        <f>Q800/R800</f>
        <v>3.9281215667083248E-4</v>
      </c>
      <c r="T800">
        <f>S800*10000</f>
        <v>3.9281215667083247</v>
      </c>
    </row>
    <row r="801" spans="1:20" x14ac:dyDescent="0.3">
      <c r="A801" t="s">
        <v>57</v>
      </c>
      <c r="B801" t="s">
        <v>40</v>
      </c>
      <c r="C801">
        <v>1</v>
      </c>
      <c r="D801">
        <v>18</v>
      </c>
      <c r="E801" t="s">
        <v>23</v>
      </c>
      <c r="F801">
        <v>0.45527000000000001</v>
      </c>
      <c r="G801" s="1">
        <v>45976</v>
      </c>
      <c r="H801">
        <v>2.3734299999999999</v>
      </c>
      <c r="I801" s="1">
        <v>46003</v>
      </c>
      <c r="J801">
        <v>63.617251160000002</v>
      </c>
      <c r="K801">
        <v>5.31</v>
      </c>
      <c r="L801">
        <v>1</v>
      </c>
      <c r="M801">
        <v>3.4777100000000001</v>
      </c>
      <c r="N801">
        <f>L801*F801</f>
        <v>0.45527000000000001</v>
      </c>
      <c r="O801">
        <f>L801*J801</f>
        <v>63.617251160000002</v>
      </c>
      <c r="P801">
        <f>M801-N801-H801</f>
        <v>0.64901000000000009</v>
      </c>
      <c r="Q801">
        <f>P801/O801</f>
        <v>1.0201792566731833E-2</v>
      </c>
      <c r="R801">
        <f>I801-G801</f>
        <v>27</v>
      </c>
      <c r="S801">
        <f>Q801/R801</f>
        <v>3.7784416913821603E-4</v>
      </c>
      <c r="T801">
        <f>S801*10000</f>
        <v>3.7784416913821604</v>
      </c>
    </row>
    <row r="802" spans="1:20" x14ac:dyDescent="0.3">
      <c r="A802" t="s">
        <v>57</v>
      </c>
      <c r="B802" t="s">
        <v>40</v>
      </c>
      <c r="C802">
        <v>1</v>
      </c>
      <c r="D802">
        <v>18</v>
      </c>
      <c r="E802" t="s">
        <v>24</v>
      </c>
      <c r="F802">
        <v>0.46005000000000001</v>
      </c>
      <c r="G802" s="1">
        <v>45976</v>
      </c>
      <c r="H802">
        <v>2.3453599999999999</v>
      </c>
      <c r="I802" s="1">
        <v>46003</v>
      </c>
      <c r="J802">
        <v>63.617251160000002</v>
      </c>
      <c r="K802">
        <v>5.31</v>
      </c>
      <c r="L802">
        <v>1</v>
      </c>
      <c r="M802">
        <v>3.2275</v>
      </c>
      <c r="N802">
        <f>L802*F802</f>
        <v>0.46005000000000001</v>
      </c>
      <c r="O802">
        <f>L802*J802</f>
        <v>63.617251160000002</v>
      </c>
      <c r="P802">
        <f>M802-N802-H802</f>
        <v>0.4220900000000003</v>
      </c>
      <c r="Q802">
        <f>P802/O802</f>
        <v>6.6348355564503506E-3</v>
      </c>
      <c r="R802">
        <f>I802-G802</f>
        <v>27</v>
      </c>
      <c r="S802">
        <f>Q802/R802</f>
        <v>2.457346502389019E-4</v>
      </c>
      <c r="T802">
        <f>S802*10000</f>
        <v>2.4573465023890191</v>
      </c>
    </row>
    <row r="803" spans="1:20" x14ac:dyDescent="0.3">
      <c r="A803" t="s">
        <v>57</v>
      </c>
      <c r="B803" t="s">
        <v>40</v>
      </c>
      <c r="C803">
        <v>1</v>
      </c>
      <c r="D803">
        <v>24</v>
      </c>
      <c r="E803" t="s">
        <v>22</v>
      </c>
      <c r="F803">
        <v>0.45617999999999997</v>
      </c>
      <c r="G803" s="1">
        <v>45964</v>
      </c>
      <c r="H803">
        <v>2.3607499999999999</v>
      </c>
      <c r="I803" s="1">
        <v>45993</v>
      </c>
      <c r="J803">
        <v>63.617251160000002</v>
      </c>
      <c r="K803">
        <v>5.31</v>
      </c>
      <c r="L803">
        <v>1</v>
      </c>
      <c r="M803">
        <v>5.3398899999999996</v>
      </c>
      <c r="N803">
        <f>L803*F803</f>
        <v>0.45617999999999997</v>
      </c>
      <c r="O803">
        <f>L803*J803</f>
        <v>63.617251160000002</v>
      </c>
      <c r="P803">
        <f>M803-N803-H803</f>
        <v>2.5229599999999999</v>
      </c>
      <c r="Q803">
        <f>P803/O803</f>
        <v>3.9658425254097379E-2</v>
      </c>
      <c r="R803">
        <f>I803-G803</f>
        <v>29</v>
      </c>
      <c r="S803">
        <f>Q803/R803</f>
        <v>1.3675319053137026E-3</v>
      </c>
      <c r="T803">
        <f>S803*10000</f>
        <v>13.675319053137027</v>
      </c>
    </row>
    <row r="804" spans="1:20" x14ac:dyDescent="0.3">
      <c r="A804" t="s">
        <v>57</v>
      </c>
      <c r="B804" t="s">
        <v>40</v>
      </c>
      <c r="C804">
        <v>1</v>
      </c>
      <c r="D804">
        <v>24</v>
      </c>
      <c r="E804" t="s">
        <v>23</v>
      </c>
      <c r="F804">
        <v>0.44668999999999998</v>
      </c>
      <c r="G804" s="1">
        <v>45964</v>
      </c>
      <c r="H804">
        <v>2.35921</v>
      </c>
      <c r="I804" s="1">
        <v>45993</v>
      </c>
      <c r="J804">
        <v>63.617251160000002</v>
      </c>
      <c r="K804">
        <v>5.31</v>
      </c>
      <c r="L804">
        <v>1</v>
      </c>
      <c r="M804">
        <v>6.6612</v>
      </c>
      <c r="N804">
        <f>L804*F804</f>
        <v>0.44668999999999998</v>
      </c>
      <c r="O804">
        <f>L804*J804</f>
        <v>63.617251160000002</v>
      </c>
      <c r="P804">
        <f>M804-N804-H804</f>
        <v>3.8552999999999997</v>
      </c>
      <c r="Q804">
        <f>P804/O804</f>
        <v>6.0601486699004989E-2</v>
      </c>
      <c r="R804">
        <f>I804-G804</f>
        <v>29</v>
      </c>
      <c r="S804">
        <f>Q804/R804</f>
        <v>2.0897064378967239E-3</v>
      </c>
      <c r="T804">
        <f>S804*10000</f>
        <v>20.89706437896724</v>
      </c>
    </row>
    <row r="805" spans="1:20" x14ac:dyDescent="0.3">
      <c r="A805" t="s">
        <v>57</v>
      </c>
      <c r="B805" t="s">
        <v>40</v>
      </c>
      <c r="C805">
        <v>1</v>
      </c>
      <c r="D805">
        <v>24</v>
      </c>
      <c r="E805" t="s">
        <v>24</v>
      </c>
      <c r="F805">
        <v>0.45799000000000001</v>
      </c>
      <c r="G805" s="1">
        <v>45964</v>
      </c>
      <c r="H805">
        <v>2.3544800000000001</v>
      </c>
      <c r="I805" s="1">
        <v>45993</v>
      </c>
      <c r="J805">
        <v>63.617251160000002</v>
      </c>
      <c r="K805">
        <v>5.31</v>
      </c>
      <c r="L805">
        <v>1</v>
      </c>
      <c r="M805">
        <v>6.9238900000000001</v>
      </c>
      <c r="N805">
        <f>L805*F805</f>
        <v>0.45799000000000001</v>
      </c>
      <c r="O805">
        <f>L805*J805</f>
        <v>63.617251160000002</v>
      </c>
      <c r="P805">
        <f>M805-N805-H805</f>
        <v>4.1114200000000007</v>
      </c>
      <c r="Q805">
        <f>P805/O805</f>
        <v>6.4627438706202675E-2</v>
      </c>
      <c r="R805">
        <f>I805-G805</f>
        <v>29</v>
      </c>
      <c r="S805">
        <f>Q805/R805</f>
        <v>2.2285323691794024E-3</v>
      </c>
      <c r="T805">
        <f>S805*10000</f>
        <v>22.285323691794023</v>
      </c>
    </row>
    <row r="806" spans="1:20" x14ac:dyDescent="0.3">
      <c r="A806" t="s">
        <v>57</v>
      </c>
      <c r="B806" t="s">
        <v>40</v>
      </c>
      <c r="C806">
        <v>1</v>
      </c>
      <c r="D806">
        <v>48</v>
      </c>
      <c r="E806" t="s">
        <v>47</v>
      </c>
      <c r="F806">
        <v>0.44851000000000002</v>
      </c>
      <c r="G806" s="1">
        <v>45964</v>
      </c>
      <c r="H806">
        <v>2.3497499999999998</v>
      </c>
      <c r="I806" s="1">
        <v>45993</v>
      </c>
      <c r="J806">
        <v>63.617251160000002</v>
      </c>
      <c r="K806">
        <v>5.31</v>
      </c>
      <c r="L806">
        <v>1</v>
      </c>
      <c r="M806">
        <v>4.4392300000000002</v>
      </c>
      <c r="N806">
        <f>L806*F806</f>
        <v>0.44851000000000002</v>
      </c>
      <c r="O806">
        <f>L806*J806</f>
        <v>63.617251160000002</v>
      </c>
      <c r="P806">
        <f>M806-N806-H806</f>
        <v>1.6409700000000003</v>
      </c>
      <c r="Q806">
        <f>P806/O806</f>
        <v>2.5794418496217216E-2</v>
      </c>
      <c r="R806">
        <f>I806-G806</f>
        <v>29</v>
      </c>
      <c r="S806">
        <f>Q806/R806</f>
        <v>8.8946270676611085E-4</v>
      </c>
      <c r="T806">
        <f>S806*10000</f>
        <v>8.8946270676611086</v>
      </c>
    </row>
    <row r="807" spans="1:20" x14ac:dyDescent="0.3">
      <c r="A807" t="s">
        <v>57</v>
      </c>
      <c r="B807" t="s">
        <v>40</v>
      </c>
      <c r="C807">
        <v>1</v>
      </c>
      <c r="D807">
        <v>48</v>
      </c>
      <c r="E807" t="s">
        <v>23</v>
      </c>
      <c r="F807">
        <v>0.45909</v>
      </c>
      <c r="G807" s="1">
        <v>45964</v>
      </c>
      <c r="H807">
        <v>2.33927</v>
      </c>
      <c r="I807" s="1">
        <v>45993</v>
      </c>
      <c r="J807">
        <v>63.617251160000002</v>
      </c>
      <c r="K807">
        <v>5.31</v>
      </c>
      <c r="L807">
        <v>1</v>
      </c>
      <c r="M807">
        <v>5.25847</v>
      </c>
      <c r="N807">
        <f>L807*F807</f>
        <v>0.45909</v>
      </c>
      <c r="O807">
        <f>L807*J807</f>
        <v>63.617251160000002</v>
      </c>
      <c r="P807">
        <f>M807-N807-H807</f>
        <v>2.4601100000000002</v>
      </c>
      <c r="Q807">
        <f>P807/O807</f>
        <v>3.8670485680255537E-2</v>
      </c>
      <c r="R807">
        <f>I807-G807</f>
        <v>29</v>
      </c>
      <c r="S807">
        <f>Q807/R807</f>
        <v>1.3334650234570874E-3</v>
      </c>
      <c r="T807">
        <f>S807*10000</f>
        <v>13.334650234570875</v>
      </c>
    </row>
    <row r="808" spans="1:20" x14ac:dyDescent="0.3">
      <c r="A808" t="s">
        <v>57</v>
      </c>
      <c r="B808" t="s">
        <v>40</v>
      </c>
      <c r="C808">
        <v>1</v>
      </c>
      <c r="D808">
        <v>48</v>
      </c>
      <c r="E808" t="s">
        <v>24</v>
      </c>
      <c r="F808">
        <v>0.44982</v>
      </c>
      <c r="G808" s="1">
        <v>45964</v>
      </c>
      <c r="H808">
        <v>2.3086199999999999</v>
      </c>
      <c r="I808" s="1">
        <v>45993</v>
      </c>
      <c r="J808">
        <v>63.617251160000002</v>
      </c>
      <c r="K808">
        <v>5.31</v>
      </c>
      <c r="L808">
        <v>1</v>
      </c>
      <c r="M808">
        <v>5.0549299999999997</v>
      </c>
      <c r="N808">
        <f>L808*F808</f>
        <v>0.44982</v>
      </c>
      <c r="O808">
        <f>L808*J808</f>
        <v>63.617251160000002</v>
      </c>
      <c r="P808">
        <f>M808-N808-H808</f>
        <v>2.2964899999999999</v>
      </c>
      <c r="Q808">
        <f>P808/O808</f>
        <v>3.6098541796850563E-2</v>
      </c>
      <c r="R808">
        <f>I808-G808</f>
        <v>29</v>
      </c>
      <c r="S808">
        <f>Q808/R808</f>
        <v>1.2447773033396746E-3</v>
      </c>
      <c r="T808">
        <f>S808*10000</f>
        <v>12.447773033396746</v>
      </c>
    </row>
    <row r="809" spans="1:20" x14ac:dyDescent="0.3">
      <c r="A809" t="s">
        <v>57</v>
      </c>
      <c r="B809" t="s">
        <v>40</v>
      </c>
      <c r="C809">
        <v>2</v>
      </c>
      <c r="D809">
        <v>0.5</v>
      </c>
      <c r="E809" t="s">
        <v>47</v>
      </c>
      <c r="F809">
        <v>4.5139500000000004</v>
      </c>
      <c r="G809" s="1">
        <v>45964</v>
      </c>
      <c r="H809">
        <v>2.3610699999999998</v>
      </c>
      <c r="I809" s="1">
        <v>45993</v>
      </c>
      <c r="J809">
        <v>63.617251160000002</v>
      </c>
      <c r="K809">
        <v>5.31</v>
      </c>
      <c r="L809">
        <v>1</v>
      </c>
      <c r="M809">
        <v>7.0229699999999999</v>
      </c>
      <c r="N809">
        <f>L809*F809</f>
        <v>4.5139500000000004</v>
      </c>
      <c r="O809">
        <f>L809*J809</f>
        <v>63.617251160000002</v>
      </c>
      <c r="P809">
        <f>M809-N809-H809</f>
        <v>0.1479499999999998</v>
      </c>
      <c r="Q809">
        <f>P809/O809</f>
        <v>2.3256270477311175E-3</v>
      </c>
      <c r="R809">
        <f>I809-G809</f>
        <v>29</v>
      </c>
      <c r="S809">
        <f>Q809/R809</f>
        <v>8.0194036128659226E-5</v>
      </c>
      <c r="T809">
        <f>S809*10000</f>
        <v>0.8019403612865923</v>
      </c>
    </row>
    <row r="810" spans="1:20" x14ac:dyDescent="0.3">
      <c r="A810" t="s">
        <v>57</v>
      </c>
      <c r="B810" t="s">
        <v>40</v>
      </c>
      <c r="C810">
        <v>2</v>
      </c>
      <c r="D810">
        <v>0.5</v>
      </c>
      <c r="E810" t="s">
        <v>23</v>
      </c>
      <c r="F810">
        <v>4.3518699999999999</v>
      </c>
      <c r="G810" s="1">
        <v>45964</v>
      </c>
      <c r="H810">
        <v>2.3417500000000002</v>
      </c>
      <c r="I810" s="1">
        <v>45993</v>
      </c>
      <c r="J810">
        <v>63.617251160000002</v>
      </c>
      <c r="K810">
        <v>5.31</v>
      </c>
      <c r="L810">
        <v>1</v>
      </c>
      <c r="M810">
        <v>6.8806000000000003</v>
      </c>
      <c r="N810">
        <f>L810*F810</f>
        <v>4.3518699999999999</v>
      </c>
      <c r="O810">
        <f>L810*J810</f>
        <v>63.617251160000002</v>
      </c>
      <c r="P810">
        <f>M810-N810-H810</f>
        <v>0.18698000000000015</v>
      </c>
      <c r="Q810">
        <f>P810/O810</f>
        <v>2.9391398809379197E-3</v>
      </c>
      <c r="R810">
        <f>I810-G810</f>
        <v>29</v>
      </c>
      <c r="S810">
        <f>Q810/R810</f>
        <v>1.0134965106682482E-4</v>
      </c>
      <c r="T810">
        <f>S810*10000</f>
        <v>1.0134965106682483</v>
      </c>
    </row>
    <row r="811" spans="1:20" x14ac:dyDescent="0.3">
      <c r="A811" t="s">
        <v>57</v>
      </c>
      <c r="B811" t="s">
        <v>40</v>
      </c>
      <c r="C811">
        <v>2</v>
      </c>
      <c r="D811">
        <v>0.5</v>
      </c>
      <c r="E811" t="s">
        <v>24</v>
      </c>
      <c r="F811">
        <v>4.3575499999999998</v>
      </c>
      <c r="G811" s="1">
        <v>45964</v>
      </c>
      <c r="H811">
        <v>2.3821500000000002</v>
      </c>
      <c r="I811" s="1">
        <v>45993</v>
      </c>
      <c r="J811">
        <v>63.617251160000002</v>
      </c>
      <c r="K811">
        <v>5.31</v>
      </c>
      <c r="L811">
        <v>1</v>
      </c>
      <c r="M811">
        <v>6.8952099999999996</v>
      </c>
      <c r="N811">
        <f>L811*F811</f>
        <v>4.3575499999999998</v>
      </c>
      <c r="O811">
        <f>L811*J811</f>
        <v>63.617251160000002</v>
      </c>
      <c r="P811">
        <f>M811-N811-H811</f>
        <v>0.15550999999999959</v>
      </c>
      <c r="Q811">
        <f>P811/O811</f>
        <v>2.4444627387135219E-3</v>
      </c>
      <c r="R811">
        <f>I811-G811</f>
        <v>29</v>
      </c>
      <c r="S811">
        <f>Q811/R811</f>
        <v>8.429181857632834E-5</v>
      </c>
      <c r="T811">
        <f>S811*10000</f>
        <v>0.84291818576328337</v>
      </c>
    </row>
    <row r="812" spans="1:20" x14ac:dyDescent="0.3">
      <c r="A812" t="s">
        <v>57</v>
      </c>
      <c r="B812" t="s">
        <v>40</v>
      </c>
      <c r="C812">
        <v>2</v>
      </c>
      <c r="D812">
        <v>2</v>
      </c>
      <c r="E812" t="s">
        <v>47</v>
      </c>
      <c r="F812">
        <v>4.3734099999999998</v>
      </c>
      <c r="G812" s="1">
        <v>45964</v>
      </c>
      <c r="H812">
        <v>2.37704</v>
      </c>
      <c r="I812" s="1">
        <v>45993</v>
      </c>
      <c r="J812">
        <v>63.617251160000002</v>
      </c>
      <c r="K812">
        <v>5.31</v>
      </c>
      <c r="L812">
        <v>1</v>
      </c>
      <c r="M812">
        <v>7.5744199999999999</v>
      </c>
      <c r="N812">
        <f>L812*F812</f>
        <v>4.3734099999999998</v>
      </c>
      <c r="O812">
        <f>L812*J812</f>
        <v>63.617251160000002</v>
      </c>
      <c r="P812">
        <f>M812-N812-H812</f>
        <v>0.82397000000000009</v>
      </c>
      <c r="Q812">
        <f>P812/O812</f>
        <v>1.2951989986610419E-2</v>
      </c>
      <c r="R812">
        <f>I812-G812</f>
        <v>29</v>
      </c>
      <c r="S812">
        <f>Q812/R812</f>
        <v>4.4662034436587653E-4</v>
      </c>
      <c r="T812">
        <f>S812*10000</f>
        <v>4.466203443658765</v>
      </c>
    </row>
    <row r="813" spans="1:20" x14ac:dyDescent="0.3">
      <c r="A813" t="s">
        <v>57</v>
      </c>
      <c r="B813" t="s">
        <v>40</v>
      </c>
      <c r="C813">
        <v>2</v>
      </c>
      <c r="D813">
        <v>2</v>
      </c>
      <c r="E813" t="s">
        <v>23</v>
      </c>
      <c r="F813">
        <v>4.4521800000000002</v>
      </c>
      <c r="G813" s="1">
        <v>45964</v>
      </c>
      <c r="H813">
        <v>2.3169499999999998</v>
      </c>
      <c r="I813" s="1">
        <v>45993</v>
      </c>
      <c r="J813">
        <v>63.617251160000002</v>
      </c>
      <c r="K813">
        <v>5.31</v>
      </c>
      <c r="L813">
        <v>1</v>
      </c>
      <c r="M813">
        <v>7.0401699999999998</v>
      </c>
      <c r="N813">
        <f>L813*F813</f>
        <v>4.4521800000000002</v>
      </c>
      <c r="O813">
        <f>L813*J813</f>
        <v>63.617251160000002</v>
      </c>
      <c r="P813">
        <f>M813-N813-H813</f>
        <v>0.27103999999999973</v>
      </c>
      <c r="Q813">
        <f>P813/O813</f>
        <v>4.2604795878137362E-3</v>
      </c>
      <c r="R813">
        <f>I813-G813</f>
        <v>29</v>
      </c>
      <c r="S813">
        <f>Q813/R813</f>
        <v>1.4691308923495643E-4</v>
      </c>
      <c r="T813">
        <f>S813*10000</f>
        <v>1.4691308923495643</v>
      </c>
    </row>
    <row r="814" spans="1:20" x14ac:dyDescent="0.3">
      <c r="A814" t="s">
        <v>57</v>
      </c>
      <c r="B814" t="s">
        <v>40</v>
      </c>
      <c r="C814">
        <v>2</v>
      </c>
      <c r="D814">
        <v>2</v>
      </c>
      <c r="E814" t="s">
        <v>24</v>
      </c>
      <c r="F814">
        <v>4.3662799999999997</v>
      </c>
      <c r="G814" s="1">
        <v>45964</v>
      </c>
      <c r="H814">
        <v>2.2691499999999998</v>
      </c>
      <c r="I814" s="1">
        <v>45993</v>
      </c>
      <c r="J814">
        <v>63.617251160000002</v>
      </c>
      <c r="K814">
        <v>5.31</v>
      </c>
      <c r="L814">
        <v>1</v>
      </c>
      <c r="M814">
        <v>6.8249700000000004</v>
      </c>
      <c r="N814">
        <f>L814*F814</f>
        <v>4.3662799999999997</v>
      </c>
      <c r="O814">
        <f>L814*J814</f>
        <v>63.617251160000002</v>
      </c>
      <c r="P814">
        <f>M814-N814-H814</f>
        <v>0.18954000000000093</v>
      </c>
      <c r="Q814">
        <f>P814/O814</f>
        <v>2.9793805382018162E-3</v>
      </c>
      <c r="R814">
        <f>I814-G814</f>
        <v>29</v>
      </c>
      <c r="S814">
        <f>Q814/R814</f>
        <v>1.0273725993799366E-4</v>
      </c>
      <c r="T814">
        <f>S814*10000</f>
        <v>1.0273725993799365</v>
      </c>
    </row>
    <row r="815" spans="1:20" x14ac:dyDescent="0.3">
      <c r="A815" t="s">
        <v>57</v>
      </c>
      <c r="B815" t="s">
        <v>40</v>
      </c>
      <c r="C815">
        <v>2</v>
      </c>
      <c r="D815">
        <v>6</v>
      </c>
      <c r="E815" t="s">
        <v>47</v>
      </c>
      <c r="F815">
        <v>0.46034999999999998</v>
      </c>
      <c r="G815" s="1">
        <v>45964</v>
      </c>
      <c r="H815">
        <v>2.3256600000000001</v>
      </c>
      <c r="I815" s="1">
        <v>45993</v>
      </c>
      <c r="J815">
        <v>63.617251160000002</v>
      </c>
      <c r="K815">
        <v>5.31</v>
      </c>
      <c r="L815">
        <v>1</v>
      </c>
      <c r="M815">
        <v>3.5286599999999999</v>
      </c>
      <c r="N815">
        <f>L815*F815</f>
        <v>0.46034999999999998</v>
      </c>
      <c r="O815">
        <f>L815*J815</f>
        <v>63.617251160000002</v>
      </c>
      <c r="P815">
        <f>M815-N815-H815</f>
        <v>0.74264999999999981</v>
      </c>
      <c r="Q815">
        <f>P815/O815</f>
        <v>1.1673720358212342E-2</v>
      </c>
      <c r="R815">
        <f>I815-G815</f>
        <v>29</v>
      </c>
      <c r="S815">
        <f>Q815/R815</f>
        <v>4.0254208131766699E-4</v>
      </c>
      <c r="T815">
        <f>S815*10000</f>
        <v>4.0254208131766696</v>
      </c>
    </row>
    <row r="816" spans="1:20" x14ac:dyDescent="0.3">
      <c r="A816" t="s">
        <v>57</v>
      </c>
      <c r="B816" t="s">
        <v>40</v>
      </c>
      <c r="C816">
        <v>2</v>
      </c>
      <c r="D816">
        <v>6</v>
      </c>
      <c r="E816" t="s">
        <v>23</v>
      </c>
      <c r="F816">
        <v>0.45007999999999998</v>
      </c>
      <c r="G816" s="1">
        <v>45964</v>
      </c>
      <c r="H816">
        <v>2.2695400000000001</v>
      </c>
      <c r="I816" s="1">
        <v>45993</v>
      </c>
      <c r="J816">
        <v>63.617251160000002</v>
      </c>
      <c r="K816">
        <v>5.31</v>
      </c>
      <c r="L816">
        <v>1</v>
      </c>
      <c r="M816">
        <v>3.3258000000000001</v>
      </c>
      <c r="N816">
        <f>L816*F816</f>
        <v>0.45007999999999998</v>
      </c>
      <c r="O816">
        <f>L816*J816</f>
        <v>63.617251160000002</v>
      </c>
      <c r="P816">
        <f>M816-N816-H816</f>
        <v>0.60618000000000016</v>
      </c>
      <c r="Q816">
        <f>P816/O816</f>
        <v>9.5285475078989591E-3</v>
      </c>
      <c r="R816">
        <f>I816-G816</f>
        <v>29</v>
      </c>
      <c r="S816">
        <f>Q816/R816</f>
        <v>3.2857060372065374E-4</v>
      </c>
      <c r="T816">
        <f>S816*10000</f>
        <v>3.2857060372065376</v>
      </c>
    </row>
    <row r="817" spans="1:20" x14ac:dyDescent="0.3">
      <c r="A817" t="s">
        <v>57</v>
      </c>
      <c r="B817" t="s">
        <v>40</v>
      </c>
      <c r="C817">
        <v>2</v>
      </c>
      <c r="D817">
        <v>6</v>
      </c>
      <c r="E817" t="s">
        <v>24</v>
      </c>
      <c r="F817">
        <v>0.45639000000000002</v>
      </c>
      <c r="G817" s="1">
        <v>45964</v>
      </c>
      <c r="H817">
        <v>2.3043800000000001</v>
      </c>
      <c r="I817" s="1">
        <v>45993</v>
      </c>
      <c r="J817">
        <v>63.617251160000002</v>
      </c>
      <c r="K817">
        <v>5.31</v>
      </c>
      <c r="L817">
        <v>1</v>
      </c>
      <c r="M817">
        <v>3.50543</v>
      </c>
      <c r="N817">
        <f>L817*F817</f>
        <v>0.45639000000000002</v>
      </c>
      <c r="O817">
        <f>L817*J817</f>
        <v>63.617251160000002</v>
      </c>
      <c r="P817">
        <f>M817-N817-H817</f>
        <v>0.7446600000000001</v>
      </c>
      <c r="Q817">
        <f>P817/O817</f>
        <v>1.1705315561767194E-2</v>
      </c>
      <c r="R817">
        <f>I817-G817</f>
        <v>29</v>
      </c>
      <c r="S817">
        <f>Q817/R817</f>
        <v>4.0363157109542052E-4</v>
      </c>
      <c r="T817">
        <f>S817*10000</f>
        <v>4.0363157109542049</v>
      </c>
    </row>
    <row r="818" spans="1:20" x14ac:dyDescent="0.3">
      <c r="A818" t="s">
        <v>57</v>
      </c>
      <c r="B818" t="s">
        <v>40</v>
      </c>
      <c r="C818">
        <v>2</v>
      </c>
      <c r="D818">
        <v>12</v>
      </c>
      <c r="E818" t="s">
        <v>47</v>
      </c>
      <c r="F818">
        <v>0.45832000000000001</v>
      </c>
      <c r="G818" s="1">
        <v>45964</v>
      </c>
      <c r="H818">
        <v>2.31508</v>
      </c>
      <c r="I818" s="1">
        <v>45993</v>
      </c>
      <c r="J818">
        <v>63.617251160000002</v>
      </c>
      <c r="K818">
        <v>5.31</v>
      </c>
      <c r="L818">
        <v>1</v>
      </c>
      <c r="M818">
        <v>3.8319299999999998</v>
      </c>
      <c r="N818">
        <f>L818*F818</f>
        <v>0.45832000000000001</v>
      </c>
      <c r="O818">
        <f>L818*J818</f>
        <v>63.617251160000002</v>
      </c>
      <c r="P818">
        <f>M818-N818-H818</f>
        <v>1.0585299999999997</v>
      </c>
      <c r="Q818">
        <f>P818/O818</f>
        <v>1.6639040208413804E-2</v>
      </c>
      <c r="R818">
        <f>I818-G818</f>
        <v>29</v>
      </c>
      <c r="S818">
        <f>Q818/R818</f>
        <v>5.7376000718668287E-4</v>
      </c>
      <c r="T818">
        <f>S818*10000</f>
        <v>5.7376000718668285</v>
      </c>
    </row>
    <row r="819" spans="1:20" x14ac:dyDescent="0.3">
      <c r="A819" t="s">
        <v>57</v>
      </c>
      <c r="B819" t="s">
        <v>40</v>
      </c>
      <c r="C819">
        <v>2</v>
      </c>
      <c r="D819">
        <v>12</v>
      </c>
      <c r="E819" t="s">
        <v>23</v>
      </c>
      <c r="F819">
        <v>0.45473000000000002</v>
      </c>
      <c r="G819" s="1">
        <v>45964</v>
      </c>
      <c r="H819">
        <v>2.3369300000000002</v>
      </c>
      <c r="I819" s="1">
        <v>45993</v>
      </c>
      <c r="J819">
        <v>63.617251160000002</v>
      </c>
      <c r="K819">
        <v>5.31</v>
      </c>
      <c r="L819">
        <v>1</v>
      </c>
      <c r="M819">
        <v>3.4803099999999998</v>
      </c>
      <c r="N819">
        <f>L819*F819</f>
        <v>0.45473000000000002</v>
      </c>
      <c r="O819">
        <f>L819*J819</f>
        <v>63.617251160000002</v>
      </c>
      <c r="P819">
        <f>M819-N819-H819</f>
        <v>0.68864999999999954</v>
      </c>
      <c r="Q819">
        <f>P819/O819</f>
        <v>1.0824893994052282E-2</v>
      </c>
      <c r="R819">
        <f>I819-G819</f>
        <v>29</v>
      </c>
      <c r="S819">
        <f>Q819/R819</f>
        <v>3.7327220669145802E-4</v>
      </c>
      <c r="T819">
        <f>S819*10000</f>
        <v>3.73272206691458</v>
      </c>
    </row>
    <row r="820" spans="1:20" x14ac:dyDescent="0.3">
      <c r="A820" t="s">
        <v>57</v>
      </c>
      <c r="B820" t="s">
        <v>40</v>
      </c>
      <c r="C820">
        <v>2</v>
      </c>
      <c r="D820">
        <v>12</v>
      </c>
      <c r="E820" t="s">
        <v>24</v>
      </c>
      <c r="F820">
        <v>0.46193000000000001</v>
      </c>
      <c r="G820" s="1">
        <v>45964</v>
      </c>
      <c r="H820">
        <v>2.35337</v>
      </c>
      <c r="I820" s="1">
        <v>45993</v>
      </c>
      <c r="J820">
        <v>63.617251160000002</v>
      </c>
      <c r="K820">
        <v>5.31</v>
      </c>
      <c r="L820">
        <v>1</v>
      </c>
      <c r="M820">
        <v>3.6708400000000001</v>
      </c>
      <c r="N820">
        <f>L820*F820</f>
        <v>0.46193000000000001</v>
      </c>
      <c r="O820">
        <f>L820*J820</f>
        <v>63.617251160000002</v>
      </c>
      <c r="P820">
        <f>M820-N820-H820</f>
        <v>0.85553999999999997</v>
      </c>
      <c r="Q820">
        <f>P820/O820</f>
        <v>1.3448239029509177E-2</v>
      </c>
      <c r="R820">
        <f>I820-G820</f>
        <v>29</v>
      </c>
      <c r="S820">
        <f>Q820/R820</f>
        <v>4.6373238032790265E-4</v>
      </c>
      <c r="T820">
        <f>S820*10000</f>
        <v>4.6373238032790267</v>
      </c>
    </row>
    <row r="821" spans="1:20" x14ac:dyDescent="0.3">
      <c r="A821" t="s">
        <v>57</v>
      </c>
      <c r="B821" t="s">
        <v>40</v>
      </c>
      <c r="C821">
        <v>2</v>
      </c>
      <c r="D821">
        <v>18</v>
      </c>
      <c r="E821" t="s">
        <v>47</v>
      </c>
      <c r="F821">
        <v>0.45362000000000002</v>
      </c>
      <c r="G821" s="1">
        <v>45965</v>
      </c>
      <c r="H821">
        <v>2.3367399999999998</v>
      </c>
      <c r="I821" s="1">
        <v>46002</v>
      </c>
      <c r="J821">
        <v>63.617251160000002</v>
      </c>
      <c r="K821">
        <v>5.31</v>
      </c>
      <c r="L821">
        <v>1</v>
      </c>
      <c r="M821">
        <v>3.58304</v>
      </c>
      <c r="N821">
        <f>L821*F821</f>
        <v>0.45362000000000002</v>
      </c>
      <c r="O821">
        <f>L821*J821</f>
        <v>63.617251160000002</v>
      </c>
      <c r="P821">
        <f>M821-N821-H821</f>
        <v>0.79268000000000027</v>
      </c>
      <c r="Q821">
        <f>P821/O821</f>
        <v>1.24601422655999E-2</v>
      </c>
      <c r="R821">
        <f>I821-G821</f>
        <v>37</v>
      </c>
      <c r="S821">
        <f>Q821/R821</f>
        <v>3.3676060177297029E-4</v>
      </c>
      <c r="T821">
        <f>S821*10000</f>
        <v>3.3676060177297029</v>
      </c>
    </row>
    <row r="822" spans="1:20" x14ac:dyDescent="0.3">
      <c r="A822" t="s">
        <v>57</v>
      </c>
      <c r="B822" t="s">
        <v>40</v>
      </c>
      <c r="C822">
        <v>2</v>
      </c>
      <c r="D822">
        <v>18</v>
      </c>
      <c r="E822" t="s">
        <v>23</v>
      </c>
      <c r="F822">
        <v>0.45881</v>
      </c>
      <c r="G822" s="1">
        <v>45965</v>
      </c>
      <c r="H822">
        <v>2.3231899999999999</v>
      </c>
      <c r="I822" s="1">
        <v>46002</v>
      </c>
      <c r="J822">
        <v>63.617251160000002</v>
      </c>
      <c r="K822">
        <v>5.31</v>
      </c>
      <c r="L822">
        <v>1</v>
      </c>
      <c r="M822">
        <v>3.5847600000000002</v>
      </c>
      <c r="N822">
        <f>L822*F822</f>
        <v>0.45881</v>
      </c>
      <c r="O822">
        <f>L822*J822</f>
        <v>63.617251160000002</v>
      </c>
      <c r="P822">
        <f>M822-N822-H822</f>
        <v>0.80276000000000014</v>
      </c>
      <c r="Q822">
        <f>P822/O822</f>
        <v>1.2618589853576442E-2</v>
      </c>
      <c r="R822">
        <f>I822-G822</f>
        <v>37</v>
      </c>
      <c r="S822">
        <f>Q822/R822</f>
        <v>3.4104296901557948E-4</v>
      </c>
      <c r="T822">
        <f>S822*10000</f>
        <v>3.4104296901557949</v>
      </c>
    </row>
    <row r="823" spans="1:20" x14ac:dyDescent="0.3">
      <c r="A823" t="s">
        <v>57</v>
      </c>
      <c r="B823" t="s">
        <v>40</v>
      </c>
      <c r="C823">
        <v>2</v>
      </c>
      <c r="D823">
        <v>18</v>
      </c>
      <c r="E823" t="s">
        <v>24</v>
      </c>
      <c r="F823">
        <v>0.45307999999999998</v>
      </c>
      <c r="G823" s="1">
        <v>45965</v>
      </c>
      <c r="H823">
        <v>2.2966099999999998</v>
      </c>
      <c r="I823" s="1">
        <v>46002</v>
      </c>
      <c r="J823">
        <v>63.617251160000002</v>
      </c>
      <c r="K823">
        <v>5.31</v>
      </c>
      <c r="L823">
        <v>1</v>
      </c>
      <c r="M823">
        <v>3.1964999999999999</v>
      </c>
      <c r="N823">
        <f>L823*F823</f>
        <v>0.45307999999999998</v>
      </c>
      <c r="O823">
        <f>L823*J823</f>
        <v>63.617251160000002</v>
      </c>
      <c r="P823">
        <f>M823-N823-H823</f>
        <v>0.44681000000000015</v>
      </c>
      <c r="Q823">
        <f>P823/O823</f>
        <v>7.0234094031547296E-3</v>
      </c>
      <c r="R823">
        <f>I823-G823</f>
        <v>37</v>
      </c>
      <c r="S823">
        <f>Q823/R823</f>
        <v>1.8982187576093863E-4</v>
      </c>
      <c r="T823">
        <f>S823*10000</f>
        <v>1.8982187576093863</v>
      </c>
    </row>
    <row r="824" spans="1:20" x14ac:dyDescent="0.3">
      <c r="A824" t="s">
        <v>57</v>
      </c>
      <c r="B824" t="s">
        <v>40</v>
      </c>
      <c r="C824">
        <v>2</v>
      </c>
      <c r="D824">
        <v>24</v>
      </c>
      <c r="E824" t="s">
        <v>22</v>
      </c>
      <c r="F824">
        <v>0.45448</v>
      </c>
      <c r="G824" s="1">
        <v>45964</v>
      </c>
      <c r="H824">
        <v>2.3195100000000002</v>
      </c>
      <c r="I824" s="1">
        <v>45993</v>
      </c>
      <c r="J824">
        <v>63.617251160000002</v>
      </c>
      <c r="K824">
        <v>5.31</v>
      </c>
      <c r="L824">
        <v>1</v>
      </c>
      <c r="M824">
        <v>7.3020899999999997</v>
      </c>
      <c r="N824">
        <f>L824*F824</f>
        <v>0.45448</v>
      </c>
      <c r="O824">
        <f>L824*J824</f>
        <v>63.617251160000002</v>
      </c>
      <c r="P824">
        <f>M824-N824-H824</f>
        <v>4.5280999999999993</v>
      </c>
      <c r="Q824">
        <f>P824/O824</f>
        <v>7.1177234436169551E-2</v>
      </c>
      <c r="R824">
        <f>I824-G824</f>
        <v>29</v>
      </c>
      <c r="S824">
        <f>Q824/R824</f>
        <v>2.4543873943506742E-3</v>
      </c>
      <c r="T824">
        <f>S824*10000</f>
        <v>24.543873943506743</v>
      </c>
    </row>
    <row r="825" spans="1:20" x14ac:dyDescent="0.3">
      <c r="A825" t="s">
        <v>57</v>
      </c>
      <c r="B825" t="s">
        <v>40</v>
      </c>
      <c r="C825">
        <v>2</v>
      </c>
      <c r="D825">
        <v>24</v>
      </c>
      <c r="E825" t="s">
        <v>23</v>
      </c>
      <c r="F825">
        <v>0.46167999999999998</v>
      </c>
      <c r="G825" s="1">
        <v>45964</v>
      </c>
      <c r="H825">
        <v>2.28851</v>
      </c>
      <c r="I825" s="1">
        <v>45993</v>
      </c>
      <c r="J825">
        <v>63.617251160000002</v>
      </c>
      <c r="K825">
        <v>5.31</v>
      </c>
      <c r="L825">
        <v>1</v>
      </c>
      <c r="M825">
        <v>8.0468499999999992</v>
      </c>
      <c r="N825">
        <f>L825*F825</f>
        <v>0.46167999999999998</v>
      </c>
      <c r="O825">
        <f>L825*J825</f>
        <v>63.617251160000002</v>
      </c>
      <c r="P825">
        <f>M825-N825-H825</f>
        <v>5.2966599999999993</v>
      </c>
      <c r="Q825">
        <f>P825/O825</f>
        <v>8.3258234259111288E-2</v>
      </c>
      <c r="R825">
        <f>I825-G825</f>
        <v>29</v>
      </c>
      <c r="S825">
        <f>Q825/R825</f>
        <v>2.8709735951417685E-3</v>
      </c>
      <c r="T825">
        <f>S825*10000</f>
        <v>28.709735951417684</v>
      </c>
    </row>
    <row r="826" spans="1:20" x14ac:dyDescent="0.3">
      <c r="A826" t="s">
        <v>57</v>
      </c>
      <c r="B826" t="s">
        <v>40</v>
      </c>
      <c r="C826">
        <v>2</v>
      </c>
      <c r="D826">
        <v>24</v>
      </c>
      <c r="E826" t="s">
        <v>24</v>
      </c>
      <c r="F826">
        <v>0.45529999999999998</v>
      </c>
      <c r="G826" s="1">
        <v>45964</v>
      </c>
      <c r="H826">
        <v>2.2891699999999999</v>
      </c>
      <c r="I826" s="1">
        <v>45993</v>
      </c>
      <c r="J826">
        <v>63.617251160000002</v>
      </c>
      <c r="K826">
        <v>5.31</v>
      </c>
      <c r="L826">
        <v>1</v>
      </c>
      <c r="M826">
        <v>7.3820699999999997</v>
      </c>
      <c r="N826">
        <f>L826*F826</f>
        <v>0.45529999999999998</v>
      </c>
      <c r="O826">
        <f>L826*J826</f>
        <v>63.617251160000002</v>
      </c>
      <c r="P826">
        <f>M826-N826-H826</f>
        <v>4.6375999999999991</v>
      </c>
      <c r="Q826">
        <f>P826/O826</f>
        <v>7.2898465674605215E-2</v>
      </c>
      <c r="R826">
        <f>I826-G826</f>
        <v>29</v>
      </c>
      <c r="S826">
        <f>Q826/R826</f>
        <v>2.5137401956760418E-3</v>
      </c>
      <c r="T826">
        <f>S826*10000</f>
        <v>25.137401956760417</v>
      </c>
    </row>
    <row r="827" spans="1:20" x14ac:dyDescent="0.3">
      <c r="A827" t="s">
        <v>57</v>
      </c>
      <c r="B827" t="s">
        <v>40</v>
      </c>
      <c r="C827">
        <v>2</v>
      </c>
      <c r="D827">
        <v>48</v>
      </c>
      <c r="E827" t="s">
        <v>47</v>
      </c>
      <c r="F827">
        <v>0.44769999999999999</v>
      </c>
      <c r="G827" s="1">
        <v>45964</v>
      </c>
      <c r="H827">
        <v>2.3035899999999998</v>
      </c>
      <c r="I827" s="1">
        <v>45993</v>
      </c>
      <c r="J827">
        <v>63.617251160000002</v>
      </c>
      <c r="K827">
        <v>5.31</v>
      </c>
      <c r="L827">
        <v>1</v>
      </c>
      <c r="M827">
        <v>3.4618099999999998</v>
      </c>
      <c r="N827">
        <f>L827*F827</f>
        <v>0.44769999999999999</v>
      </c>
      <c r="O827">
        <f>L827*J827</f>
        <v>63.617251160000002</v>
      </c>
      <c r="P827">
        <f>M827-N827-H827</f>
        <v>0.71051999999999982</v>
      </c>
      <c r="Q827">
        <f>P827/O827</f>
        <v>1.1168668671537109E-2</v>
      </c>
      <c r="R827">
        <f>I827-G827</f>
        <v>29</v>
      </c>
      <c r="S827">
        <f>Q827/R827</f>
        <v>3.8512650591507271E-4</v>
      </c>
      <c r="T827">
        <f>S827*10000</f>
        <v>3.8512650591507271</v>
      </c>
    </row>
    <row r="828" spans="1:20" x14ac:dyDescent="0.3">
      <c r="A828" t="s">
        <v>57</v>
      </c>
      <c r="B828" t="s">
        <v>40</v>
      </c>
      <c r="C828">
        <v>2</v>
      </c>
      <c r="D828">
        <v>48</v>
      </c>
      <c r="E828" t="s">
        <v>23</v>
      </c>
      <c r="F828">
        <v>0.46196999999999999</v>
      </c>
      <c r="G828" s="1">
        <v>45964</v>
      </c>
      <c r="H828">
        <v>2.1191900000000001</v>
      </c>
      <c r="I828" s="1">
        <v>45993</v>
      </c>
      <c r="J828">
        <v>63.617251160000002</v>
      </c>
      <c r="K828">
        <v>5.31</v>
      </c>
      <c r="L828">
        <v>1</v>
      </c>
      <c r="M828">
        <v>4.6561500000000002</v>
      </c>
      <c r="N828">
        <f>L828*F828</f>
        <v>0.46196999999999999</v>
      </c>
      <c r="O828">
        <f>L828*J828</f>
        <v>63.617251160000002</v>
      </c>
      <c r="P828">
        <f>M828-N828-H828</f>
        <v>2.0749900000000001</v>
      </c>
      <c r="Q828">
        <f>P828/O828</f>
        <v>3.2616781803119957E-2</v>
      </c>
      <c r="R828">
        <f>I828-G828</f>
        <v>29</v>
      </c>
      <c r="S828">
        <f>Q828/R828</f>
        <v>1.1247166139006881E-3</v>
      </c>
      <c r="T828">
        <f>S828*10000</f>
        <v>11.247166139006881</v>
      </c>
    </row>
    <row r="829" spans="1:20" x14ac:dyDescent="0.3">
      <c r="A829" t="s">
        <v>57</v>
      </c>
      <c r="B829" t="s">
        <v>40</v>
      </c>
      <c r="C829">
        <v>2</v>
      </c>
      <c r="D829">
        <v>48</v>
      </c>
      <c r="E829" t="s">
        <v>24</v>
      </c>
      <c r="F829">
        <v>0.44786999999999999</v>
      </c>
      <c r="G829" s="1">
        <v>45964</v>
      </c>
      <c r="H829">
        <v>2.3075700000000001</v>
      </c>
      <c r="I829" s="1">
        <v>45993</v>
      </c>
      <c r="J829">
        <v>63.617251160000002</v>
      </c>
      <c r="K829">
        <v>5.31</v>
      </c>
      <c r="L829">
        <v>1</v>
      </c>
      <c r="M829">
        <v>5.1580399999999997</v>
      </c>
      <c r="N829">
        <f>L829*F829</f>
        <v>0.44786999999999999</v>
      </c>
      <c r="O829">
        <f>L829*J829</f>
        <v>63.617251160000002</v>
      </c>
      <c r="P829">
        <f>M829-N829-H829</f>
        <v>2.4025999999999996</v>
      </c>
      <c r="Q829">
        <f>P829/O829</f>
        <v>3.7766485602425071E-2</v>
      </c>
      <c r="R829">
        <f>I829-G829</f>
        <v>29</v>
      </c>
      <c r="S829">
        <f>Q829/R829</f>
        <v>1.3022926069801749E-3</v>
      </c>
      <c r="T829">
        <f>S829*10000</f>
        <v>13.022926069801748</v>
      </c>
    </row>
    <row r="830" spans="1:20" x14ac:dyDescent="0.3">
      <c r="A830" t="s">
        <v>57</v>
      </c>
      <c r="B830" t="s">
        <v>40</v>
      </c>
      <c r="E830" t="s">
        <v>48</v>
      </c>
      <c r="F830">
        <v>0.45822000000000002</v>
      </c>
      <c r="G830" t="s">
        <v>27</v>
      </c>
      <c r="H830">
        <v>2.3247499999999999</v>
      </c>
      <c r="I830" t="s">
        <v>27</v>
      </c>
      <c r="J830">
        <v>63.617251160000002</v>
      </c>
      <c r="K830">
        <v>5.31</v>
      </c>
      <c r="L830" t="s">
        <v>27</v>
      </c>
      <c r="N830" t="e">
        <f>L830*F830</f>
        <v>#VALUE!</v>
      </c>
      <c r="O830" t="e">
        <f>L830*J830</f>
        <v>#VALUE!</v>
      </c>
      <c r="P830" t="e">
        <f>M830-N830-H830</f>
        <v>#VALUE!</v>
      </c>
      <c r="Q830" t="e">
        <f>P830/O830</f>
        <v>#VALUE!</v>
      </c>
      <c r="R830" t="e">
        <f>I830-G830</f>
        <v>#VALUE!</v>
      </c>
      <c r="S830" t="e">
        <f>Q830/R830</f>
        <v>#VALUE!</v>
      </c>
      <c r="T830" t="e">
        <f>S830*10000</f>
        <v>#VALUE!</v>
      </c>
    </row>
    <row r="831" spans="1:20" x14ac:dyDescent="0.3">
      <c r="A831" t="s">
        <v>57</v>
      </c>
      <c r="B831" t="s">
        <v>40</v>
      </c>
      <c r="E831" t="s">
        <v>49</v>
      </c>
      <c r="F831">
        <v>0.44674000000000003</v>
      </c>
      <c r="G831" t="s">
        <v>27</v>
      </c>
      <c r="H831">
        <v>2.3230400000000002</v>
      </c>
      <c r="I831" t="s">
        <v>27</v>
      </c>
      <c r="J831">
        <v>63.617251160000002</v>
      </c>
      <c r="K831">
        <v>5.31</v>
      </c>
      <c r="L831" t="s">
        <v>27</v>
      </c>
      <c r="N831" t="e">
        <f>L831*F831</f>
        <v>#VALUE!</v>
      </c>
      <c r="O831" t="e">
        <f>L831*J831</f>
        <v>#VALUE!</v>
      </c>
      <c r="P831" t="e">
        <f>M831-N831-H831</f>
        <v>#VALUE!</v>
      </c>
      <c r="Q831" t="e">
        <f>P831/O831</f>
        <v>#VALUE!</v>
      </c>
      <c r="R831" t="e">
        <f>I831-G831</f>
        <v>#VALUE!</v>
      </c>
      <c r="S831" t="e">
        <f>Q831/R831</f>
        <v>#VALUE!</v>
      </c>
      <c r="T831" t="e">
        <f>S831*10000</f>
        <v>#VALUE!</v>
      </c>
    </row>
    <row r="832" spans="1:20" x14ac:dyDescent="0.3">
      <c r="A832" t="s">
        <v>57</v>
      </c>
      <c r="B832" t="s">
        <v>40</v>
      </c>
      <c r="E832" t="s">
        <v>50</v>
      </c>
      <c r="F832">
        <v>0.45945999999999998</v>
      </c>
      <c r="G832" t="s">
        <v>27</v>
      </c>
      <c r="H832">
        <v>2.2883800000000001</v>
      </c>
      <c r="I832" t="s">
        <v>27</v>
      </c>
      <c r="J832">
        <v>63.617251160000002</v>
      </c>
      <c r="K832">
        <v>5.31</v>
      </c>
      <c r="L832" t="s">
        <v>27</v>
      </c>
      <c r="N832" t="e">
        <f>L832*F832</f>
        <v>#VALUE!</v>
      </c>
      <c r="O832" t="e">
        <f>L832*J832</f>
        <v>#VALUE!</v>
      </c>
      <c r="P832" t="e">
        <f>M832-N832-H832</f>
        <v>#VALUE!</v>
      </c>
      <c r="Q832" t="e">
        <f>P832/O832</f>
        <v>#VALUE!</v>
      </c>
      <c r="R832" t="e">
        <f>I832-G832</f>
        <v>#VALUE!</v>
      </c>
      <c r="S832" t="e">
        <f>Q832/R832</f>
        <v>#VALUE!</v>
      </c>
      <c r="T832" t="e">
        <f>S832*10000</f>
        <v>#VALUE!</v>
      </c>
    </row>
    <row r="833" spans="1:20" x14ac:dyDescent="0.3">
      <c r="A833" t="s">
        <v>57</v>
      </c>
      <c r="B833" t="s">
        <v>40</v>
      </c>
      <c r="E833" t="s">
        <v>51</v>
      </c>
      <c r="F833" t="s">
        <v>27</v>
      </c>
      <c r="G833" t="s">
        <v>27</v>
      </c>
      <c r="H833">
        <v>2.2808000000000002</v>
      </c>
      <c r="I833" t="s">
        <v>27</v>
      </c>
      <c r="J833">
        <v>63.617251160000002</v>
      </c>
      <c r="K833">
        <v>5.31</v>
      </c>
      <c r="L833" t="s">
        <v>27</v>
      </c>
      <c r="N833" t="e">
        <f>L833*F833</f>
        <v>#VALUE!</v>
      </c>
      <c r="O833" t="e">
        <f>L833*J833</f>
        <v>#VALUE!</v>
      </c>
      <c r="P833" t="e">
        <f>M833-N833-H833</f>
        <v>#VALUE!</v>
      </c>
      <c r="Q833" t="e">
        <f>P833/O833</f>
        <v>#VALUE!</v>
      </c>
      <c r="R833" t="e">
        <f>I833-G833</f>
        <v>#VALUE!</v>
      </c>
      <c r="S833" t="e">
        <f>Q833/R833</f>
        <v>#VALUE!</v>
      </c>
      <c r="T833" t="e">
        <f>S833*10000</f>
        <v>#VALUE!</v>
      </c>
    </row>
    <row r="834" spans="1:20" x14ac:dyDescent="0.3">
      <c r="A834" t="s">
        <v>56</v>
      </c>
      <c r="B834" t="s">
        <v>44</v>
      </c>
      <c r="C834">
        <v>1</v>
      </c>
      <c r="D834">
        <v>0.5</v>
      </c>
      <c r="E834" t="s">
        <v>22</v>
      </c>
      <c r="F834">
        <v>4.5038999999999998</v>
      </c>
      <c r="G834" s="1">
        <v>45976</v>
      </c>
      <c r="H834">
        <v>2.2604099999999998</v>
      </c>
      <c r="I834" s="1">
        <v>46003</v>
      </c>
      <c r="J834">
        <v>63.617251160000002</v>
      </c>
      <c r="K834">
        <v>5.31</v>
      </c>
      <c r="L834">
        <v>1</v>
      </c>
      <c r="M834">
        <v>7.1741200000000003</v>
      </c>
      <c r="N834">
        <f>L834*F834</f>
        <v>4.5038999999999998</v>
      </c>
      <c r="O834">
        <f>L834*J834</f>
        <v>63.617251160000002</v>
      </c>
      <c r="P834">
        <f>M834-N834-H834</f>
        <v>0.40981000000000067</v>
      </c>
      <c r="Q834">
        <f>P834/O834</f>
        <v>6.4418061536376612E-3</v>
      </c>
      <c r="R834">
        <f>I834-G834</f>
        <v>27</v>
      </c>
      <c r="S834">
        <f>Q834/R834</f>
        <v>2.3858541309769115E-4</v>
      </c>
      <c r="T834">
        <f>S834*10000</f>
        <v>2.3858541309769117</v>
      </c>
    </row>
    <row r="835" spans="1:20" x14ac:dyDescent="0.3">
      <c r="A835" t="s">
        <v>58</v>
      </c>
      <c r="B835" t="s">
        <v>44</v>
      </c>
      <c r="C835">
        <v>1</v>
      </c>
      <c r="D835">
        <v>0.5</v>
      </c>
      <c r="E835" t="s">
        <v>22</v>
      </c>
      <c r="F835">
        <v>4.4611999999999998</v>
      </c>
      <c r="G835" s="1">
        <v>46003</v>
      </c>
      <c r="H835">
        <v>2.3244199999999999</v>
      </c>
      <c r="I835" s="1">
        <v>46044</v>
      </c>
      <c r="J835">
        <v>63.617251160000002</v>
      </c>
      <c r="K835">
        <v>5.31</v>
      </c>
      <c r="L835">
        <v>1</v>
      </c>
      <c r="M835">
        <v>7.2574300000000003</v>
      </c>
      <c r="N835">
        <f>L835*F835</f>
        <v>4.4611999999999998</v>
      </c>
      <c r="O835">
        <f>L835*J835</f>
        <v>63.617251160000002</v>
      </c>
      <c r="P835">
        <f>M835-N835-H835</f>
        <v>0.47181000000000051</v>
      </c>
      <c r="Q835">
        <f>P835/O835</f>
        <v>7.4163845717473541E-3</v>
      </c>
      <c r="R835">
        <f>I835-G835</f>
        <v>41</v>
      </c>
      <c r="S835">
        <f>Q835/R835</f>
        <v>1.8088742857920375E-4</v>
      </c>
      <c r="T835">
        <f>S835*10000</f>
        <v>1.8088742857920375</v>
      </c>
    </row>
    <row r="836" spans="1:20" x14ac:dyDescent="0.3">
      <c r="A836" t="s">
        <v>58</v>
      </c>
      <c r="B836" t="s">
        <v>44</v>
      </c>
      <c r="C836">
        <v>1</v>
      </c>
      <c r="D836">
        <v>0.5</v>
      </c>
      <c r="E836" t="s">
        <v>23</v>
      </c>
      <c r="F836">
        <v>4.4321599999999997</v>
      </c>
      <c r="G836" s="1">
        <v>46003</v>
      </c>
      <c r="H836">
        <v>2.3408500000000001</v>
      </c>
      <c r="I836" s="1">
        <v>46044</v>
      </c>
      <c r="J836">
        <v>63.617251160000002</v>
      </c>
      <c r="K836">
        <v>5.31</v>
      </c>
      <c r="L836">
        <v>1</v>
      </c>
      <c r="M836">
        <v>6.9803699999999997</v>
      </c>
      <c r="N836">
        <f>L836*F836</f>
        <v>4.4321599999999997</v>
      </c>
      <c r="O836">
        <f>L836*J836</f>
        <v>63.617251160000002</v>
      </c>
      <c r="P836">
        <f>M836-N836-H836</f>
        <v>0.20735999999999999</v>
      </c>
      <c r="Q836">
        <f>P836/O836</f>
        <v>3.2594932383746204E-3</v>
      </c>
      <c r="R836">
        <f>I836-G836</f>
        <v>41</v>
      </c>
      <c r="S836">
        <f>Q836/R836</f>
        <v>7.9499835082307821E-5</v>
      </c>
      <c r="T836">
        <f>S836*10000</f>
        <v>0.79499835082307824</v>
      </c>
    </row>
    <row r="837" spans="1:20" x14ac:dyDescent="0.3">
      <c r="A837" t="s">
        <v>58</v>
      </c>
      <c r="B837" t="s">
        <v>44</v>
      </c>
      <c r="C837">
        <v>1</v>
      </c>
      <c r="D837">
        <v>0.5</v>
      </c>
      <c r="E837" t="s">
        <v>24</v>
      </c>
      <c r="F837">
        <v>4.48353</v>
      </c>
      <c r="G837" s="1">
        <v>46003</v>
      </c>
      <c r="H837">
        <v>2.3179500000000002</v>
      </c>
      <c r="I837" s="1">
        <v>46044</v>
      </c>
      <c r="J837">
        <v>63.617251160000002</v>
      </c>
      <c r="K837">
        <v>5.31</v>
      </c>
      <c r="L837">
        <v>1</v>
      </c>
      <c r="M837">
        <v>6.9737600000000004</v>
      </c>
      <c r="N837">
        <f>L837*F837</f>
        <v>4.48353</v>
      </c>
      <c r="O837">
        <f>L837*J837</f>
        <v>63.617251160000002</v>
      </c>
      <c r="P837">
        <f>M837-N837-H837</f>
        <v>0.17228000000000021</v>
      </c>
      <c r="Q837">
        <f>P837/O837</f>
        <v>2.7080704818054609E-3</v>
      </c>
      <c r="R837">
        <f>I837-G837</f>
        <v>41</v>
      </c>
      <c r="S837">
        <f>Q837/R837</f>
        <v>6.6050499556230752E-5</v>
      </c>
      <c r="T837">
        <f>S837*10000</f>
        <v>0.66050499556230757</v>
      </c>
    </row>
    <row r="838" spans="1:20" x14ac:dyDescent="0.3">
      <c r="A838" t="s">
        <v>58</v>
      </c>
      <c r="B838" t="s">
        <v>44</v>
      </c>
      <c r="C838">
        <v>1</v>
      </c>
      <c r="D838">
        <v>2</v>
      </c>
      <c r="E838" t="s">
        <v>22</v>
      </c>
      <c r="F838">
        <v>4.3726599999999998</v>
      </c>
      <c r="G838" s="1">
        <v>46003</v>
      </c>
      <c r="H838">
        <v>2.3355199999999998</v>
      </c>
      <c r="I838" s="1">
        <v>46044</v>
      </c>
      <c r="J838">
        <v>63.617251160000002</v>
      </c>
      <c r="K838">
        <v>5.31</v>
      </c>
      <c r="L838">
        <v>1</v>
      </c>
      <c r="M838">
        <v>6.8463599999999998</v>
      </c>
      <c r="N838">
        <f>L838*F838</f>
        <v>4.3726599999999998</v>
      </c>
      <c r="O838">
        <f>L838*J838</f>
        <v>63.617251160000002</v>
      </c>
      <c r="P838">
        <f>M838-N838-H838</f>
        <v>0.13818000000000019</v>
      </c>
      <c r="Q838">
        <f>P838/O838</f>
        <v>2.172052351845128E-3</v>
      </c>
      <c r="R838">
        <f>I838-G838</f>
        <v>41</v>
      </c>
      <c r="S838">
        <f>Q838/R838</f>
        <v>5.2976886630368973E-5</v>
      </c>
      <c r="T838">
        <f>S838*10000</f>
        <v>0.52976886630368969</v>
      </c>
    </row>
    <row r="839" spans="1:20" x14ac:dyDescent="0.3">
      <c r="A839" t="s">
        <v>58</v>
      </c>
      <c r="B839" t="s">
        <v>44</v>
      </c>
      <c r="C839">
        <v>1</v>
      </c>
      <c r="D839">
        <v>2</v>
      </c>
      <c r="E839" t="s">
        <v>23</v>
      </c>
      <c r="F839">
        <v>4.5459399999999999</v>
      </c>
      <c r="G839" s="1">
        <v>46003</v>
      </c>
      <c r="H839">
        <v>2.7172499999999999</v>
      </c>
      <c r="I839" s="1">
        <v>46044</v>
      </c>
      <c r="J839">
        <v>63.617251160000002</v>
      </c>
      <c r="K839">
        <v>5.31</v>
      </c>
      <c r="L839">
        <v>1</v>
      </c>
      <c r="M839">
        <v>7.4043400000000004</v>
      </c>
      <c r="N839">
        <f>L839*F839</f>
        <v>4.5459399999999999</v>
      </c>
      <c r="O839">
        <f>L839*J839</f>
        <v>63.617251160000002</v>
      </c>
      <c r="P839">
        <f>M839-N839-H839</f>
        <v>0.14115000000000055</v>
      </c>
      <c r="Q839">
        <f>P839/O839</f>
        <v>2.2187378018739367E-3</v>
      </c>
      <c r="R839">
        <f>I839-G839</f>
        <v>41</v>
      </c>
      <c r="S839">
        <f>Q839/R839</f>
        <v>5.4115556143266753E-5</v>
      </c>
      <c r="T839">
        <f>S839*10000</f>
        <v>0.54115556143266752</v>
      </c>
    </row>
    <row r="840" spans="1:20" x14ac:dyDescent="0.3">
      <c r="A840" t="s">
        <v>58</v>
      </c>
      <c r="B840" t="s">
        <v>44</v>
      </c>
      <c r="C840">
        <v>1</v>
      </c>
      <c r="D840">
        <v>2</v>
      </c>
      <c r="E840" t="s">
        <v>24</v>
      </c>
      <c r="F840">
        <v>4.4588700000000001</v>
      </c>
      <c r="G840" s="1">
        <v>46003</v>
      </c>
      <c r="H840">
        <v>2.28525</v>
      </c>
      <c r="I840" s="1">
        <v>46044</v>
      </c>
      <c r="J840">
        <v>63.617251160000002</v>
      </c>
      <c r="K840">
        <v>5.31</v>
      </c>
      <c r="L840">
        <v>1</v>
      </c>
      <c r="M840">
        <v>6.96347</v>
      </c>
      <c r="N840">
        <f>L840*F840</f>
        <v>4.4588700000000001</v>
      </c>
      <c r="O840">
        <f>L840*J840</f>
        <v>63.617251160000002</v>
      </c>
      <c r="P840">
        <f>M840-N840-H840</f>
        <v>0.21934999999999993</v>
      </c>
      <c r="Q840">
        <f>P840/O840</f>
        <v>3.4479641292316397E-3</v>
      </c>
      <c r="R840">
        <f>I840-G840</f>
        <v>41</v>
      </c>
      <c r="S840">
        <f>Q840/R840</f>
        <v>8.4096686078820481E-5</v>
      </c>
      <c r="T840">
        <f>S840*10000</f>
        <v>0.84096686078820482</v>
      </c>
    </row>
    <row r="841" spans="1:20" x14ac:dyDescent="0.3">
      <c r="A841" t="s">
        <v>58</v>
      </c>
      <c r="B841" t="s">
        <v>44</v>
      </c>
      <c r="C841">
        <v>1</v>
      </c>
      <c r="D841">
        <v>6</v>
      </c>
      <c r="E841" t="s">
        <v>22</v>
      </c>
      <c r="F841">
        <v>0.45229999999999998</v>
      </c>
      <c r="G841" s="1">
        <v>46003</v>
      </c>
      <c r="H841">
        <v>2.3343500000000001</v>
      </c>
      <c r="I841" s="1">
        <v>46044</v>
      </c>
      <c r="J841">
        <v>63.617251160000002</v>
      </c>
      <c r="K841">
        <v>5.31</v>
      </c>
      <c r="L841">
        <v>1</v>
      </c>
      <c r="M841">
        <v>3.52427</v>
      </c>
      <c r="N841">
        <f>L841*F841</f>
        <v>0.45229999999999998</v>
      </c>
      <c r="O841">
        <f>L841*J841</f>
        <v>63.617251160000002</v>
      </c>
      <c r="P841">
        <f>M841-N841-H841</f>
        <v>0.73761999999999972</v>
      </c>
      <c r="Q841">
        <f>P841/O841</f>
        <v>1.1594653754291506E-2</v>
      </c>
      <c r="R841">
        <f>I841-G841</f>
        <v>41</v>
      </c>
      <c r="S841">
        <f>Q841/R841</f>
        <v>2.8279643303150012E-4</v>
      </c>
      <c r="T841">
        <f>S841*10000</f>
        <v>2.8279643303150013</v>
      </c>
    </row>
    <row r="842" spans="1:20" x14ac:dyDescent="0.3">
      <c r="A842" t="s">
        <v>58</v>
      </c>
      <c r="B842" t="s">
        <v>44</v>
      </c>
      <c r="C842">
        <v>1</v>
      </c>
      <c r="D842">
        <v>6</v>
      </c>
      <c r="E842" t="s">
        <v>23</v>
      </c>
      <c r="F842">
        <v>0.45145000000000002</v>
      </c>
      <c r="G842" s="1">
        <v>46003</v>
      </c>
      <c r="H842">
        <v>2.3875299999999999</v>
      </c>
      <c r="I842" s="1">
        <v>46044</v>
      </c>
      <c r="J842">
        <v>63.617251160000002</v>
      </c>
      <c r="K842">
        <v>5.31</v>
      </c>
      <c r="L842">
        <v>1</v>
      </c>
      <c r="M842">
        <v>3.6115699999999999</v>
      </c>
      <c r="N842">
        <f>L842*F842</f>
        <v>0.45145000000000002</v>
      </c>
      <c r="O842">
        <f>L842*J842</f>
        <v>63.617251160000002</v>
      </c>
      <c r="P842">
        <f>M842-N842-H842</f>
        <v>0.77259000000000011</v>
      </c>
      <c r="Q842">
        <f>P842/O842</f>
        <v>1.2144347420118868E-2</v>
      </c>
      <c r="R842">
        <f>I842-G842</f>
        <v>41</v>
      </c>
      <c r="S842">
        <f>Q842/R842</f>
        <v>2.9620359561265532E-4</v>
      </c>
      <c r="T842">
        <f>S842*10000</f>
        <v>2.9620359561265532</v>
      </c>
    </row>
    <row r="843" spans="1:20" x14ac:dyDescent="0.3">
      <c r="A843" t="s">
        <v>58</v>
      </c>
      <c r="B843" t="s">
        <v>44</v>
      </c>
      <c r="C843">
        <v>1</v>
      </c>
      <c r="D843">
        <v>6</v>
      </c>
      <c r="E843" t="s">
        <v>24</v>
      </c>
      <c r="F843">
        <v>0.45280999999999999</v>
      </c>
      <c r="G843" s="1">
        <v>46003</v>
      </c>
      <c r="H843">
        <v>2.2775699999999999</v>
      </c>
      <c r="I843" s="1">
        <v>46044</v>
      </c>
      <c r="J843">
        <v>63.617251160000002</v>
      </c>
      <c r="K843">
        <v>5.31</v>
      </c>
      <c r="L843">
        <v>1</v>
      </c>
      <c r="M843">
        <v>3.6122999999999998</v>
      </c>
      <c r="N843">
        <f>L843*F843</f>
        <v>0.45280999999999999</v>
      </c>
      <c r="O843">
        <f>L843*J843</f>
        <v>63.617251160000002</v>
      </c>
      <c r="P843">
        <f>M843-N843-H843</f>
        <v>0.88192000000000004</v>
      </c>
      <c r="Q843">
        <f>P843/O843</f>
        <v>1.386290642740811E-2</v>
      </c>
      <c r="R843">
        <f>I843-G843</f>
        <v>41</v>
      </c>
      <c r="S843">
        <f>Q843/R843</f>
        <v>3.3811966896117341E-4</v>
      </c>
      <c r="T843">
        <f>S843*10000</f>
        <v>3.381196689611734</v>
      </c>
    </row>
    <row r="844" spans="1:20" x14ac:dyDescent="0.3">
      <c r="A844" t="s">
        <v>58</v>
      </c>
      <c r="B844" t="s">
        <v>44</v>
      </c>
      <c r="C844">
        <v>1</v>
      </c>
      <c r="D844">
        <v>12</v>
      </c>
      <c r="E844" t="s">
        <v>22</v>
      </c>
      <c r="F844">
        <v>0.45100000000000001</v>
      </c>
      <c r="G844" s="1">
        <v>46003</v>
      </c>
      <c r="H844">
        <v>2.3199399999999999</v>
      </c>
      <c r="I844" s="1">
        <v>46044</v>
      </c>
      <c r="J844">
        <v>63.617251160000002</v>
      </c>
      <c r="K844">
        <v>5.31</v>
      </c>
      <c r="L844">
        <v>1</v>
      </c>
      <c r="M844">
        <v>3.3668200000000001</v>
      </c>
      <c r="N844">
        <f>L844*F844</f>
        <v>0.45100000000000001</v>
      </c>
      <c r="O844">
        <f>L844*J844</f>
        <v>63.617251160000002</v>
      </c>
      <c r="P844">
        <f>M844-N844-H844</f>
        <v>0.59588000000000019</v>
      </c>
      <c r="Q844">
        <f>P844/O844</f>
        <v>9.3666417384387999E-3</v>
      </c>
      <c r="R844">
        <f>I844-G844</f>
        <v>41</v>
      </c>
      <c r="S844">
        <f>Q844/R844</f>
        <v>2.2845467654728782E-4</v>
      </c>
      <c r="T844">
        <f>S844*10000</f>
        <v>2.2845467654728782</v>
      </c>
    </row>
    <row r="845" spans="1:20" x14ac:dyDescent="0.3">
      <c r="A845" t="s">
        <v>58</v>
      </c>
      <c r="B845" t="s">
        <v>44</v>
      </c>
      <c r="C845">
        <v>1</v>
      </c>
      <c r="D845">
        <v>12</v>
      </c>
      <c r="E845" t="s">
        <v>23</v>
      </c>
      <c r="F845">
        <v>0.45055000000000001</v>
      </c>
      <c r="G845" s="1">
        <v>46003</v>
      </c>
      <c r="H845">
        <v>2.2852700000000001</v>
      </c>
      <c r="I845" s="1">
        <v>46044</v>
      </c>
      <c r="J845">
        <v>63.617251160000002</v>
      </c>
      <c r="K845">
        <v>5.31</v>
      </c>
      <c r="L845">
        <v>1</v>
      </c>
      <c r="M845">
        <v>3.6490300000000002</v>
      </c>
      <c r="N845">
        <f>L845*F845</f>
        <v>0.45055000000000001</v>
      </c>
      <c r="O845">
        <f>L845*J845</f>
        <v>63.617251160000002</v>
      </c>
      <c r="P845">
        <f>M845-N845-H845</f>
        <v>0.91320999999999986</v>
      </c>
      <c r="Q845">
        <f>P845/O845</f>
        <v>1.4354754148418629E-2</v>
      </c>
      <c r="R845">
        <f>I845-G845</f>
        <v>41</v>
      </c>
      <c r="S845">
        <f>Q845/R845</f>
        <v>3.5011595483947877E-4</v>
      </c>
      <c r="T845">
        <f>S845*10000</f>
        <v>3.5011595483947877</v>
      </c>
    </row>
    <row r="846" spans="1:20" x14ac:dyDescent="0.3">
      <c r="A846" t="s">
        <v>58</v>
      </c>
      <c r="B846" t="s">
        <v>44</v>
      </c>
      <c r="C846">
        <v>1</v>
      </c>
      <c r="D846">
        <v>12</v>
      </c>
      <c r="E846" t="s">
        <v>24</v>
      </c>
      <c r="F846">
        <v>0.45001999999999998</v>
      </c>
      <c r="G846" s="1">
        <v>46003</v>
      </c>
      <c r="H846">
        <v>2.4479299999999999</v>
      </c>
      <c r="I846" s="1">
        <v>46044</v>
      </c>
      <c r="J846">
        <v>63.617251160000002</v>
      </c>
      <c r="K846">
        <v>5.31</v>
      </c>
      <c r="L846">
        <v>1</v>
      </c>
      <c r="M846">
        <v>3.6282999999999999</v>
      </c>
      <c r="N846">
        <f>L846*F846</f>
        <v>0.45001999999999998</v>
      </c>
      <c r="O846">
        <f>L846*J846</f>
        <v>63.617251160000002</v>
      </c>
      <c r="P846">
        <f>M846-N846-H846</f>
        <v>0.73035000000000005</v>
      </c>
      <c r="Q846">
        <f>P846/O846</f>
        <v>1.1480376575264777E-2</v>
      </c>
      <c r="R846">
        <f>I846-G846</f>
        <v>41</v>
      </c>
      <c r="S846">
        <f>Q846/R846</f>
        <v>2.8000918476255552E-4</v>
      </c>
      <c r="T846">
        <f>S846*10000</f>
        <v>2.8000918476255552</v>
      </c>
    </row>
    <row r="847" spans="1:20" x14ac:dyDescent="0.3">
      <c r="A847" t="s">
        <v>58</v>
      </c>
      <c r="B847" t="s">
        <v>44</v>
      </c>
      <c r="C847">
        <v>1</v>
      </c>
      <c r="D847">
        <v>18</v>
      </c>
      <c r="E847" t="s">
        <v>22</v>
      </c>
      <c r="F847">
        <v>0.45266000000000001</v>
      </c>
      <c r="G847" s="1">
        <v>46003</v>
      </c>
      <c r="H847">
        <v>2.0885699999999998</v>
      </c>
      <c r="I847" s="1">
        <v>46044</v>
      </c>
      <c r="J847">
        <v>63.617251160000002</v>
      </c>
      <c r="K847">
        <v>5.31</v>
      </c>
      <c r="L847">
        <v>1</v>
      </c>
      <c r="M847">
        <v>3.6334900000000001</v>
      </c>
      <c r="N847">
        <f>L847*F847</f>
        <v>0.45266000000000001</v>
      </c>
      <c r="O847">
        <f>L847*J847</f>
        <v>63.617251160000002</v>
      </c>
      <c r="P847">
        <f>M847-N847-H847</f>
        <v>1.0922600000000005</v>
      </c>
      <c r="Q847">
        <f>P847/O847</f>
        <v>1.7169242305878976E-2</v>
      </c>
      <c r="R847">
        <f>I847-G847</f>
        <v>41</v>
      </c>
      <c r="S847">
        <f>Q847/R847</f>
        <v>4.1876200746046284E-4</v>
      </c>
      <c r="T847">
        <f>S847*10000</f>
        <v>4.1876200746046282</v>
      </c>
    </row>
    <row r="848" spans="1:20" x14ac:dyDescent="0.3">
      <c r="A848" t="s">
        <v>58</v>
      </c>
      <c r="B848" t="s">
        <v>44</v>
      </c>
      <c r="C848">
        <v>1</v>
      </c>
      <c r="D848">
        <v>18</v>
      </c>
      <c r="E848" t="s">
        <v>23</v>
      </c>
      <c r="F848">
        <v>0.45319999999999999</v>
      </c>
      <c r="G848" s="1">
        <v>46003</v>
      </c>
      <c r="H848">
        <v>2.3209200000000001</v>
      </c>
      <c r="I848" s="1">
        <v>46044</v>
      </c>
      <c r="J848">
        <v>63.617251160000002</v>
      </c>
      <c r="K848">
        <v>5.31</v>
      </c>
      <c r="L848">
        <v>1</v>
      </c>
      <c r="M848">
        <v>3.69014</v>
      </c>
      <c r="N848">
        <f>L848*F848</f>
        <v>0.45319999999999999</v>
      </c>
      <c r="O848">
        <f>L848*J848</f>
        <v>63.617251160000002</v>
      </c>
      <c r="P848">
        <f>M848-N848-H848</f>
        <v>0.91602000000000006</v>
      </c>
      <c r="Q848">
        <f>P848/O848</f>
        <v>1.4398924557368442E-2</v>
      </c>
      <c r="R848">
        <f>I848-G848</f>
        <v>41</v>
      </c>
      <c r="S848">
        <f>Q848/R848</f>
        <v>3.5119328188703517E-4</v>
      </c>
      <c r="T848">
        <f>S848*10000</f>
        <v>3.5119328188703518</v>
      </c>
    </row>
    <row r="849" spans="1:20" x14ac:dyDescent="0.3">
      <c r="A849" t="s">
        <v>58</v>
      </c>
      <c r="B849" t="s">
        <v>44</v>
      </c>
      <c r="C849">
        <v>1</v>
      </c>
      <c r="D849">
        <v>18</v>
      </c>
      <c r="E849" t="s">
        <v>45</v>
      </c>
      <c r="F849">
        <v>0.45250000000000001</v>
      </c>
      <c r="G849" s="1">
        <v>46003</v>
      </c>
      <c r="H849">
        <v>2.4594999999999998</v>
      </c>
      <c r="I849" s="1">
        <v>46044</v>
      </c>
      <c r="J849">
        <v>63.617251160000002</v>
      </c>
      <c r="K849">
        <v>5.31</v>
      </c>
      <c r="L849">
        <v>1</v>
      </c>
      <c r="M849">
        <v>3.5472899999999998</v>
      </c>
      <c r="N849">
        <f>L849*F849</f>
        <v>0.45250000000000001</v>
      </c>
      <c r="O849">
        <f>L849*J849</f>
        <v>63.617251160000002</v>
      </c>
      <c r="P849">
        <f>M849-N849-H849</f>
        <v>0.63528999999999991</v>
      </c>
      <c r="Q849">
        <f>P849/O849</f>
        <v>9.9861277942082001E-3</v>
      </c>
      <c r="R849">
        <f>I849-G849</f>
        <v>41</v>
      </c>
      <c r="S849">
        <f>Q849/R849</f>
        <v>2.4356409254166342E-4</v>
      </c>
      <c r="T849">
        <f>S849*10000</f>
        <v>2.4356409254166342</v>
      </c>
    </row>
    <row r="850" spans="1:20" x14ac:dyDescent="0.3">
      <c r="A850" t="s">
        <v>58</v>
      </c>
      <c r="B850" t="s">
        <v>44</v>
      </c>
      <c r="C850">
        <v>1</v>
      </c>
      <c r="D850">
        <v>24</v>
      </c>
      <c r="E850" t="s">
        <v>22</v>
      </c>
      <c r="F850">
        <v>0.45461000000000001</v>
      </c>
      <c r="G850" s="1">
        <v>46003</v>
      </c>
      <c r="H850">
        <v>2.3285</v>
      </c>
      <c r="I850" s="1">
        <v>46044</v>
      </c>
      <c r="J850">
        <v>63.617251160000002</v>
      </c>
      <c r="K850">
        <v>5.31</v>
      </c>
      <c r="L850">
        <v>1</v>
      </c>
      <c r="M850">
        <v>3.2644199999999999</v>
      </c>
      <c r="N850">
        <f>L850*F850</f>
        <v>0.45461000000000001</v>
      </c>
      <c r="O850">
        <f>L850*J850</f>
        <v>63.617251160000002</v>
      </c>
      <c r="P850">
        <f>M850-N850-H850</f>
        <v>0.48130999999999968</v>
      </c>
      <c r="Q850">
        <f>P850/O850</f>
        <v>7.5657151358125372E-3</v>
      </c>
      <c r="R850">
        <f>I850-G850</f>
        <v>41</v>
      </c>
      <c r="S850">
        <f>Q850/R850</f>
        <v>1.8452963745884237E-4</v>
      </c>
      <c r="T850">
        <f>S850*10000</f>
        <v>1.8452963745884237</v>
      </c>
    </row>
    <row r="851" spans="1:20" x14ac:dyDescent="0.3">
      <c r="A851" t="s">
        <v>58</v>
      </c>
      <c r="B851" t="s">
        <v>44</v>
      </c>
      <c r="C851">
        <v>1</v>
      </c>
      <c r="D851">
        <v>24</v>
      </c>
      <c r="E851" t="s">
        <v>23</v>
      </c>
      <c r="F851">
        <v>0.45415</v>
      </c>
      <c r="G851" s="1">
        <v>46003</v>
      </c>
      <c r="H851">
        <v>5.1185900000000002</v>
      </c>
      <c r="I851" s="1">
        <v>46044</v>
      </c>
      <c r="J851">
        <v>63.617251160000002</v>
      </c>
      <c r="K851">
        <v>5.31</v>
      </c>
      <c r="L851">
        <v>0.75</v>
      </c>
      <c r="M851">
        <v>6.0394500000000004</v>
      </c>
      <c r="N851">
        <f>L851*F851</f>
        <v>0.34061249999999998</v>
      </c>
      <c r="O851">
        <f>L851*J851</f>
        <v>47.712938370000003</v>
      </c>
      <c r="P851">
        <f>M851-N851-H851</f>
        <v>0.58024750000000047</v>
      </c>
      <c r="Q851">
        <f>P851/O851</f>
        <v>1.2161219154023786E-2</v>
      </c>
      <c r="R851">
        <f>I851-G851</f>
        <v>41</v>
      </c>
      <c r="S851">
        <f>Q851/R851</f>
        <v>2.9661510131765334E-4</v>
      </c>
      <c r="T851">
        <f>S851*10000</f>
        <v>2.9661510131765336</v>
      </c>
    </row>
    <row r="852" spans="1:20" x14ac:dyDescent="0.3">
      <c r="A852" t="s">
        <v>58</v>
      </c>
      <c r="B852" t="s">
        <v>44</v>
      </c>
      <c r="C852">
        <v>1</v>
      </c>
      <c r="D852">
        <v>24</v>
      </c>
      <c r="E852" t="s">
        <v>24</v>
      </c>
      <c r="F852">
        <v>0.45262000000000002</v>
      </c>
      <c r="G852" s="1">
        <v>46003</v>
      </c>
      <c r="H852">
        <v>5.1216699999999999</v>
      </c>
      <c r="I852" s="1">
        <v>46044</v>
      </c>
      <c r="J852">
        <v>63.617251160000002</v>
      </c>
      <c r="K852">
        <v>5.31</v>
      </c>
      <c r="L852">
        <v>1</v>
      </c>
      <c r="M852">
        <v>6.0382600000000002</v>
      </c>
      <c r="N852">
        <f>L852*F852</f>
        <v>0.45262000000000002</v>
      </c>
      <c r="O852">
        <f>L852*J852</f>
        <v>63.617251160000002</v>
      </c>
      <c r="P852">
        <f>M852-N852-H852</f>
        <v>0.46396999999999977</v>
      </c>
      <c r="Q852">
        <f>P852/O852</f>
        <v>7.2931475588766973E-3</v>
      </c>
      <c r="R852">
        <f>I852-G852</f>
        <v>41</v>
      </c>
      <c r="S852">
        <f>Q852/R852</f>
        <v>1.7788164777748043E-4</v>
      </c>
      <c r="T852">
        <f>S852*10000</f>
        <v>1.7788164777748043</v>
      </c>
    </row>
    <row r="853" spans="1:20" x14ac:dyDescent="0.3">
      <c r="A853" t="s">
        <v>58</v>
      </c>
      <c r="B853" t="s">
        <v>44</v>
      </c>
      <c r="C853">
        <v>1</v>
      </c>
      <c r="D853">
        <v>48</v>
      </c>
      <c r="E853" t="s">
        <v>22</v>
      </c>
      <c r="F853">
        <v>0.45324999999999999</v>
      </c>
      <c r="G853" s="1">
        <v>46003</v>
      </c>
      <c r="H853">
        <v>5.13924</v>
      </c>
      <c r="I853" s="1">
        <v>46044</v>
      </c>
      <c r="J853">
        <v>63.617251160000002</v>
      </c>
      <c r="K853">
        <v>5.31</v>
      </c>
      <c r="L853">
        <v>1</v>
      </c>
      <c r="M853">
        <v>6.0007099999999998</v>
      </c>
      <c r="N853">
        <f>L853*F853</f>
        <v>0.45324999999999999</v>
      </c>
      <c r="O853">
        <f>L853*J853</f>
        <v>63.617251160000002</v>
      </c>
      <c r="P853">
        <f>M853-N853-H853</f>
        <v>0.40822000000000003</v>
      </c>
      <c r="Q853">
        <f>P853/O853</f>
        <v>6.416812932915161E-3</v>
      </c>
      <c r="R853">
        <f>I853-G853</f>
        <v>41</v>
      </c>
      <c r="S853">
        <f>Q853/R853</f>
        <v>1.5650763251012588E-4</v>
      </c>
      <c r="T853">
        <f>S853*10000</f>
        <v>1.5650763251012589</v>
      </c>
    </row>
    <row r="854" spans="1:20" x14ac:dyDescent="0.3">
      <c r="A854" t="s">
        <v>58</v>
      </c>
      <c r="B854" t="s">
        <v>44</v>
      </c>
      <c r="C854">
        <v>1</v>
      </c>
      <c r="D854">
        <v>48</v>
      </c>
      <c r="E854" t="s">
        <v>23</v>
      </c>
      <c r="F854">
        <v>0.44908999999999999</v>
      </c>
      <c r="G854" s="1">
        <v>46003</v>
      </c>
      <c r="H854">
        <v>5.1289699999999998</v>
      </c>
      <c r="I854" s="1">
        <v>46044</v>
      </c>
      <c r="J854">
        <v>63.617251160000002</v>
      </c>
      <c r="K854">
        <v>5.31</v>
      </c>
      <c r="L854">
        <v>1</v>
      </c>
      <c r="M854">
        <v>5.9994300000000003</v>
      </c>
      <c r="N854">
        <f>L854*F854</f>
        <v>0.44908999999999999</v>
      </c>
      <c r="O854">
        <f>L854*J854</f>
        <v>63.617251160000002</v>
      </c>
      <c r="P854">
        <f>M854-N854-H854</f>
        <v>0.42137000000000047</v>
      </c>
      <c r="Q854">
        <f>P854/O854</f>
        <v>6.6235178715948854E-3</v>
      </c>
      <c r="R854">
        <f>I854-G854</f>
        <v>41</v>
      </c>
      <c r="S854">
        <f>Q854/R854</f>
        <v>1.6154921638036307E-4</v>
      </c>
      <c r="T854">
        <f>S854*10000</f>
        <v>1.6154921638036308</v>
      </c>
    </row>
    <row r="855" spans="1:20" x14ac:dyDescent="0.3">
      <c r="A855" t="s">
        <v>58</v>
      </c>
      <c r="B855" t="s">
        <v>44</v>
      </c>
      <c r="C855">
        <v>1</v>
      </c>
      <c r="D855">
        <v>48</v>
      </c>
      <c r="E855" t="s">
        <v>24</v>
      </c>
      <c r="F855">
        <v>0.45280999999999999</v>
      </c>
      <c r="G855" s="1">
        <v>46003</v>
      </c>
      <c r="H855">
        <v>5.1179899999999998</v>
      </c>
      <c r="I855" s="1">
        <v>46044</v>
      </c>
      <c r="J855">
        <v>63.617251160000002</v>
      </c>
      <c r="K855">
        <v>5.31</v>
      </c>
      <c r="L855">
        <v>1</v>
      </c>
      <c r="M855">
        <v>6.0750900000000003</v>
      </c>
      <c r="N855">
        <f>L855*F855</f>
        <v>0.45280999999999999</v>
      </c>
      <c r="O855">
        <f>L855*J855</f>
        <v>63.617251160000002</v>
      </c>
      <c r="P855">
        <f>M855-N855-H855</f>
        <v>0.50429000000000013</v>
      </c>
      <c r="Q855">
        <f>P855/O855</f>
        <v>7.9269379107828799E-3</v>
      </c>
      <c r="R855">
        <f>I855-G855</f>
        <v>41</v>
      </c>
      <c r="S855">
        <f>Q855/R855</f>
        <v>1.9333994904348489E-4</v>
      </c>
      <c r="T855">
        <f>S855*10000</f>
        <v>1.9333994904348488</v>
      </c>
    </row>
    <row r="856" spans="1:20" x14ac:dyDescent="0.3">
      <c r="A856" t="s">
        <v>58</v>
      </c>
      <c r="B856" t="s">
        <v>44</v>
      </c>
      <c r="C856">
        <v>2</v>
      </c>
      <c r="D856">
        <v>0.5</v>
      </c>
      <c r="E856" t="s">
        <v>22</v>
      </c>
      <c r="F856">
        <v>4.5931600000000001</v>
      </c>
      <c r="G856" s="1">
        <v>46003</v>
      </c>
      <c r="H856">
        <v>5.1474500000000001</v>
      </c>
      <c r="I856" s="1">
        <v>46044</v>
      </c>
      <c r="J856">
        <v>63.617251160000002</v>
      </c>
      <c r="K856">
        <v>5.31</v>
      </c>
      <c r="L856">
        <v>1</v>
      </c>
      <c r="M856">
        <v>10.23659</v>
      </c>
      <c r="N856">
        <f>L856*F856</f>
        <v>4.5931600000000001</v>
      </c>
      <c r="O856">
        <f>L856*J856</f>
        <v>63.617251160000002</v>
      </c>
      <c r="P856">
        <f>M856-N856-H856</f>
        <v>0.49597999999999942</v>
      </c>
      <c r="Q856">
        <f>P856/O856</f>
        <v>7.7963129647426813E-3</v>
      </c>
      <c r="R856">
        <f>I856-G856</f>
        <v>41</v>
      </c>
      <c r="S856">
        <f>Q856/R856</f>
        <v>1.901539747498215E-4</v>
      </c>
      <c r="T856">
        <f>S856*10000</f>
        <v>1.901539747498215</v>
      </c>
    </row>
    <row r="857" spans="1:20" x14ac:dyDescent="0.3">
      <c r="A857" t="s">
        <v>58</v>
      </c>
      <c r="B857" t="s">
        <v>44</v>
      </c>
      <c r="C857">
        <v>2</v>
      </c>
      <c r="D857">
        <v>0.5</v>
      </c>
      <c r="E857" t="s">
        <v>23</v>
      </c>
      <c r="F857">
        <v>4.4427500000000002</v>
      </c>
      <c r="G857" s="1">
        <v>46003</v>
      </c>
      <c r="H857">
        <v>5.1098800000000004</v>
      </c>
      <c r="I857" s="1">
        <v>46044</v>
      </c>
      <c r="J857">
        <v>63.617251160000002</v>
      </c>
      <c r="K857">
        <v>5.31</v>
      </c>
      <c r="L857">
        <v>1</v>
      </c>
      <c r="M857">
        <v>9.7714999999999996</v>
      </c>
      <c r="N857">
        <f>L857*F857</f>
        <v>4.4427500000000002</v>
      </c>
      <c r="O857">
        <f>L857*J857</f>
        <v>63.617251160000002</v>
      </c>
      <c r="P857">
        <f>M857-N857-H857</f>
        <v>0.21886999999999901</v>
      </c>
      <c r="Q857">
        <f>P857/O857</f>
        <v>3.4404190059946472E-3</v>
      </c>
      <c r="R857">
        <f>I857-G857</f>
        <v>41</v>
      </c>
      <c r="S857">
        <f>Q857/R857</f>
        <v>8.3912658682796273E-5</v>
      </c>
      <c r="T857">
        <f>S857*10000</f>
        <v>0.83912658682796271</v>
      </c>
    </row>
    <row r="858" spans="1:20" x14ac:dyDescent="0.3">
      <c r="A858" t="s">
        <v>58</v>
      </c>
      <c r="B858" t="s">
        <v>44</v>
      </c>
      <c r="C858">
        <v>2</v>
      </c>
      <c r="D858">
        <v>0.5</v>
      </c>
      <c r="E858" t="s">
        <v>24</v>
      </c>
      <c r="F858">
        <v>4.6218500000000002</v>
      </c>
      <c r="G858" s="1">
        <v>46003</v>
      </c>
      <c r="H858">
        <v>5.1441699999999999</v>
      </c>
      <c r="I858" s="1">
        <v>46044</v>
      </c>
      <c r="J858">
        <v>63.617251160000002</v>
      </c>
      <c r="K858">
        <v>5.31</v>
      </c>
      <c r="L858">
        <v>1</v>
      </c>
      <c r="M858">
        <v>10.06019</v>
      </c>
      <c r="N858">
        <f>L858*F858</f>
        <v>4.6218500000000002</v>
      </c>
      <c r="O858">
        <f>L858*J858</f>
        <v>63.617251160000002</v>
      </c>
      <c r="P858">
        <f>M858-N858-H858</f>
        <v>0.29417000000000026</v>
      </c>
      <c r="Q858">
        <f>P858/O858</f>
        <v>4.6240602137956359E-3</v>
      </c>
      <c r="R858">
        <f>I858-G858</f>
        <v>41</v>
      </c>
      <c r="S858">
        <f>Q858/R858</f>
        <v>1.1278195643403989E-4</v>
      </c>
      <c r="T858">
        <f>S858*10000</f>
        <v>1.127819564340399</v>
      </c>
    </row>
    <row r="859" spans="1:20" x14ac:dyDescent="0.3">
      <c r="A859" t="s">
        <v>58</v>
      </c>
      <c r="B859" t="s">
        <v>44</v>
      </c>
      <c r="C859">
        <v>2</v>
      </c>
      <c r="D859">
        <v>2</v>
      </c>
      <c r="E859" t="s">
        <v>22</v>
      </c>
      <c r="F859">
        <v>4.5141799999999996</v>
      </c>
      <c r="G859" s="1">
        <v>46003</v>
      </c>
      <c r="H859">
        <v>5.1174200000000001</v>
      </c>
      <c r="I859" s="1">
        <v>46044</v>
      </c>
      <c r="J859">
        <v>63.617251160000002</v>
      </c>
      <c r="K859">
        <v>5.31</v>
      </c>
      <c r="L859">
        <v>1</v>
      </c>
      <c r="M859">
        <v>9.7912800000000004</v>
      </c>
      <c r="N859">
        <f>L859*F859</f>
        <v>4.5141799999999996</v>
      </c>
      <c r="O859">
        <f>L859*J859</f>
        <v>63.617251160000002</v>
      </c>
      <c r="P859">
        <f>M859-N859-H859</f>
        <v>0.15968000000000071</v>
      </c>
      <c r="Q859">
        <f>P859/O859</f>
        <v>2.5100109968347883E-3</v>
      </c>
      <c r="R859">
        <f>I859-G859</f>
        <v>41</v>
      </c>
      <c r="S859">
        <f>Q859/R859</f>
        <v>6.12197804106046E-5</v>
      </c>
      <c r="T859">
        <f>S859*10000</f>
        <v>0.61219780410604596</v>
      </c>
    </row>
    <row r="860" spans="1:20" x14ac:dyDescent="0.3">
      <c r="A860" t="s">
        <v>58</v>
      </c>
      <c r="B860" t="s">
        <v>44</v>
      </c>
      <c r="C860">
        <v>2</v>
      </c>
      <c r="D860">
        <v>2</v>
      </c>
      <c r="E860" t="s">
        <v>23</v>
      </c>
      <c r="F860">
        <v>4.1839000000000004</v>
      </c>
      <c r="G860" s="1">
        <v>46003</v>
      </c>
      <c r="H860">
        <v>5.11442</v>
      </c>
      <c r="I860" s="1">
        <v>46044</v>
      </c>
      <c r="J860">
        <v>63.617251160000002</v>
      </c>
      <c r="K860">
        <v>5.31</v>
      </c>
      <c r="L860">
        <v>1</v>
      </c>
      <c r="M860">
        <v>9.3986300000000007</v>
      </c>
      <c r="N860">
        <f>L860*F860</f>
        <v>4.1839000000000004</v>
      </c>
      <c r="O860">
        <f>L860*J860</f>
        <v>63.617251160000002</v>
      </c>
      <c r="P860">
        <f>M860-N860-H860</f>
        <v>0.10031000000000034</v>
      </c>
      <c r="Q860">
        <f>P860/O860</f>
        <v>1.5767735664610307E-3</v>
      </c>
      <c r="R860">
        <f>I860-G860</f>
        <v>41</v>
      </c>
      <c r="S860">
        <f>Q860/R860</f>
        <v>3.8457891864903186E-5</v>
      </c>
      <c r="T860">
        <f>S860*10000</f>
        <v>0.38457891864903188</v>
      </c>
    </row>
    <row r="861" spans="1:20" x14ac:dyDescent="0.3">
      <c r="A861" t="s">
        <v>58</v>
      </c>
      <c r="B861" t="s">
        <v>44</v>
      </c>
      <c r="C861">
        <v>2</v>
      </c>
      <c r="D861">
        <v>2</v>
      </c>
      <c r="E861" t="s">
        <v>24</v>
      </c>
      <c r="F861">
        <v>4.3798000000000004</v>
      </c>
      <c r="G861" s="1">
        <v>46003</v>
      </c>
      <c r="H861">
        <v>5.0883000000000003</v>
      </c>
      <c r="I861" s="1">
        <v>46044</v>
      </c>
      <c r="J861">
        <v>63.617251160000002</v>
      </c>
      <c r="K861">
        <v>5.31</v>
      </c>
      <c r="L861">
        <v>1</v>
      </c>
      <c r="M861">
        <v>9.5953400000000002</v>
      </c>
      <c r="N861">
        <f>L861*F861</f>
        <v>4.3798000000000004</v>
      </c>
      <c r="O861">
        <f>L861*J861</f>
        <v>63.617251160000002</v>
      </c>
      <c r="P861">
        <f>M861-N861-H861</f>
        <v>0.12723999999999958</v>
      </c>
      <c r="Q861">
        <f>P861/O861</f>
        <v>2.0000864180689882E-3</v>
      </c>
      <c r="R861">
        <f>I861-G861</f>
        <v>41</v>
      </c>
      <c r="S861">
        <f>Q861/R861</f>
        <v>4.8782595562658246E-5</v>
      </c>
      <c r="T861">
        <f>S861*10000</f>
        <v>0.48782595562658249</v>
      </c>
    </row>
    <row r="862" spans="1:20" x14ac:dyDescent="0.3">
      <c r="A862" t="s">
        <v>58</v>
      </c>
      <c r="B862" t="s">
        <v>44</v>
      </c>
      <c r="C862">
        <v>2</v>
      </c>
      <c r="D862">
        <v>6</v>
      </c>
      <c r="E862" t="s">
        <v>22</v>
      </c>
      <c r="F862">
        <v>0.45234000000000002</v>
      </c>
      <c r="G862" s="1">
        <v>46003</v>
      </c>
      <c r="H862">
        <v>5.1040400000000004</v>
      </c>
      <c r="I862" s="1">
        <v>46044</v>
      </c>
      <c r="J862">
        <v>63.617251160000002</v>
      </c>
      <c r="K862">
        <v>5.31</v>
      </c>
      <c r="L862">
        <v>1</v>
      </c>
      <c r="M862">
        <v>6.5879599999999998</v>
      </c>
      <c r="N862">
        <f>L862*F862</f>
        <v>0.45234000000000002</v>
      </c>
      <c r="O862">
        <f>L862*J862</f>
        <v>63.617251160000002</v>
      </c>
      <c r="P862">
        <f>M862-N862-H862</f>
        <v>1.0315799999999991</v>
      </c>
      <c r="Q862">
        <f>P862/O862</f>
        <v>1.6215412976670951E-2</v>
      </c>
      <c r="R862">
        <f>I862-G862</f>
        <v>41</v>
      </c>
      <c r="S862">
        <f>Q862/R862</f>
        <v>3.9549787747977929E-4</v>
      </c>
      <c r="T862">
        <f>S862*10000</f>
        <v>3.9549787747977931</v>
      </c>
    </row>
    <row r="863" spans="1:20" x14ac:dyDescent="0.3">
      <c r="A863" t="s">
        <v>58</v>
      </c>
      <c r="B863" t="s">
        <v>44</v>
      </c>
      <c r="C863">
        <v>2</v>
      </c>
      <c r="D863">
        <v>6</v>
      </c>
      <c r="E863" t="s">
        <v>23</v>
      </c>
      <c r="F863">
        <v>0.45221</v>
      </c>
      <c r="G863" s="1">
        <v>46003</v>
      </c>
      <c r="H863">
        <v>5.0876900000000003</v>
      </c>
      <c r="I863" s="1">
        <v>46044</v>
      </c>
      <c r="J863">
        <v>63.617251160000002</v>
      </c>
      <c r="K863">
        <v>5.31</v>
      </c>
      <c r="L863">
        <v>1</v>
      </c>
      <c r="M863">
        <v>6.5323900000000004</v>
      </c>
      <c r="N863">
        <f>L863*F863</f>
        <v>0.45221</v>
      </c>
      <c r="O863">
        <f>L863*J863</f>
        <v>63.617251160000002</v>
      </c>
      <c r="P863">
        <f>M863-N863-H863</f>
        <v>0.99249000000000009</v>
      </c>
      <c r="Q863">
        <f>P863/O863</f>
        <v>1.5600957003059546E-2</v>
      </c>
      <c r="R863">
        <f>I863-G863</f>
        <v>41</v>
      </c>
      <c r="S863">
        <f>Q863/R863</f>
        <v>3.8051114641608649E-4</v>
      </c>
      <c r="T863">
        <f>S863*10000</f>
        <v>3.805111464160865</v>
      </c>
    </row>
    <row r="864" spans="1:20" x14ac:dyDescent="0.3">
      <c r="A864" t="s">
        <v>58</v>
      </c>
      <c r="B864" t="s">
        <v>44</v>
      </c>
      <c r="C864">
        <v>2</v>
      </c>
      <c r="D864">
        <v>6</v>
      </c>
      <c r="E864" t="s">
        <v>24</v>
      </c>
      <c r="F864">
        <v>0.45382</v>
      </c>
      <c r="G864" s="1">
        <v>46003</v>
      </c>
      <c r="H864">
        <v>5.1131500000000001</v>
      </c>
      <c r="I864" s="1">
        <v>46044</v>
      </c>
      <c r="J864">
        <v>63.617251160000002</v>
      </c>
      <c r="K864">
        <v>5.31</v>
      </c>
      <c r="L864">
        <v>1</v>
      </c>
      <c r="M864">
        <v>7.4287599999999996</v>
      </c>
      <c r="N864">
        <f>L864*F864</f>
        <v>0.45382</v>
      </c>
      <c r="O864">
        <f>L864*J864</f>
        <v>63.617251160000002</v>
      </c>
      <c r="P864">
        <f>M864-N864-H864</f>
        <v>1.8617899999999992</v>
      </c>
      <c r="Q864">
        <f>P864/O864</f>
        <v>2.9265489565362086E-2</v>
      </c>
      <c r="R864">
        <f>I864-G864</f>
        <v>41</v>
      </c>
      <c r="S864">
        <f>Q864/R864</f>
        <v>7.1379242842346553E-4</v>
      </c>
      <c r="T864">
        <f>S864*10000</f>
        <v>7.1379242842346553</v>
      </c>
    </row>
    <row r="865" spans="1:20" x14ac:dyDescent="0.3">
      <c r="A865" t="s">
        <v>58</v>
      </c>
      <c r="B865" t="s">
        <v>44</v>
      </c>
      <c r="C865">
        <v>2</v>
      </c>
      <c r="D865">
        <v>12</v>
      </c>
      <c r="E865" t="s">
        <v>22</v>
      </c>
      <c r="F865">
        <v>0.45301000000000002</v>
      </c>
      <c r="G865" s="1">
        <v>46003</v>
      </c>
      <c r="H865">
        <v>5.1326200000000002</v>
      </c>
      <c r="I865" s="1">
        <v>46044</v>
      </c>
      <c r="J865">
        <v>63.617251160000002</v>
      </c>
      <c r="K865">
        <v>5.31</v>
      </c>
      <c r="L865">
        <v>1</v>
      </c>
      <c r="M865">
        <v>7.1517400000000002</v>
      </c>
      <c r="N865">
        <f>L865*F865</f>
        <v>0.45301000000000002</v>
      </c>
      <c r="O865">
        <f>L865*J865</f>
        <v>63.617251160000002</v>
      </c>
      <c r="P865">
        <f>M865-N865-H865</f>
        <v>1.5661100000000001</v>
      </c>
      <c r="Q865">
        <f>P865/O865</f>
        <v>2.4617693651383474E-2</v>
      </c>
      <c r="R865">
        <f>I865-G865</f>
        <v>41</v>
      </c>
      <c r="S865">
        <f>Q865/R865</f>
        <v>6.0043155247276763E-4</v>
      </c>
      <c r="T865">
        <f>S865*10000</f>
        <v>6.0043155247276765</v>
      </c>
    </row>
    <row r="866" spans="1:20" x14ac:dyDescent="0.3">
      <c r="A866" t="s">
        <v>58</v>
      </c>
      <c r="B866" t="s">
        <v>44</v>
      </c>
      <c r="C866">
        <v>2</v>
      </c>
      <c r="D866">
        <v>12</v>
      </c>
      <c r="E866" t="s">
        <v>23</v>
      </c>
      <c r="F866">
        <v>0.45412000000000002</v>
      </c>
      <c r="G866" s="1">
        <v>46003</v>
      </c>
      <c r="H866">
        <v>5.1000800000000002</v>
      </c>
      <c r="I866" s="1">
        <v>46044</v>
      </c>
      <c r="J866">
        <v>63.617251160000002</v>
      </c>
      <c r="K866">
        <v>5.31</v>
      </c>
      <c r="L866">
        <v>1</v>
      </c>
      <c r="M866">
        <v>7.4371499999999999</v>
      </c>
      <c r="N866">
        <f>L866*F866</f>
        <v>0.45412000000000002</v>
      </c>
      <c r="O866">
        <f>L866*J866</f>
        <v>63.617251160000002</v>
      </c>
      <c r="P866">
        <f>M866-N866-H866</f>
        <v>1.8829500000000001</v>
      </c>
      <c r="Q866">
        <f>P866/O866</f>
        <v>2.9598103748058893E-2</v>
      </c>
      <c r="R866">
        <f>I866-G866</f>
        <v>41</v>
      </c>
      <c r="S866">
        <f>Q866/R866</f>
        <v>7.2190496946485105E-4</v>
      </c>
      <c r="T866">
        <f>S866*10000</f>
        <v>7.2190496946485103</v>
      </c>
    </row>
    <row r="867" spans="1:20" x14ac:dyDescent="0.3">
      <c r="A867" t="s">
        <v>58</v>
      </c>
      <c r="B867" t="s">
        <v>44</v>
      </c>
      <c r="C867">
        <v>2</v>
      </c>
      <c r="D867">
        <v>12</v>
      </c>
      <c r="E867" t="s">
        <v>24</v>
      </c>
      <c r="F867">
        <v>0.45350000000000001</v>
      </c>
      <c r="G867" s="1">
        <v>46003</v>
      </c>
      <c r="H867">
        <v>5.1117800000000004</v>
      </c>
      <c r="I867" s="1">
        <v>46044</v>
      </c>
      <c r="J867">
        <v>63.617251160000002</v>
      </c>
      <c r="K867">
        <v>5.31</v>
      </c>
      <c r="L867">
        <v>1</v>
      </c>
      <c r="M867">
        <v>6.90876</v>
      </c>
      <c r="N867">
        <f>L867*F867</f>
        <v>0.45350000000000001</v>
      </c>
      <c r="O867">
        <f>L867*J867</f>
        <v>63.617251160000002</v>
      </c>
      <c r="P867">
        <f>M867-N867-H867</f>
        <v>1.3434799999999996</v>
      </c>
      <c r="Q867">
        <f>P867/O867</f>
        <v>2.1118171180032473E-2</v>
      </c>
      <c r="R867">
        <f>I867-G867</f>
        <v>41</v>
      </c>
      <c r="S867">
        <f>Q867/R867</f>
        <v>5.1507734585445062E-4</v>
      </c>
      <c r="T867">
        <f>S867*10000</f>
        <v>5.1507734585445064</v>
      </c>
    </row>
    <row r="868" spans="1:20" x14ac:dyDescent="0.3">
      <c r="A868" t="s">
        <v>58</v>
      </c>
      <c r="B868" t="s">
        <v>44</v>
      </c>
      <c r="C868">
        <v>2</v>
      </c>
      <c r="D868">
        <v>18</v>
      </c>
      <c r="E868" t="s">
        <v>47</v>
      </c>
      <c r="F868">
        <v>0.45282</v>
      </c>
      <c r="G868" s="1">
        <v>46003</v>
      </c>
      <c r="H868">
        <v>5.1140299999999996</v>
      </c>
      <c r="I868" s="1">
        <v>46044</v>
      </c>
      <c r="J868">
        <v>63.617251160000002</v>
      </c>
      <c r="K868">
        <v>5.31</v>
      </c>
      <c r="L868">
        <v>1</v>
      </c>
      <c r="M868">
        <v>6.6568500000000004</v>
      </c>
      <c r="N868">
        <f>L868*F868</f>
        <v>0.45282</v>
      </c>
      <c r="O868">
        <f>L868*J868</f>
        <v>63.617251160000002</v>
      </c>
      <c r="P868">
        <f>M868-N868-H868</f>
        <v>1.0900000000000007</v>
      </c>
      <c r="Q868">
        <f>P868/O868</f>
        <v>1.7133717350638209E-2</v>
      </c>
      <c r="R868">
        <f>I868-G868</f>
        <v>41</v>
      </c>
      <c r="S868">
        <f>Q868/R868</f>
        <v>4.1789554513751732E-4</v>
      </c>
      <c r="T868">
        <f>S868*10000</f>
        <v>4.178955451375173</v>
      </c>
    </row>
    <row r="869" spans="1:20" x14ac:dyDescent="0.3">
      <c r="A869" t="s">
        <v>58</v>
      </c>
      <c r="B869" t="s">
        <v>44</v>
      </c>
      <c r="C869">
        <v>2</v>
      </c>
      <c r="D869">
        <v>18</v>
      </c>
      <c r="E869" t="s">
        <v>23</v>
      </c>
      <c r="F869">
        <v>0.44841999999999999</v>
      </c>
      <c r="G869" s="1">
        <v>46003</v>
      </c>
      <c r="H869">
        <v>5.1210000000000004</v>
      </c>
      <c r="I869" s="1">
        <v>46044</v>
      </c>
      <c r="J869">
        <v>63.617251160000002</v>
      </c>
      <c r="K869">
        <v>5.31</v>
      </c>
      <c r="L869">
        <v>1</v>
      </c>
      <c r="M869">
        <v>6.8050600000000001</v>
      </c>
      <c r="N869">
        <f>L869*F869</f>
        <v>0.44841999999999999</v>
      </c>
      <c r="O869">
        <f>L869*J869</f>
        <v>63.617251160000002</v>
      </c>
      <c r="P869">
        <f>M869-N869-H869</f>
        <v>1.2356400000000001</v>
      </c>
      <c r="Q869">
        <f>P869/O869</f>
        <v>1.9423033492791359E-2</v>
      </c>
      <c r="R869">
        <f>I869-G869</f>
        <v>41</v>
      </c>
      <c r="S869">
        <f>Q869/R869</f>
        <v>4.7373252421442337E-4</v>
      </c>
      <c r="T869">
        <f>S869*10000</f>
        <v>4.7373252421442338</v>
      </c>
    </row>
    <row r="870" spans="1:20" x14ac:dyDescent="0.3">
      <c r="A870" t="s">
        <v>58</v>
      </c>
      <c r="B870" t="s">
        <v>44</v>
      </c>
      <c r="C870">
        <v>2</v>
      </c>
      <c r="D870">
        <v>18</v>
      </c>
      <c r="E870" t="s">
        <v>24</v>
      </c>
      <c r="F870">
        <v>0.45297999999999999</v>
      </c>
      <c r="G870" s="1">
        <v>46003</v>
      </c>
      <c r="H870">
        <v>5.1260399999999997</v>
      </c>
      <c r="I870" s="1">
        <v>46044</v>
      </c>
      <c r="J870">
        <v>63.617251160000002</v>
      </c>
      <c r="K870">
        <v>5.31</v>
      </c>
      <c r="L870">
        <v>1</v>
      </c>
      <c r="M870">
        <v>6.4191200000000004</v>
      </c>
      <c r="N870">
        <f>L870*F870</f>
        <v>0.45297999999999999</v>
      </c>
      <c r="O870">
        <f>L870*J870</f>
        <v>63.617251160000002</v>
      </c>
      <c r="P870">
        <f>M870-N870-H870</f>
        <v>0.84010000000000051</v>
      </c>
      <c r="Q870">
        <f>P870/O870</f>
        <v>1.3205537565386383E-2</v>
      </c>
      <c r="R870">
        <f>I870-G870</f>
        <v>41</v>
      </c>
      <c r="S870">
        <f>Q870/R870</f>
        <v>3.2208628208259472E-4</v>
      </c>
      <c r="T870">
        <f>S870*10000</f>
        <v>3.2208628208259471</v>
      </c>
    </row>
    <row r="871" spans="1:20" x14ac:dyDescent="0.3">
      <c r="A871" t="s">
        <v>58</v>
      </c>
      <c r="B871" t="s">
        <v>44</v>
      </c>
      <c r="C871">
        <v>2</v>
      </c>
      <c r="D871">
        <v>24</v>
      </c>
      <c r="E871" t="s">
        <v>22</v>
      </c>
      <c r="F871">
        <v>0.44962000000000002</v>
      </c>
      <c r="G871" s="1">
        <v>46003</v>
      </c>
      <c r="H871">
        <v>5.0761000000000003</v>
      </c>
      <c r="I871" s="1">
        <v>46044</v>
      </c>
      <c r="J871">
        <v>63.617251160000002</v>
      </c>
      <c r="K871">
        <v>5.31</v>
      </c>
      <c r="L871">
        <v>1</v>
      </c>
      <c r="M871">
        <v>6.32944</v>
      </c>
      <c r="N871">
        <f>L871*F871</f>
        <v>0.44962000000000002</v>
      </c>
      <c r="O871">
        <f>L871*J871</f>
        <v>63.617251160000002</v>
      </c>
      <c r="P871">
        <f>M871-N871-H871</f>
        <v>0.80371999999999932</v>
      </c>
      <c r="Q871">
        <f>P871/O871</f>
        <v>1.2633680100050386E-2</v>
      </c>
      <c r="R871">
        <f>I871-G871</f>
        <v>41</v>
      </c>
      <c r="S871">
        <f>Q871/R871</f>
        <v>3.0813853902561918E-4</v>
      </c>
      <c r="T871">
        <f>S871*10000</f>
        <v>3.0813853902561918</v>
      </c>
    </row>
    <row r="872" spans="1:20" x14ac:dyDescent="0.3">
      <c r="A872" t="s">
        <v>58</v>
      </c>
      <c r="B872" t="s">
        <v>44</v>
      </c>
      <c r="C872">
        <v>2</v>
      </c>
      <c r="D872">
        <v>24</v>
      </c>
      <c r="E872" t="s">
        <v>23</v>
      </c>
      <c r="F872">
        <v>0.45371</v>
      </c>
      <c r="G872" s="1">
        <v>46003</v>
      </c>
      <c r="H872">
        <v>5.1124400000000003</v>
      </c>
      <c r="I872" s="1">
        <v>46044</v>
      </c>
      <c r="J872">
        <v>63.617251160000002</v>
      </c>
      <c r="K872">
        <v>5.31</v>
      </c>
      <c r="L872">
        <v>1</v>
      </c>
      <c r="M872">
        <v>6.5121000000000002</v>
      </c>
      <c r="N872">
        <f>L872*F872</f>
        <v>0.45371</v>
      </c>
      <c r="O872">
        <f>L872*J872</f>
        <v>63.617251160000002</v>
      </c>
      <c r="P872">
        <f>M872-N872-H872</f>
        <v>0.94594999999999985</v>
      </c>
      <c r="Q872">
        <f>P872/O872</f>
        <v>1.4869394429207523E-2</v>
      </c>
      <c r="R872">
        <f>I872-G872</f>
        <v>41</v>
      </c>
      <c r="S872">
        <f>Q872/R872</f>
        <v>3.6266815680993956E-4</v>
      </c>
      <c r="T872">
        <f>S872*10000</f>
        <v>3.6266815680993956</v>
      </c>
    </row>
    <row r="873" spans="1:20" x14ac:dyDescent="0.3">
      <c r="A873" t="s">
        <v>58</v>
      </c>
      <c r="B873" t="s">
        <v>44</v>
      </c>
      <c r="C873">
        <v>2</v>
      </c>
      <c r="D873">
        <v>24</v>
      </c>
      <c r="E873" t="s">
        <v>24</v>
      </c>
      <c r="F873">
        <v>0.45130999999999999</v>
      </c>
      <c r="G873" s="1">
        <v>46003</v>
      </c>
      <c r="H873">
        <v>5.0985800000000001</v>
      </c>
      <c r="I873" s="1">
        <v>46044</v>
      </c>
      <c r="J873">
        <v>63.617251160000002</v>
      </c>
      <c r="K873">
        <v>5.31</v>
      </c>
      <c r="L873">
        <v>1</v>
      </c>
      <c r="M873">
        <v>6.6753900000000002</v>
      </c>
      <c r="N873">
        <f>L873*F873</f>
        <v>0.45130999999999999</v>
      </c>
      <c r="O873">
        <f>L873*J873</f>
        <v>63.617251160000002</v>
      </c>
      <c r="P873">
        <f>M873-N873-H873</f>
        <v>1.1254999999999997</v>
      </c>
      <c r="Q873">
        <f>P873/O873</f>
        <v>1.7691742090039712E-2</v>
      </c>
      <c r="R873">
        <f>I873-G873</f>
        <v>41</v>
      </c>
      <c r="S873">
        <f>Q873/R873</f>
        <v>4.3150590463511492E-4</v>
      </c>
      <c r="T873">
        <f>S873*10000</f>
        <v>4.3150590463511493</v>
      </c>
    </row>
    <row r="874" spans="1:20" x14ac:dyDescent="0.3">
      <c r="A874" t="s">
        <v>58</v>
      </c>
      <c r="B874" t="s">
        <v>44</v>
      </c>
      <c r="C874">
        <v>2</v>
      </c>
      <c r="D874">
        <v>48</v>
      </c>
      <c r="E874" t="s">
        <v>22</v>
      </c>
      <c r="F874">
        <v>0.45095000000000002</v>
      </c>
      <c r="G874" s="1">
        <v>46003</v>
      </c>
      <c r="H874">
        <v>5.1240399999999999</v>
      </c>
      <c r="I874" s="1">
        <v>46044</v>
      </c>
      <c r="J874">
        <v>63.617251160000002</v>
      </c>
      <c r="K874">
        <v>5.31</v>
      </c>
      <c r="L874">
        <v>1</v>
      </c>
      <c r="M874">
        <v>6.65097</v>
      </c>
      <c r="N874">
        <f>L874*F874</f>
        <v>0.45095000000000002</v>
      </c>
      <c r="O874">
        <f>L874*J874</f>
        <v>63.617251160000002</v>
      </c>
      <c r="P874">
        <f>M874-N874-H874</f>
        <v>1.0759800000000004</v>
      </c>
      <c r="Q874">
        <f>P874/O874</f>
        <v>1.6913336876091461E-2</v>
      </c>
      <c r="R874">
        <f>I874-G874</f>
        <v>41</v>
      </c>
      <c r="S874">
        <f>Q874/R874</f>
        <v>4.1252041161198683E-4</v>
      </c>
      <c r="T874">
        <f>S874*10000</f>
        <v>4.1252041161198685</v>
      </c>
    </row>
    <row r="875" spans="1:20" x14ac:dyDescent="0.3">
      <c r="A875" t="s">
        <v>58</v>
      </c>
      <c r="B875" t="s">
        <v>44</v>
      </c>
      <c r="C875">
        <v>2</v>
      </c>
      <c r="D875">
        <v>48</v>
      </c>
      <c r="E875" t="s">
        <v>23</v>
      </c>
      <c r="F875">
        <v>0.44857000000000002</v>
      </c>
      <c r="G875" s="1">
        <v>46003</v>
      </c>
      <c r="H875">
        <v>5.0447699999999998</v>
      </c>
      <c r="I875" s="1">
        <v>46044</v>
      </c>
      <c r="J875">
        <v>63.617251160000002</v>
      </c>
      <c r="K875">
        <v>5.31</v>
      </c>
      <c r="L875">
        <v>1</v>
      </c>
      <c r="M875">
        <v>6.8806700000000003</v>
      </c>
      <c r="N875">
        <f>L875*F875</f>
        <v>0.44857000000000002</v>
      </c>
      <c r="O875">
        <f>L875*J875</f>
        <v>63.617251160000002</v>
      </c>
      <c r="P875">
        <f>M875-N875-H875</f>
        <v>1.3873300000000004</v>
      </c>
      <c r="Q875">
        <f>P875/O875</f>
        <v>2.1807449625743942E-2</v>
      </c>
      <c r="R875">
        <f>I875-G875</f>
        <v>41</v>
      </c>
      <c r="S875">
        <f>Q875/R875</f>
        <v>5.3188901526204739E-4</v>
      </c>
      <c r="T875">
        <f>S875*10000</f>
        <v>5.3188901526204742</v>
      </c>
    </row>
    <row r="876" spans="1:20" x14ac:dyDescent="0.3">
      <c r="A876" t="s">
        <v>58</v>
      </c>
      <c r="B876" t="s">
        <v>44</v>
      </c>
      <c r="C876">
        <v>2</v>
      </c>
      <c r="D876">
        <v>48</v>
      </c>
      <c r="E876" t="s">
        <v>24</v>
      </c>
      <c r="F876">
        <v>0.45051999999999998</v>
      </c>
      <c r="G876" s="1">
        <v>46003</v>
      </c>
      <c r="H876">
        <v>5.1196900000000003</v>
      </c>
      <c r="I876" s="1">
        <v>46044</v>
      </c>
      <c r="J876">
        <v>63.617251160000002</v>
      </c>
      <c r="K876">
        <v>5.31</v>
      </c>
      <c r="L876">
        <v>1</v>
      </c>
      <c r="M876">
        <v>6.8777900000000001</v>
      </c>
      <c r="N876">
        <f>L876*F876</f>
        <v>0.45051999999999998</v>
      </c>
      <c r="O876">
        <f>L876*J876</f>
        <v>63.617251160000002</v>
      </c>
      <c r="P876">
        <f>M876-N876-H876</f>
        <v>1.3075799999999997</v>
      </c>
      <c r="Q876">
        <f>P876/O876</f>
        <v>2.0553858837933477E-2</v>
      </c>
      <c r="R876">
        <f>I876-G876</f>
        <v>41</v>
      </c>
      <c r="S876">
        <f>Q876/R876</f>
        <v>5.0131363019349947E-4</v>
      </c>
      <c r="T876">
        <f>S876*10000</f>
        <v>5.0131363019349946</v>
      </c>
    </row>
    <row r="877" spans="1:20" x14ac:dyDescent="0.3">
      <c r="A877" t="s">
        <v>58</v>
      </c>
      <c r="B877" t="s">
        <v>44</v>
      </c>
      <c r="E877" t="s">
        <v>29</v>
      </c>
      <c r="F877" t="s">
        <v>27</v>
      </c>
      <c r="G877" t="s">
        <v>27</v>
      </c>
      <c r="H877">
        <v>5.1204099999999997</v>
      </c>
      <c r="I877" t="s">
        <v>27</v>
      </c>
      <c r="J877">
        <v>63.617251160000002</v>
      </c>
      <c r="K877">
        <v>5.31</v>
      </c>
      <c r="L877" t="s">
        <v>27</v>
      </c>
      <c r="N877" t="e">
        <f>L877*F877</f>
        <v>#VALUE!</v>
      </c>
      <c r="O877" t="e">
        <f>L877*J877</f>
        <v>#VALUE!</v>
      </c>
      <c r="P877" t="e">
        <f>M877-N877-H877</f>
        <v>#VALUE!</v>
      </c>
      <c r="Q877" t="e">
        <f>P877/O877</f>
        <v>#VALUE!</v>
      </c>
      <c r="R877" t="e">
        <f>I877-G877</f>
        <v>#VALUE!</v>
      </c>
      <c r="S877" t="e">
        <f>Q877/R877</f>
        <v>#VALUE!</v>
      </c>
      <c r="T877" t="e">
        <f>S877*10000</f>
        <v>#VALUE!</v>
      </c>
    </row>
    <row r="878" spans="1:20" x14ac:dyDescent="0.3">
      <c r="A878" t="s">
        <v>58</v>
      </c>
      <c r="B878" t="s">
        <v>44</v>
      </c>
      <c r="E878" t="s">
        <v>31</v>
      </c>
      <c r="F878" t="s">
        <v>27</v>
      </c>
      <c r="G878" t="s">
        <v>27</v>
      </c>
      <c r="H878">
        <v>5.13469</v>
      </c>
      <c r="I878" t="s">
        <v>27</v>
      </c>
      <c r="J878">
        <v>63.617251160000002</v>
      </c>
      <c r="K878">
        <v>5.31</v>
      </c>
      <c r="L878" t="s">
        <v>27</v>
      </c>
      <c r="N878" t="e">
        <f>L878*F878</f>
        <v>#VALUE!</v>
      </c>
      <c r="O878" t="e">
        <f>L878*J878</f>
        <v>#VALUE!</v>
      </c>
      <c r="P878" t="e">
        <f>M878-N878-H878</f>
        <v>#VALUE!</v>
      </c>
      <c r="Q878" t="e">
        <f>P878/O878</f>
        <v>#VALUE!</v>
      </c>
      <c r="R878" t="e">
        <f>I878-G878</f>
        <v>#VALUE!</v>
      </c>
      <c r="S878" t="e">
        <f>Q878/R878</f>
        <v>#VALUE!</v>
      </c>
      <c r="T878" t="e">
        <f>S878*10000</f>
        <v>#VALUE!</v>
      </c>
    </row>
    <row r="879" spans="1:20" x14ac:dyDescent="0.3">
      <c r="A879" t="s">
        <v>58</v>
      </c>
      <c r="B879" t="s">
        <v>44</v>
      </c>
      <c r="E879" t="s">
        <v>33</v>
      </c>
      <c r="F879" t="s">
        <v>27</v>
      </c>
      <c r="G879" t="s">
        <v>27</v>
      </c>
      <c r="H879">
        <v>5.1383799999999997</v>
      </c>
      <c r="I879" t="s">
        <v>27</v>
      </c>
      <c r="J879">
        <v>63.617251160000002</v>
      </c>
      <c r="K879">
        <v>5.31</v>
      </c>
      <c r="L879" t="s">
        <v>27</v>
      </c>
      <c r="N879" t="e">
        <f>L879*F879</f>
        <v>#VALUE!</v>
      </c>
      <c r="O879" t="e">
        <f>L879*J879</f>
        <v>#VALUE!</v>
      </c>
      <c r="P879" t="e">
        <f>M879-N879-H879</f>
        <v>#VALUE!</v>
      </c>
      <c r="Q879" t="e">
        <f>P879/O879</f>
        <v>#VALUE!</v>
      </c>
      <c r="R879" t="e">
        <f>I879-G879</f>
        <v>#VALUE!</v>
      </c>
      <c r="S879" t="e">
        <f>Q879/R879</f>
        <v>#VALUE!</v>
      </c>
      <c r="T879" t="e">
        <f>S879*10000</f>
        <v>#VALUE!</v>
      </c>
    </row>
    <row r="880" spans="1:20" x14ac:dyDescent="0.3">
      <c r="A880" t="s">
        <v>58</v>
      </c>
      <c r="B880" t="s">
        <v>44</v>
      </c>
      <c r="E880" t="s">
        <v>34</v>
      </c>
      <c r="F880" t="s">
        <v>27</v>
      </c>
      <c r="G880" t="s">
        <v>27</v>
      </c>
      <c r="H880">
        <v>5.1275300000000001</v>
      </c>
      <c r="I880" t="s">
        <v>27</v>
      </c>
      <c r="J880">
        <v>63.617251160000002</v>
      </c>
      <c r="K880">
        <v>5.31</v>
      </c>
      <c r="L880" t="s">
        <v>27</v>
      </c>
      <c r="N880" t="e">
        <f>L880*F880</f>
        <v>#VALUE!</v>
      </c>
      <c r="O880" t="e">
        <f>L880*J880</f>
        <v>#VALUE!</v>
      </c>
      <c r="P880" t="e">
        <f>M880-N880-H880</f>
        <v>#VALUE!</v>
      </c>
      <c r="Q880" t="e">
        <f>P880/O880</f>
        <v>#VALUE!</v>
      </c>
      <c r="R880" t="e">
        <f>I880-G880</f>
        <v>#VALUE!</v>
      </c>
      <c r="S880" t="e">
        <f>Q880/R880</f>
        <v>#VALUE!</v>
      </c>
      <c r="T880" t="e">
        <f>S880*10000</f>
        <v>#VALUE!</v>
      </c>
    </row>
    <row r="881" spans="1:20" x14ac:dyDescent="0.3">
      <c r="A881" t="s">
        <v>58</v>
      </c>
      <c r="B881" t="s">
        <v>37</v>
      </c>
      <c r="C881">
        <v>1</v>
      </c>
      <c r="D881">
        <v>0.5</v>
      </c>
      <c r="E881" t="s">
        <v>47</v>
      </c>
      <c r="F881">
        <v>4.3861699999999999</v>
      </c>
      <c r="G881" s="1">
        <v>45994</v>
      </c>
      <c r="H881">
        <v>6.6816300000000002</v>
      </c>
      <c r="I881" s="1">
        <v>46032</v>
      </c>
      <c r="J881">
        <v>63.617251160000002</v>
      </c>
      <c r="K881">
        <v>5.31</v>
      </c>
      <c r="L881">
        <v>1</v>
      </c>
      <c r="M881">
        <v>11.09944</v>
      </c>
      <c r="N881">
        <f>L881*F881</f>
        <v>4.3861699999999999</v>
      </c>
      <c r="O881">
        <f>L881*J881</f>
        <v>63.617251160000002</v>
      </c>
      <c r="P881">
        <f>M881-N881-H881</f>
        <v>3.1639999999999446E-2</v>
      </c>
      <c r="Q881">
        <f>P881/O881</f>
        <v>4.9734937337081019E-4</v>
      </c>
      <c r="R881">
        <f>I881-G881</f>
        <v>38</v>
      </c>
      <c r="S881">
        <f>Q881/R881</f>
        <v>1.3088141404495005E-5</v>
      </c>
      <c r="T881">
        <f>S881*10000</f>
        <v>0.13088141404495005</v>
      </c>
    </row>
    <row r="882" spans="1:20" x14ac:dyDescent="0.3">
      <c r="A882" t="s">
        <v>58</v>
      </c>
      <c r="B882" t="s">
        <v>37</v>
      </c>
      <c r="C882">
        <v>1</v>
      </c>
      <c r="D882">
        <v>0.5</v>
      </c>
      <c r="E882" t="s">
        <v>23</v>
      </c>
      <c r="F882">
        <v>4.13239</v>
      </c>
      <c r="G882" s="1">
        <v>45994</v>
      </c>
      <c r="H882">
        <v>6.6745400000000004</v>
      </c>
      <c r="I882" s="1">
        <v>46032</v>
      </c>
      <c r="J882">
        <v>63.617251160000002</v>
      </c>
      <c r="K882">
        <v>5.31</v>
      </c>
      <c r="L882">
        <v>1</v>
      </c>
      <c r="M882">
        <v>11.586819999999999</v>
      </c>
      <c r="N882">
        <f>L882*F882</f>
        <v>4.13239</v>
      </c>
      <c r="O882">
        <f>L882*J882</f>
        <v>63.617251160000002</v>
      </c>
      <c r="P882">
        <f>M882-N882-H882</f>
        <v>0.77988999999999908</v>
      </c>
      <c r="Q882">
        <f>P882/O882</f>
        <v>1.2259096169347897E-2</v>
      </c>
      <c r="R882">
        <f>I882-G882</f>
        <v>38</v>
      </c>
      <c r="S882">
        <f>Q882/R882</f>
        <v>3.226077939302078E-4</v>
      </c>
      <c r="T882">
        <f>S882*10000</f>
        <v>3.226077939302078</v>
      </c>
    </row>
    <row r="883" spans="1:20" x14ac:dyDescent="0.3">
      <c r="A883" t="s">
        <v>58</v>
      </c>
      <c r="B883" t="s">
        <v>37</v>
      </c>
      <c r="C883">
        <v>1</v>
      </c>
      <c r="D883">
        <v>0.5</v>
      </c>
      <c r="E883" t="s">
        <v>24</v>
      </c>
      <c r="F883">
        <v>4.5840500000000004</v>
      </c>
      <c r="G883" s="1">
        <v>45994</v>
      </c>
      <c r="H883">
        <v>6.6450500000000003</v>
      </c>
      <c r="I883" s="1">
        <v>46032</v>
      </c>
      <c r="J883">
        <v>63.617251160000002</v>
      </c>
      <c r="K883">
        <v>5.31</v>
      </c>
      <c r="L883">
        <v>1</v>
      </c>
      <c r="M883">
        <v>11.289289999999999</v>
      </c>
      <c r="N883">
        <f>L883*F883</f>
        <v>4.5840500000000004</v>
      </c>
      <c r="O883">
        <f>L883*J883</f>
        <v>63.617251160000002</v>
      </c>
      <c r="P883">
        <f>M883-N883-H883</f>
        <v>6.0189999999998633E-2</v>
      </c>
      <c r="Q883">
        <f>P883/O883</f>
        <v>9.4612701590356845E-4</v>
      </c>
      <c r="R883">
        <f>I883-G883</f>
        <v>38</v>
      </c>
      <c r="S883">
        <f>Q883/R883</f>
        <v>2.489807936588338E-5</v>
      </c>
      <c r="T883">
        <f>S883*10000</f>
        <v>0.2489807936588338</v>
      </c>
    </row>
    <row r="884" spans="1:20" x14ac:dyDescent="0.3">
      <c r="A884" t="s">
        <v>58</v>
      </c>
      <c r="B884" t="s">
        <v>37</v>
      </c>
      <c r="C884">
        <v>1</v>
      </c>
      <c r="D884">
        <v>2</v>
      </c>
      <c r="E884" t="s">
        <v>47</v>
      </c>
      <c r="F884">
        <v>4.5093399999999999</v>
      </c>
      <c r="G884" s="1">
        <v>45994</v>
      </c>
      <c r="H884">
        <v>6.7300300000000002</v>
      </c>
      <c r="I884" s="1">
        <v>46032</v>
      </c>
      <c r="J884">
        <v>63.617251160000002</v>
      </c>
      <c r="K884">
        <v>5.31</v>
      </c>
      <c r="L884">
        <v>1</v>
      </c>
      <c r="M884">
        <v>11.39371</v>
      </c>
      <c r="N884">
        <f>L884*F884</f>
        <v>4.5093399999999999</v>
      </c>
      <c r="O884">
        <f>L884*J884</f>
        <v>63.617251160000002</v>
      </c>
      <c r="P884">
        <f>M884-N884-H884</f>
        <v>0.15434000000000037</v>
      </c>
      <c r="Q884">
        <f>P884/O884</f>
        <v>2.4260715008233998E-3</v>
      </c>
      <c r="R884">
        <f>I884-G884</f>
        <v>38</v>
      </c>
      <c r="S884">
        <f>Q884/R884</f>
        <v>6.3843986863773675E-5</v>
      </c>
      <c r="T884">
        <f>S884*10000</f>
        <v>0.63843986863773672</v>
      </c>
    </row>
    <row r="885" spans="1:20" x14ac:dyDescent="0.3">
      <c r="A885" t="s">
        <v>58</v>
      </c>
      <c r="B885" t="s">
        <v>37</v>
      </c>
      <c r="C885">
        <v>1</v>
      </c>
      <c r="D885">
        <v>2</v>
      </c>
      <c r="E885" t="s">
        <v>23</v>
      </c>
      <c r="F885">
        <v>4.17631</v>
      </c>
      <c r="G885" s="1">
        <v>45994</v>
      </c>
      <c r="H885">
        <v>6.6493200000000003</v>
      </c>
      <c r="I885" s="1">
        <v>46032</v>
      </c>
      <c r="J885">
        <v>63.617251160000002</v>
      </c>
      <c r="K885">
        <v>5.31</v>
      </c>
      <c r="L885">
        <v>1</v>
      </c>
      <c r="M885">
        <v>10.998060000000001</v>
      </c>
      <c r="N885">
        <f>L885*F885</f>
        <v>4.17631</v>
      </c>
      <c r="O885">
        <f>L885*J885</f>
        <v>63.617251160000002</v>
      </c>
      <c r="P885">
        <f>M885-N885-H885</f>
        <v>0.17243000000000031</v>
      </c>
      <c r="Q885">
        <f>P885/O885</f>
        <v>2.7104283328170178E-3</v>
      </c>
      <c r="R885">
        <f>I885-G885</f>
        <v>38</v>
      </c>
      <c r="S885">
        <f>Q885/R885</f>
        <v>7.1327061389921524E-5</v>
      </c>
      <c r="T885">
        <f>S885*10000</f>
        <v>0.7132706138992152</v>
      </c>
    </row>
    <row r="886" spans="1:20" x14ac:dyDescent="0.3">
      <c r="A886" t="s">
        <v>58</v>
      </c>
      <c r="B886" t="s">
        <v>37</v>
      </c>
      <c r="C886">
        <v>1</v>
      </c>
      <c r="D886">
        <v>2</v>
      </c>
      <c r="E886" t="s">
        <v>24</v>
      </c>
      <c r="F886">
        <v>4.3176100000000002</v>
      </c>
      <c r="G886" s="1">
        <v>45994</v>
      </c>
      <c r="H886">
        <v>6.9556399999999998</v>
      </c>
      <c r="I886" s="1">
        <v>46032</v>
      </c>
      <c r="J886">
        <v>63.617251160000002</v>
      </c>
      <c r="K886">
        <v>5.31</v>
      </c>
      <c r="L886">
        <v>1</v>
      </c>
      <c r="M886">
        <v>11.42296</v>
      </c>
      <c r="N886">
        <f>L886*F886</f>
        <v>4.3176100000000002</v>
      </c>
      <c r="O886">
        <f>L886*J886</f>
        <v>63.617251160000002</v>
      </c>
      <c r="P886">
        <f>M886-N886-H886</f>
        <v>0.14970999999999979</v>
      </c>
      <c r="Q886">
        <f>P886/O886</f>
        <v>2.3532924996000374E-3</v>
      </c>
      <c r="R886">
        <f>I886-G886</f>
        <v>38</v>
      </c>
      <c r="S886">
        <f>Q886/R886</f>
        <v>6.1928749989474666E-5</v>
      </c>
      <c r="T886">
        <f>S886*10000</f>
        <v>0.61928749989474663</v>
      </c>
    </row>
    <row r="887" spans="1:20" x14ac:dyDescent="0.3">
      <c r="A887" t="s">
        <v>58</v>
      </c>
      <c r="B887" t="s">
        <v>37</v>
      </c>
      <c r="C887">
        <v>1</v>
      </c>
      <c r="D887">
        <v>6</v>
      </c>
      <c r="E887" t="s">
        <v>47</v>
      </c>
      <c r="F887">
        <v>0.44608999999999999</v>
      </c>
      <c r="G887" s="1">
        <v>45994</v>
      </c>
      <c r="H887">
        <v>6.9574999999999996</v>
      </c>
      <c r="I887" s="1">
        <v>46032</v>
      </c>
      <c r="J887">
        <v>63.617251160000002</v>
      </c>
      <c r="K887">
        <v>5.31</v>
      </c>
      <c r="L887">
        <v>1</v>
      </c>
      <c r="M887">
        <v>7.4732900000000004</v>
      </c>
      <c r="N887">
        <f>L887*F887</f>
        <v>0.44608999999999999</v>
      </c>
      <c r="O887">
        <f>L887*J887</f>
        <v>63.617251160000002</v>
      </c>
      <c r="P887">
        <f>M887-N887-H887</f>
        <v>6.9700000000000983E-2</v>
      </c>
      <c r="Q887">
        <f>P887/O887</f>
        <v>1.0956147700362379E-3</v>
      </c>
      <c r="R887">
        <f>I887-G887</f>
        <v>38</v>
      </c>
      <c r="S887">
        <f>Q887/R887</f>
        <v>2.8831967632532574E-5</v>
      </c>
      <c r="T887">
        <f>S887*10000</f>
        <v>0.28831967632532574</v>
      </c>
    </row>
    <row r="888" spans="1:20" x14ac:dyDescent="0.3">
      <c r="A888" t="s">
        <v>58</v>
      </c>
      <c r="B888" t="s">
        <v>37</v>
      </c>
      <c r="C888">
        <v>1</v>
      </c>
      <c r="D888">
        <v>6</v>
      </c>
      <c r="E888" t="s">
        <v>23</v>
      </c>
      <c r="F888">
        <v>0.44438</v>
      </c>
      <c r="G888" s="1">
        <v>45994</v>
      </c>
      <c r="H888">
        <v>6.8989200000000004</v>
      </c>
      <c r="I888" s="1">
        <v>46032</v>
      </c>
      <c r="J888">
        <v>63.617251160000002</v>
      </c>
      <c r="K888">
        <v>5.31</v>
      </c>
      <c r="L888">
        <v>1</v>
      </c>
      <c r="M888">
        <v>7.7452899999999998</v>
      </c>
      <c r="N888">
        <f>L888*F888</f>
        <v>0.44438</v>
      </c>
      <c r="O888">
        <f>L888*J888</f>
        <v>63.617251160000002</v>
      </c>
      <c r="P888">
        <f>M888-N888-H888</f>
        <v>0.40198999999999963</v>
      </c>
      <c r="Q888">
        <f>P888/O888</f>
        <v>6.3188835209018737E-3</v>
      </c>
      <c r="R888">
        <f>I888-G888</f>
        <v>38</v>
      </c>
      <c r="S888">
        <f>Q888/R888</f>
        <v>1.6628640844478616E-4</v>
      </c>
      <c r="T888">
        <f>S888*10000</f>
        <v>1.6628640844478615</v>
      </c>
    </row>
    <row r="889" spans="1:20" x14ac:dyDescent="0.3">
      <c r="A889" t="s">
        <v>58</v>
      </c>
      <c r="B889" t="s">
        <v>37</v>
      </c>
      <c r="C889">
        <v>1</v>
      </c>
      <c r="D889">
        <v>6</v>
      </c>
      <c r="E889" t="s">
        <v>24</v>
      </c>
      <c r="F889">
        <v>0.44784000000000002</v>
      </c>
      <c r="G889" s="1">
        <v>45994</v>
      </c>
      <c r="H889">
        <v>6.9523700000000002</v>
      </c>
      <c r="I889" s="1">
        <v>46032</v>
      </c>
      <c r="J889">
        <v>63.617251160000002</v>
      </c>
      <c r="K889">
        <v>5.31</v>
      </c>
      <c r="L889">
        <v>1</v>
      </c>
      <c r="M889">
        <v>7.7005299999999997</v>
      </c>
      <c r="N889">
        <f>L889*F889</f>
        <v>0.44784000000000002</v>
      </c>
      <c r="O889">
        <f>L889*J889</f>
        <v>63.617251160000002</v>
      </c>
      <c r="P889">
        <f>M889-N889-H889</f>
        <v>0.30031999999999925</v>
      </c>
      <c r="Q889">
        <f>P889/O889</f>
        <v>4.7207321052694044E-3</v>
      </c>
      <c r="R889">
        <f>I889-G889</f>
        <v>38</v>
      </c>
      <c r="S889">
        <f>Q889/R889</f>
        <v>1.2422979224393171E-4</v>
      </c>
      <c r="T889">
        <f>S889*10000</f>
        <v>1.2422979224393171</v>
      </c>
    </row>
    <row r="890" spans="1:20" x14ac:dyDescent="0.3">
      <c r="A890" t="s">
        <v>58</v>
      </c>
      <c r="B890" t="s">
        <v>37</v>
      </c>
      <c r="C890">
        <v>1</v>
      </c>
      <c r="D890">
        <v>12</v>
      </c>
      <c r="E890" t="s">
        <v>47</v>
      </c>
      <c r="F890">
        <v>0.44703999999999999</v>
      </c>
      <c r="G890" s="1">
        <v>45994</v>
      </c>
      <c r="H890">
        <v>6.6224699999999999</v>
      </c>
      <c r="I890" s="1">
        <v>46032</v>
      </c>
      <c r="J890">
        <v>63.617251160000002</v>
      </c>
      <c r="K890">
        <v>5.31</v>
      </c>
      <c r="L890">
        <v>1</v>
      </c>
      <c r="M890">
        <v>7.7184400000000002</v>
      </c>
      <c r="N890">
        <f>L890*F890</f>
        <v>0.44703999999999999</v>
      </c>
      <c r="O890">
        <f>L890*J890</f>
        <v>63.617251160000002</v>
      </c>
      <c r="P890">
        <f>M890-N890-H890</f>
        <v>0.64893000000000001</v>
      </c>
      <c r="Q890">
        <f>P890/O890</f>
        <v>1.0200535046192335E-2</v>
      </c>
      <c r="R890">
        <f>I890-G890</f>
        <v>38</v>
      </c>
      <c r="S890">
        <f>Q890/R890</f>
        <v>2.6843513279453511E-4</v>
      </c>
      <c r="T890">
        <f>S890*10000</f>
        <v>2.6843513279453513</v>
      </c>
    </row>
    <row r="891" spans="1:20" x14ac:dyDescent="0.3">
      <c r="A891" t="s">
        <v>58</v>
      </c>
      <c r="B891" t="s">
        <v>37</v>
      </c>
      <c r="C891">
        <v>1</v>
      </c>
      <c r="D891">
        <v>12</v>
      </c>
      <c r="E891" t="s">
        <v>23</v>
      </c>
      <c r="F891">
        <v>0.44661000000000001</v>
      </c>
      <c r="G891" s="1">
        <v>45994</v>
      </c>
      <c r="H891">
        <v>6.93452</v>
      </c>
      <c r="I891" s="1">
        <v>46032</v>
      </c>
      <c r="J891">
        <v>63.617251160000002</v>
      </c>
      <c r="K891">
        <v>5.31</v>
      </c>
      <c r="L891">
        <v>1</v>
      </c>
      <c r="M891">
        <v>8.1170299999999997</v>
      </c>
      <c r="N891">
        <f>L891*F891</f>
        <v>0.44661000000000001</v>
      </c>
      <c r="O891">
        <f>L891*J891</f>
        <v>63.617251160000002</v>
      </c>
      <c r="P891">
        <f>M891-N891-H891</f>
        <v>0.7359</v>
      </c>
      <c r="Q891">
        <f>P891/O891</f>
        <v>1.1567617062692338E-2</v>
      </c>
      <c r="R891">
        <f>I891-G891</f>
        <v>38</v>
      </c>
      <c r="S891">
        <f>Q891/R891</f>
        <v>3.0441097533400889E-4</v>
      </c>
      <c r="T891">
        <f>S891*10000</f>
        <v>3.0441097533400887</v>
      </c>
    </row>
    <row r="892" spans="1:20" x14ac:dyDescent="0.3">
      <c r="A892" t="s">
        <v>58</v>
      </c>
      <c r="B892" t="s">
        <v>37</v>
      </c>
      <c r="C892">
        <v>1</v>
      </c>
      <c r="D892">
        <v>12</v>
      </c>
      <c r="E892" t="s">
        <v>24</v>
      </c>
      <c r="F892">
        <v>0.4451</v>
      </c>
      <c r="G892" s="1">
        <v>45994</v>
      </c>
      <c r="H892">
        <v>6.9537300000000002</v>
      </c>
      <c r="I892" s="1">
        <v>46032</v>
      </c>
      <c r="J892">
        <v>63.617251160000002</v>
      </c>
      <c r="K892">
        <v>5.31</v>
      </c>
      <c r="L892">
        <v>1</v>
      </c>
      <c r="M892">
        <v>7.9217300000000002</v>
      </c>
      <c r="N892">
        <f>L892*F892</f>
        <v>0.4451</v>
      </c>
      <c r="O892">
        <f>L892*J892</f>
        <v>63.617251160000002</v>
      </c>
      <c r="P892">
        <f>M892-N892-H892</f>
        <v>0.52289999999999992</v>
      </c>
      <c r="Q892">
        <f>P892/O892</f>
        <v>8.2194686262832221E-3</v>
      </c>
      <c r="R892">
        <f>I892-G892</f>
        <v>38</v>
      </c>
      <c r="S892">
        <f>Q892/R892</f>
        <v>2.1630180595482164E-4</v>
      </c>
      <c r="T892">
        <f>S892*10000</f>
        <v>2.1630180595482162</v>
      </c>
    </row>
    <row r="893" spans="1:20" x14ac:dyDescent="0.3">
      <c r="A893" t="s">
        <v>58</v>
      </c>
      <c r="B893" t="s">
        <v>37</v>
      </c>
      <c r="C893">
        <v>1</v>
      </c>
      <c r="D893">
        <v>18</v>
      </c>
      <c r="E893" t="s">
        <v>47</v>
      </c>
      <c r="F893">
        <v>0.44578000000000001</v>
      </c>
      <c r="G893" s="1">
        <v>45994</v>
      </c>
      <c r="H893">
        <v>6.6653000000000002</v>
      </c>
      <c r="I893" s="1">
        <v>46032</v>
      </c>
      <c r="J893">
        <v>63.617251160000002</v>
      </c>
      <c r="K893">
        <v>5.31</v>
      </c>
      <c r="L893">
        <v>1</v>
      </c>
      <c r="M893">
        <v>7.4649299999999998</v>
      </c>
      <c r="N893">
        <f>L893*F893</f>
        <v>0.44578000000000001</v>
      </c>
      <c r="O893">
        <f>L893*J893</f>
        <v>63.617251160000002</v>
      </c>
      <c r="P893">
        <f>M893-N893-H893</f>
        <v>0.35384999999999955</v>
      </c>
      <c r="Q893">
        <f>P893/O893</f>
        <v>5.5621705362599253E-3</v>
      </c>
      <c r="R893">
        <f>I893-G893</f>
        <v>38</v>
      </c>
      <c r="S893">
        <f>Q893/R893</f>
        <v>1.463729088489454E-4</v>
      </c>
      <c r="T893">
        <f>S893*10000</f>
        <v>1.463729088489454</v>
      </c>
    </row>
    <row r="894" spans="1:20" x14ac:dyDescent="0.3">
      <c r="A894" t="s">
        <v>58</v>
      </c>
      <c r="B894" t="s">
        <v>37</v>
      </c>
      <c r="C894">
        <v>1</v>
      </c>
      <c r="D894">
        <v>18</v>
      </c>
      <c r="E894" t="s">
        <v>23</v>
      </c>
      <c r="F894">
        <v>0.44571</v>
      </c>
      <c r="G894" s="1">
        <v>45994</v>
      </c>
      <c r="H894">
        <v>6.67394</v>
      </c>
      <c r="I894" s="1">
        <v>46032</v>
      </c>
      <c r="J894">
        <v>63.617251160000002</v>
      </c>
      <c r="K894">
        <v>5.31</v>
      </c>
      <c r="L894">
        <v>1</v>
      </c>
      <c r="M894">
        <v>7.4902199999999999</v>
      </c>
      <c r="N894">
        <f>L894*F894</f>
        <v>0.44571</v>
      </c>
      <c r="O894">
        <f>L894*J894</f>
        <v>63.617251160000002</v>
      </c>
      <c r="P894">
        <f>M894-N894-H894</f>
        <v>0.37056999999999984</v>
      </c>
      <c r="Q894">
        <f>P894/O894</f>
        <v>5.8249923290146733E-3</v>
      </c>
      <c r="R894">
        <f>I894-G894</f>
        <v>38</v>
      </c>
      <c r="S894">
        <f>Q894/R894</f>
        <v>1.5328927181617561E-4</v>
      </c>
      <c r="T894">
        <f>S894*10000</f>
        <v>1.532892718161756</v>
      </c>
    </row>
    <row r="895" spans="1:20" x14ac:dyDescent="0.3">
      <c r="A895" t="s">
        <v>58</v>
      </c>
      <c r="B895" t="s">
        <v>37</v>
      </c>
      <c r="C895">
        <v>1</v>
      </c>
      <c r="D895">
        <v>18</v>
      </c>
      <c r="E895" t="s">
        <v>24</v>
      </c>
      <c r="F895">
        <v>0.44896999999999998</v>
      </c>
      <c r="G895" s="1">
        <v>45994</v>
      </c>
      <c r="H895">
        <v>6.6393800000000001</v>
      </c>
      <c r="I895" s="1">
        <v>46032</v>
      </c>
      <c r="J895">
        <v>63.617251160000002</v>
      </c>
      <c r="K895">
        <v>5.31</v>
      </c>
      <c r="L895">
        <v>1</v>
      </c>
      <c r="M895">
        <v>7.4881700000000002</v>
      </c>
      <c r="N895">
        <f>L895*F895</f>
        <v>0.44896999999999998</v>
      </c>
      <c r="O895">
        <f>L895*J895</f>
        <v>63.617251160000002</v>
      </c>
      <c r="P895">
        <f>M895-N895-H895</f>
        <v>0.39982000000000006</v>
      </c>
      <c r="Q895">
        <f>P895/O895</f>
        <v>6.284773276268041E-3</v>
      </c>
      <c r="R895">
        <f>I895-G895</f>
        <v>38</v>
      </c>
      <c r="S895">
        <f>Q895/R895</f>
        <v>1.6538877042810633E-4</v>
      </c>
      <c r="T895">
        <f>S895*10000</f>
        <v>1.6538877042810634</v>
      </c>
    </row>
    <row r="896" spans="1:20" x14ac:dyDescent="0.3">
      <c r="A896" t="s">
        <v>58</v>
      </c>
      <c r="B896" t="s">
        <v>37</v>
      </c>
      <c r="C896">
        <v>1</v>
      </c>
      <c r="D896">
        <v>24</v>
      </c>
      <c r="E896" t="s">
        <v>22</v>
      </c>
      <c r="F896">
        <v>0.4456</v>
      </c>
      <c r="G896" s="1">
        <v>45994</v>
      </c>
      <c r="H896">
        <v>6.9893299999999998</v>
      </c>
      <c r="I896" s="1">
        <v>46032</v>
      </c>
      <c r="J896">
        <v>63.617251160000002</v>
      </c>
      <c r="K896">
        <v>5.31</v>
      </c>
      <c r="L896">
        <v>1</v>
      </c>
      <c r="M896">
        <v>7.8551700000000002</v>
      </c>
      <c r="N896">
        <f>L896*F896</f>
        <v>0.4456</v>
      </c>
      <c r="O896">
        <f>L896*J896</f>
        <v>63.617251160000002</v>
      </c>
      <c r="P896">
        <f>M896-N896-H896</f>
        <v>0.42024000000000061</v>
      </c>
      <c r="Q896">
        <f>P896/O896</f>
        <v>6.6057553939745011E-3</v>
      </c>
      <c r="R896">
        <f>I896-G896</f>
        <v>38</v>
      </c>
      <c r="S896">
        <f>Q896/R896</f>
        <v>1.7383566826248688E-4</v>
      </c>
      <c r="T896">
        <f>S896*10000</f>
        <v>1.7383566826248689</v>
      </c>
    </row>
    <row r="897" spans="1:20" x14ac:dyDescent="0.3">
      <c r="A897" t="s">
        <v>58</v>
      </c>
      <c r="B897" t="s">
        <v>37</v>
      </c>
      <c r="C897">
        <v>1</v>
      </c>
      <c r="D897">
        <v>24</v>
      </c>
      <c r="E897" t="s">
        <v>23</v>
      </c>
      <c r="F897">
        <v>0.44629999999999997</v>
      </c>
      <c r="G897" s="1">
        <v>45994</v>
      </c>
      <c r="H897">
        <v>6.6550799999999999</v>
      </c>
      <c r="I897" s="1">
        <v>46032</v>
      </c>
      <c r="J897">
        <v>63.617251160000002</v>
      </c>
      <c r="K897">
        <v>5.31</v>
      </c>
      <c r="L897">
        <v>1</v>
      </c>
      <c r="M897">
        <v>7.4575300000000002</v>
      </c>
      <c r="N897">
        <f>L897*F897</f>
        <v>0.44629999999999997</v>
      </c>
      <c r="O897">
        <f>L897*J897</f>
        <v>63.617251160000002</v>
      </c>
      <c r="P897">
        <f>M897-N897-H897</f>
        <v>0.35615000000000041</v>
      </c>
      <c r="Q897">
        <f>P897/O897</f>
        <v>5.5983242517704595E-3</v>
      </c>
      <c r="R897">
        <f>I897-G897</f>
        <v>38</v>
      </c>
      <c r="S897">
        <f>Q897/R897</f>
        <v>1.4732432241501209E-4</v>
      </c>
      <c r="T897">
        <f>S897*10000</f>
        <v>1.473243224150121</v>
      </c>
    </row>
    <row r="898" spans="1:20" x14ac:dyDescent="0.3">
      <c r="A898" t="s">
        <v>58</v>
      </c>
      <c r="B898" t="s">
        <v>37</v>
      </c>
      <c r="C898">
        <v>1</v>
      </c>
      <c r="D898">
        <v>24</v>
      </c>
      <c r="E898" t="s">
        <v>24</v>
      </c>
      <c r="F898">
        <v>0.45238</v>
      </c>
      <c r="G898" s="1">
        <v>45994</v>
      </c>
      <c r="H898">
        <v>6.6822800000000004</v>
      </c>
      <c r="I898" s="1">
        <v>46032</v>
      </c>
      <c r="J898">
        <v>63.617251160000002</v>
      </c>
      <c r="K898">
        <v>5.31</v>
      </c>
      <c r="L898">
        <v>1</v>
      </c>
      <c r="M898">
        <v>7.5516699999999997</v>
      </c>
      <c r="N898">
        <f>L898*F898</f>
        <v>0.45238</v>
      </c>
      <c r="O898">
        <f>L898*J898</f>
        <v>63.617251160000002</v>
      </c>
      <c r="P898">
        <f>M898-N898-H898</f>
        <v>0.41700999999999944</v>
      </c>
      <c r="Q898">
        <f>P898/O898</f>
        <v>6.5549830021923161E-3</v>
      </c>
      <c r="R898">
        <f>I898-G898</f>
        <v>38</v>
      </c>
      <c r="S898">
        <f>Q898/R898</f>
        <v>1.7249955268927147E-4</v>
      </c>
      <c r="T898">
        <f>S898*10000</f>
        <v>1.7249955268927146</v>
      </c>
    </row>
    <row r="899" spans="1:20" x14ac:dyDescent="0.3">
      <c r="A899" t="s">
        <v>58</v>
      </c>
      <c r="B899" t="s">
        <v>37</v>
      </c>
      <c r="C899">
        <v>1</v>
      </c>
      <c r="D899">
        <v>48</v>
      </c>
      <c r="E899" t="s">
        <v>47</v>
      </c>
      <c r="F899">
        <v>0.45141999999999999</v>
      </c>
      <c r="G899" s="1">
        <v>45994</v>
      </c>
      <c r="H899">
        <v>6.67279</v>
      </c>
      <c r="I899" s="1">
        <v>46032</v>
      </c>
      <c r="J899">
        <v>63.617251160000002</v>
      </c>
      <c r="K899">
        <v>5.31</v>
      </c>
      <c r="L899">
        <v>1</v>
      </c>
      <c r="M899">
        <v>7.8048099999999998</v>
      </c>
      <c r="N899">
        <f>L899*F899</f>
        <v>0.45141999999999999</v>
      </c>
      <c r="O899">
        <f>L899*J899</f>
        <v>63.617251160000002</v>
      </c>
      <c r="P899">
        <f>M899-N899-H899</f>
        <v>0.68060000000000009</v>
      </c>
      <c r="Q899">
        <f>P899/O899</f>
        <v>1.0698355989765467E-2</v>
      </c>
      <c r="R899">
        <f>I899-G899</f>
        <v>38</v>
      </c>
      <c r="S899">
        <f>Q899/R899</f>
        <v>2.815356839411965E-4</v>
      </c>
      <c r="T899">
        <f>S899*10000</f>
        <v>2.8153568394119652</v>
      </c>
    </row>
    <row r="900" spans="1:20" x14ac:dyDescent="0.3">
      <c r="A900" t="s">
        <v>58</v>
      </c>
      <c r="B900" t="s">
        <v>37</v>
      </c>
      <c r="C900">
        <v>1</v>
      </c>
      <c r="D900">
        <v>48</v>
      </c>
      <c r="E900" t="s">
        <v>23</v>
      </c>
      <c r="F900">
        <v>0.45013999999999998</v>
      </c>
      <c r="G900" s="1">
        <v>45994</v>
      </c>
      <c r="H900">
        <v>6.6270899999999999</v>
      </c>
      <c r="I900" s="1">
        <v>46032</v>
      </c>
      <c r="J900">
        <v>63.617251160000002</v>
      </c>
      <c r="K900">
        <v>5.31</v>
      </c>
      <c r="L900">
        <v>1</v>
      </c>
      <c r="M900">
        <v>8.1605500000000006</v>
      </c>
      <c r="N900">
        <f>L900*F900</f>
        <v>0.45013999999999998</v>
      </c>
      <c r="O900">
        <f>L900*J900</f>
        <v>63.617251160000002</v>
      </c>
      <c r="P900">
        <f>M900-N900-H900</f>
        <v>1.0833200000000005</v>
      </c>
      <c r="Q900">
        <f>P900/O900</f>
        <v>1.7028714385590258E-2</v>
      </c>
      <c r="R900">
        <f>I900-G900</f>
        <v>38</v>
      </c>
      <c r="S900">
        <f>Q900/R900</f>
        <v>4.4812406277869099E-4</v>
      </c>
      <c r="T900">
        <f>S900*10000</f>
        <v>4.4812406277869101</v>
      </c>
    </row>
    <row r="901" spans="1:20" x14ac:dyDescent="0.3">
      <c r="A901" t="s">
        <v>58</v>
      </c>
      <c r="B901" t="s">
        <v>37</v>
      </c>
      <c r="C901">
        <v>1</v>
      </c>
      <c r="D901">
        <v>48</v>
      </c>
      <c r="E901" t="s">
        <v>24</v>
      </c>
      <c r="F901">
        <v>0.45338000000000001</v>
      </c>
      <c r="G901" s="1">
        <v>45994</v>
      </c>
      <c r="H901">
        <v>6.67319</v>
      </c>
      <c r="I901" s="1">
        <v>46032</v>
      </c>
      <c r="J901">
        <v>63.617251160000002</v>
      </c>
      <c r="K901">
        <v>5.31</v>
      </c>
      <c r="L901">
        <v>1</v>
      </c>
      <c r="M901">
        <v>7.9945130000000004</v>
      </c>
      <c r="N901">
        <f>L901*F901</f>
        <v>0.45338000000000001</v>
      </c>
      <c r="O901">
        <f>L901*J901</f>
        <v>63.617251160000002</v>
      </c>
      <c r="P901">
        <f>M901-N901-H901</f>
        <v>0.86794300000000035</v>
      </c>
      <c r="Q901">
        <f>P901/O901</f>
        <v>1.3643201870151353E-2</v>
      </c>
      <c r="R901">
        <f>I901-G901</f>
        <v>38</v>
      </c>
      <c r="S901">
        <f>Q901/R901</f>
        <v>3.5903162816187771E-4</v>
      </c>
      <c r="T901">
        <f>S901*10000</f>
        <v>3.5903162816187772</v>
      </c>
    </row>
    <row r="902" spans="1:20" x14ac:dyDescent="0.3">
      <c r="A902" t="s">
        <v>58</v>
      </c>
      <c r="B902" t="s">
        <v>37</v>
      </c>
      <c r="C902">
        <v>2</v>
      </c>
      <c r="D902">
        <v>0.5</v>
      </c>
      <c r="E902" t="s">
        <v>47</v>
      </c>
      <c r="F902">
        <v>4.2915000000000001</v>
      </c>
      <c r="G902" s="1">
        <v>45994</v>
      </c>
      <c r="H902">
        <v>6.5775899999999998</v>
      </c>
      <c r="I902" s="1">
        <v>46032</v>
      </c>
      <c r="J902">
        <v>63.617251160000002</v>
      </c>
      <c r="K902">
        <v>5.31</v>
      </c>
      <c r="L902">
        <v>1</v>
      </c>
      <c r="M902">
        <v>10.87721</v>
      </c>
      <c r="N902">
        <f>L902*F902</f>
        <v>4.2915000000000001</v>
      </c>
      <c r="O902">
        <f>L902*J902</f>
        <v>63.617251160000002</v>
      </c>
      <c r="P902">
        <f>M902-N902-H902</f>
        <v>8.1199999999999051E-3</v>
      </c>
      <c r="Q902">
        <f>P902/O902</f>
        <v>1.2763833475888122E-4</v>
      </c>
      <c r="R902">
        <f>I902-G902</f>
        <v>38</v>
      </c>
      <c r="S902">
        <f>Q902/R902</f>
        <v>3.3589035462863481E-6</v>
      </c>
      <c r="T902">
        <f>S902*10000</f>
        <v>3.358903546286348E-2</v>
      </c>
    </row>
    <row r="903" spans="1:20" x14ac:dyDescent="0.3">
      <c r="A903" t="s">
        <v>58</v>
      </c>
      <c r="B903" t="s">
        <v>37</v>
      </c>
      <c r="C903">
        <v>2</v>
      </c>
      <c r="D903">
        <v>0.5</v>
      </c>
      <c r="E903" t="s">
        <v>23</v>
      </c>
      <c r="F903">
        <v>4.3645800000000001</v>
      </c>
      <c r="G903" s="1">
        <v>45994</v>
      </c>
      <c r="H903">
        <v>6.6416300000000001</v>
      </c>
      <c r="I903" s="1">
        <v>46032</v>
      </c>
      <c r="J903">
        <v>63.617251160000002</v>
      </c>
      <c r="K903">
        <v>5.31</v>
      </c>
      <c r="L903">
        <v>1</v>
      </c>
      <c r="M903">
        <v>11.01831</v>
      </c>
      <c r="N903">
        <f>L903*F903</f>
        <v>4.3645800000000001</v>
      </c>
      <c r="O903">
        <f>L903*J903</f>
        <v>63.617251160000002</v>
      </c>
      <c r="P903">
        <f>M903-N903-H903</f>
        <v>1.2099999999999334E-2</v>
      </c>
      <c r="Q903">
        <f>P903/O903</f>
        <v>1.901999815988172E-4</v>
      </c>
      <c r="R903">
        <f>I903-G903</f>
        <v>38</v>
      </c>
      <c r="S903">
        <f>Q903/R903</f>
        <v>5.0052626736530842E-6</v>
      </c>
      <c r="T903">
        <f>S903*10000</f>
        <v>5.0052626736530839E-2</v>
      </c>
    </row>
    <row r="904" spans="1:20" x14ac:dyDescent="0.3">
      <c r="A904" t="s">
        <v>58</v>
      </c>
      <c r="B904" t="s">
        <v>37</v>
      </c>
      <c r="C904">
        <v>2</v>
      </c>
      <c r="D904">
        <v>0.5</v>
      </c>
      <c r="E904" t="s">
        <v>24</v>
      </c>
      <c r="F904">
        <v>4.1712499999999997</v>
      </c>
      <c r="G904" s="1">
        <v>45994</v>
      </c>
      <c r="H904">
        <v>6.6515700000000004</v>
      </c>
      <c r="I904" s="1">
        <v>46032</v>
      </c>
      <c r="J904">
        <v>63.617251160000002</v>
      </c>
      <c r="K904">
        <v>5.31</v>
      </c>
      <c r="L904">
        <v>1</v>
      </c>
      <c r="M904">
        <v>10.82962</v>
      </c>
      <c r="N904">
        <f>L904*F904</f>
        <v>4.1712499999999997</v>
      </c>
      <c r="O904">
        <f>L904*J904</f>
        <v>63.617251160000002</v>
      </c>
      <c r="P904">
        <f>M904-N904-H904</f>
        <v>6.8000000000001393E-3</v>
      </c>
      <c r="Q904">
        <f>P904/O904</f>
        <v>1.0688924585719461E-4</v>
      </c>
      <c r="R904">
        <f>I904-G904</f>
        <v>38</v>
      </c>
      <c r="S904">
        <f>Q904/R904</f>
        <v>2.8128748909788058E-6</v>
      </c>
      <c r="T904">
        <f>S904*10000</f>
        <v>2.8128748909788059E-2</v>
      </c>
    </row>
    <row r="905" spans="1:20" x14ac:dyDescent="0.3">
      <c r="A905" t="s">
        <v>58</v>
      </c>
      <c r="B905" t="s">
        <v>37</v>
      </c>
      <c r="C905">
        <v>2</v>
      </c>
      <c r="D905">
        <v>2</v>
      </c>
      <c r="E905" t="s">
        <v>47</v>
      </c>
      <c r="F905">
        <v>4.1716600000000001</v>
      </c>
      <c r="G905" s="1">
        <v>45994</v>
      </c>
      <c r="H905">
        <v>6.6940900000000001</v>
      </c>
      <c r="I905" s="1">
        <v>46032</v>
      </c>
      <c r="J905">
        <v>63.617251160000002</v>
      </c>
      <c r="K905">
        <v>5.31</v>
      </c>
      <c r="L905">
        <v>1</v>
      </c>
      <c r="M905">
        <v>10.9444</v>
      </c>
      <c r="N905">
        <f>L905*F905</f>
        <v>4.1716600000000001</v>
      </c>
      <c r="O905">
        <f>L905*J905</f>
        <v>63.617251160000002</v>
      </c>
      <c r="P905">
        <f>M905-N905-H905</f>
        <v>7.8649999999999665E-2</v>
      </c>
      <c r="Q905">
        <f>P905/O905</f>
        <v>1.2362998803923746E-3</v>
      </c>
      <c r="R905">
        <f>I905-G905</f>
        <v>38</v>
      </c>
      <c r="S905">
        <f>Q905/R905</f>
        <v>3.25342073787467E-5</v>
      </c>
      <c r="T905">
        <f>S905*10000</f>
        <v>0.32534207378746699</v>
      </c>
    </row>
    <row r="906" spans="1:20" x14ac:dyDescent="0.3">
      <c r="A906" t="s">
        <v>58</v>
      </c>
      <c r="B906" t="s">
        <v>37</v>
      </c>
      <c r="C906">
        <v>2</v>
      </c>
      <c r="D906">
        <v>2</v>
      </c>
      <c r="E906" t="s">
        <v>23</v>
      </c>
      <c r="F906">
        <v>4.2987200000000003</v>
      </c>
      <c r="G906" s="1">
        <v>45994</v>
      </c>
      <c r="H906">
        <v>6.63748</v>
      </c>
      <c r="I906" s="1">
        <v>46032</v>
      </c>
      <c r="J906">
        <v>63.617251160000002</v>
      </c>
      <c r="K906">
        <v>5.31</v>
      </c>
      <c r="L906">
        <v>1</v>
      </c>
      <c r="M906">
        <v>10.992620000000001</v>
      </c>
      <c r="N906">
        <f>L906*F906</f>
        <v>4.2987200000000003</v>
      </c>
      <c r="O906">
        <f>L906*J906</f>
        <v>63.617251160000002</v>
      </c>
      <c r="P906">
        <f>M906-N906-H906</f>
        <v>5.6420000000000137E-2</v>
      </c>
      <c r="Q906">
        <f>P906/O906</f>
        <v>8.8686636047982518E-4</v>
      </c>
      <c r="R906">
        <f>I906-G906</f>
        <v>38</v>
      </c>
      <c r="S906">
        <f>Q906/R906</f>
        <v>2.333858843367961E-5</v>
      </c>
      <c r="T906">
        <f>S906*10000</f>
        <v>0.23338588433679611</v>
      </c>
    </row>
    <row r="907" spans="1:20" x14ac:dyDescent="0.3">
      <c r="A907" t="s">
        <v>58</v>
      </c>
      <c r="B907" t="s">
        <v>37</v>
      </c>
      <c r="C907">
        <v>2</v>
      </c>
      <c r="D907">
        <v>2</v>
      </c>
      <c r="E907" t="s">
        <v>24</v>
      </c>
      <c r="F907">
        <v>4.3474399999999997</v>
      </c>
      <c r="G907" s="1">
        <v>45994</v>
      </c>
      <c r="H907">
        <v>6.6600299999999999</v>
      </c>
      <c r="I907" s="1">
        <v>46032</v>
      </c>
      <c r="J907">
        <v>63.617251160000002</v>
      </c>
      <c r="K907">
        <v>5.31</v>
      </c>
      <c r="L907">
        <v>1</v>
      </c>
      <c r="M907">
        <v>11.099729999999999</v>
      </c>
      <c r="N907">
        <f>L907*F907</f>
        <v>4.3474399999999997</v>
      </c>
      <c r="O907">
        <f>L907*J907</f>
        <v>63.617251160000002</v>
      </c>
      <c r="P907">
        <f>M907-N907-H907</f>
        <v>9.2259999999999565E-2</v>
      </c>
      <c r="Q907">
        <f>P907/O907</f>
        <v>1.450235562174195E-3</v>
      </c>
      <c r="R907">
        <f>I907-G907</f>
        <v>38</v>
      </c>
      <c r="S907">
        <f>Q907/R907</f>
        <v>3.8164093741426184E-5</v>
      </c>
      <c r="T907">
        <f>S907*10000</f>
        <v>0.38164093741426186</v>
      </c>
    </row>
    <row r="908" spans="1:20" x14ac:dyDescent="0.3">
      <c r="A908" t="s">
        <v>58</v>
      </c>
      <c r="B908" t="s">
        <v>37</v>
      </c>
      <c r="C908">
        <v>2</v>
      </c>
      <c r="D908">
        <v>6</v>
      </c>
      <c r="E908" t="s">
        <v>47</v>
      </c>
      <c r="F908">
        <v>0.45257999999999998</v>
      </c>
      <c r="G908" s="1">
        <v>45994</v>
      </c>
      <c r="H908">
        <v>6.7161600000000004</v>
      </c>
      <c r="I908" s="1">
        <v>46032</v>
      </c>
      <c r="J908">
        <v>63.617251160000002</v>
      </c>
      <c r="K908">
        <v>5.31</v>
      </c>
      <c r="L908">
        <v>1</v>
      </c>
      <c r="M908">
        <v>7.5771899999999999</v>
      </c>
      <c r="N908">
        <f>L908*F908</f>
        <v>0.45257999999999998</v>
      </c>
      <c r="O908">
        <f>L908*J908</f>
        <v>63.617251160000002</v>
      </c>
      <c r="P908">
        <f>M908-N908-H908</f>
        <v>0.40844999999999931</v>
      </c>
      <c r="Q908">
        <f>P908/O908</f>
        <v>6.420428304466202E-3</v>
      </c>
      <c r="R908">
        <f>I908-G908</f>
        <v>38</v>
      </c>
      <c r="S908">
        <f>Q908/R908</f>
        <v>1.6895863959121585E-4</v>
      </c>
      <c r="T908">
        <f>S908*10000</f>
        <v>1.6895863959121584</v>
      </c>
    </row>
    <row r="909" spans="1:20" x14ac:dyDescent="0.3">
      <c r="A909" t="s">
        <v>58</v>
      </c>
      <c r="B909" t="s">
        <v>37</v>
      </c>
      <c r="C909">
        <v>2</v>
      </c>
      <c r="D909">
        <v>6</v>
      </c>
      <c r="E909" t="s">
        <v>23</v>
      </c>
      <c r="F909">
        <v>0.45385999999999999</v>
      </c>
      <c r="G909" s="1">
        <v>45994</v>
      </c>
      <c r="H909">
        <v>6.6660500000000003</v>
      </c>
      <c r="I909" s="1">
        <v>46032</v>
      </c>
      <c r="J909">
        <v>63.617251160000002</v>
      </c>
      <c r="K909">
        <v>5.31</v>
      </c>
      <c r="L909">
        <v>1</v>
      </c>
      <c r="M909">
        <v>7.6663300000000003</v>
      </c>
      <c r="N909">
        <f>L909*F909</f>
        <v>0.45385999999999999</v>
      </c>
      <c r="O909">
        <f>L909*J909</f>
        <v>63.617251160000002</v>
      </c>
      <c r="P909">
        <f>M909-N909-H909</f>
        <v>0.54642000000000035</v>
      </c>
      <c r="Q909">
        <f>P909/O909</f>
        <v>8.5891796648951656E-3</v>
      </c>
      <c r="R909">
        <f>I909-G909</f>
        <v>38</v>
      </c>
      <c r="S909">
        <f>Q909/R909</f>
        <v>2.2603104381303067E-4</v>
      </c>
      <c r="T909">
        <f>S909*10000</f>
        <v>2.2603104381303067</v>
      </c>
    </row>
    <row r="910" spans="1:20" x14ac:dyDescent="0.3">
      <c r="A910" t="s">
        <v>58</v>
      </c>
      <c r="B910" t="s">
        <v>37</v>
      </c>
      <c r="C910">
        <v>2</v>
      </c>
      <c r="D910">
        <v>6</v>
      </c>
      <c r="E910" t="s">
        <v>24</v>
      </c>
      <c r="F910">
        <v>0.44979000000000002</v>
      </c>
      <c r="G910" s="1">
        <v>45994</v>
      </c>
      <c r="H910">
        <v>6.6729000000000003</v>
      </c>
      <c r="I910" s="1">
        <v>46032</v>
      </c>
      <c r="J910">
        <v>63.617251160000002</v>
      </c>
      <c r="K910">
        <v>5.31</v>
      </c>
      <c r="L910">
        <v>1</v>
      </c>
      <c r="M910">
        <v>7.9312500000000004</v>
      </c>
      <c r="N910">
        <f>L910*F910</f>
        <v>0.44979000000000002</v>
      </c>
      <c r="O910">
        <f>L910*J910</f>
        <v>63.617251160000002</v>
      </c>
      <c r="P910">
        <f>M910-N910-H910</f>
        <v>0.80855999999999995</v>
      </c>
      <c r="Q910">
        <f>P910/O910</f>
        <v>1.2709760092689926E-2</v>
      </c>
      <c r="R910">
        <f>I910-G910</f>
        <v>38</v>
      </c>
      <c r="S910">
        <f>Q910/R910</f>
        <v>3.344673708602612E-4</v>
      </c>
      <c r="T910">
        <f>S910*10000</f>
        <v>3.3446737086026119</v>
      </c>
    </row>
    <row r="911" spans="1:20" x14ac:dyDescent="0.3">
      <c r="A911" t="s">
        <v>58</v>
      </c>
      <c r="B911" t="s">
        <v>37</v>
      </c>
      <c r="C911">
        <v>2</v>
      </c>
      <c r="D911">
        <v>12</v>
      </c>
      <c r="E911" t="s">
        <v>47</v>
      </c>
      <c r="F911">
        <v>0.45548</v>
      </c>
      <c r="G911" s="1">
        <v>45994</v>
      </c>
      <c r="H911">
        <v>6.6020700000000003</v>
      </c>
      <c r="I911" s="1">
        <v>46032</v>
      </c>
      <c r="J911">
        <v>63.617251160000002</v>
      </c>
      <c r="K911">
        <v>5.31</v>
      </c>
      <c r="L911">
        <v>1</v>
      </c>
      <c r="M911">
        <v>7.4919000000000002</v>
      </c>
      <c r="N911">
        <f>L911*F911</f>
        <v>0.45548</v>
      </c>
      <c r="O911">
        <f>L911*J911</f>
        <v>63.617251160000002</v>
      </c>
      <c r="P911">
        <f>M911-N911-H911</f>
        <v>0.43435000000000024</v>
      </c>
      <c r="Q911">
        <f>P911/O911</f>
        <v>6.8275505791281698E-3</v>
      </c>
      <c r="R911">
        <f>I911-G911</f>
        <v>38</v>
      </c>
      <c r="S911">
        <f>Q911/R911</f>
        <v>1.7967238366126763E-4</v>
      </c>
      <c r="T911">
        <f>S911*10000</f>
        <v>1.7967238366126763</v>
      </c>
    </row>
    <row r="912" spans="1:20" x14ac:dyDescent="0.3">
      <c r="A912" t="s">
        <v>58</v>
      </c>
      <c r="B912" t="s">
        <v>37</v>
      </c>
      <c r="C912">
        <v>2</v>
      </c>
      <c r="D912">
        <v>12</v>
      </c>
      <c r="E912" t="s">
        <v>23</v>
      </c>
      <c r="F912">
        <v>0.45617000000000002</v>
      </c>
      <c r="G912" s="1">
        <v>45994</v>
      </c>
      <c r="H912">
        <v>6.6832799999999999</v>
      </c>
      <c r="I912" s="1">
        <v>46032</v>
      </c>
      <c r="J912">
        <v>63.617251160000002</v>
      </c>
      <c r="K912">
        <v>5.31</v>
      </c>
      <c r="L912">
        <v>1</v>
      </c>
      <c r="M912">
        <v>7.6006799999999997</v>
      </c>
      <c r="N912">
        <f>L912*F912</f>
        <v>0.45617000000000002</v>
      </c>
      <c r="O912">
        <f>L912*J912</f>
        <v>63.617251160000002</v>
      </c>
      <c r="P912">
        <f>M912-N912-H912</f>
        <v>0.46122999999999958</v>
      </c>
      <c r="Q912">
        <f>P912/O912</f>
        <v>7.2500774803989435E-3</v>
      </c>
      <c r="R912">
        <f>I912-G912</f>
        <v>38</v>
      </c>
      <c r="S912">
        <f>Q912/R912</f>
        <v>1.9079151264207747E-4</v>
      </c>
      <c r="T912">
        <f>S912*10000</f>
        <v>1.9079151264207748</v>
      </c>
    </row>
    <row r="913" spans="1:20" x14ac:dyDescent="0.3">
      <c r="A913" t="s">
        <v>58</v>
      </c>
      <c r="B913" t="s">
        <v>37</v>
      </c>
      <c r="C913">
        <v>2</v>
      </c>
      <c r="D913">
        <v>12</v>
      </c>
      <c r="E913" t="s">
        <v>24</v>
      </c>
      <c r="F913">
        <v>0.45402999999999999</v>
      </c>
      <c r="G913" s="1">
        <v>45994</v>
      </c>
      <c r="H913">
        <v>6.6402700000000001</v>
      </c>
      <c r="I913" s="1">
        <v>46032</v>
      </c>
      <c r="J913">
        <v>63.617251160000002</v>
      </c>
      <c r="K913">
        <v>5.31</v>
      </c>
      <c r="L913">
        <v>1</v>
      </c>
      <c r="M913">
        <v>7.5013300000000003</v>
      </c>
      <c r="N913">
        <f>L913*F913</f>
        <v>0.45402999999999999</v>
      </c>
      <c r="O913">
        <f>L913*J913</f>
        <v>63.617251160000002</v>
      </c>
      <c r="P913">
        <f>M913-N913-H913</f>
        <v>0.40702999999999978</v>
      </c>
      <c r="Q913">
        <f>P913/O913</f>
        <v>6.3981073148901479E-3</v>
      </c>
      <c r="R913">
        <f>I913-G913</f>
        <v>38</v>
      </c>
      <c r="S913">
        <f>Q913/R913</f>
        <v>1.683712451286881E-4</v>
      </c>
      <c r="T913">
        <f>S913*10000</f>
        <v>1.6837124512868811</v>
      </c>
    </row>
    <row r="914" spans="1:20" x14ac:dyDescent="0.3">
      <c r="A914" t="s">
        <v>58</v>
      </c>
      <c r="B914" t="s">
        <v>37</v>
      </c>
      <c r="C914">
        <v>2</v>
      </c>
      <c r="D914">
        <v>18</v>
      </c>
      <c r="E914" t="s">
        <v>47</v>
      </c>
      <c r="F914">
        <v>0.45623000000000002</v>
      </c>
      <c r="G914" s="1">
        <v>45994</v>
      </c>
      <c r="H914">
        <v>6.57653</v>
      </c>
      <c r="I914" s="1">
        <v>46032</v>
      </c>
      <c r="J914">
        <v>63.617251160000002</v>
      </c>
      <c r="K914">
        <v>5.31</v>
      </c>
      <c r="L914">
        <v>1</v>
      </c>
      <c r="M914">
        <v>7.42645</v>
      </c>
      <c r="N914">
        <f>L914*F914</f>
        <v>0.45623000000000002</v>
      </c>
      <c r="O914">
        <f>L914*J914</f>
        <v>63.617251160000002</v>
      </c>
      <c r="P914">
        <f>M914-N914-H914</f>
        <v>0.39369000000000032</v>
      </c>
      <c r="Q914">
        <f>P914/O914</f>
        <v>6.1884157649291349E-3</v>
      </c>
      <c r="R914">
        <f>I914-G914</f>
        <v>38</v>
      </c>
      <c r="S914">
        <f>Q914/R914</f>
        <v>1.6285304644550355E-4</v>
      </c>
      <c r="T914">
        <f>S914*10000</f>
        <v>1.6285304644550356</v>
      </c>
    </row>
    <row r="915" spans="1:20" x14ac:dyDescent="0.3">
      <c r="A915" t="s">
        <v>58</v>
      </c>
      <c r="B915" t="s">
        <v>37</v>
      </c>
      <c r="C915">
        <v>2</v>
      </c>
      <c r="D915">
        <v>18</v>
      </c>
      <c r="E915" t="s">
        <v>23</v>
      </c>
      <c r="F915">
        <v>0.45534999999999998</v>
      </c>
      <c r="G915" s="1">
        <v>45994</v>
      </c>
      <c r="H915">
        <v>6.5764300000000002</v>
      </c>
      <c r="I915" s="1">
        <v>46032</v>
      </c>
      <c r="J915">
        <v>63.617251160000002</v>
      </c>
      <c r="K915">
        <v>5.31</v>
      </c>
      <c r="L915">
        <v>1</v>
      </c>
      <c r="M915">
        <v>7.4893400000000003</v>
      </c>
      <c r="N915">
        <f>L915*F915</f>
        <v>0.45534999999999998</v>
      </c>
      <c r="O915">
        <f>L915*J915</f>
        <v>63.617251160000002</v>
      </c>
      <c r="P915">
        <f>M915-N915-H915</f>
        <v>0.45755999999999997</v>
      </c>
      <c r="Q915">
        <f>P915/O915</f>
        <v>7.1923887256495527E-3</v>
      </c>
      <c r="R915">
        <f>I915-G915</f>
        <v>38</v>
      </c>
      <c r="S915">
        <f>Q915/R915</f>
        <v>1.892733875170935E-4</v>
      </c>
      <c r="T915">
        <f>S915*10000</f>
        <v>1.8927338751709351</v>
      </c>
    </row>
    <row r="916" spans="1:20" x14ac:dyDescent="0.3">
      <c r="A916" t="s">
        <v>58</v>
      </c>
      <c r="B916" t="s">
        <v>37</v>
      </c>
      <c r="C916">
        <v>2</v>
      </c>
      <c r="D916">
        <v>18</v>
      </c>
      <c r="E916" t="s">
        <v>24</v>
      </c>
      <c r="F916">
        <v>0.45529999999999998</v>
      </c>
      <c r="G916" s="1">
        <v>45994</v>
      </c>
      <c r="H916">
        <v>6.6741900000000003</v>
      </c>
      <c r="I916" s="1">
        <v>46032</v>
      </c>
      <c r="J916">
        <v>63.617251160000002</v>
      </c>
      <c r="K916">
        <v>5.31</v>
      </c>
      <c r="L916">
        <v>1</v>
      </c>
      <c r="M916">
        <v>7.6223599999999996</v>
      </c>
      <c r="N916">
        <f>L916*F916</f>
        <v>0.45529999999999998</v>
      </c>
      <c r="O916">
        <f>L916*J916</f>
        <v>63.617251160000002</v>
      </c>
      <c r="P916">
        <f>M916-N916-H916</f>
        <v>0.49286999999999903</v>
      </c>
      <c r="Q916">
        <f>P916/O916</f>
        <v>7.7474268537697536E-3</v>
      </c>
      <c r="R916">
        <f>I916-G916</f>
        <v>38</v>
      </c>
      <c r="S916">
        <f>Q916/R916</f>
        <v>2.0387965404657245E-4</v>
      </c>
      <c r="T916">
        <f>S916*10000</f>
        <v>2.0387965404657247</v>
      </c>
    </row>
    <row r="917" spans="1:20" x14ac:dyDescent="0.3">
      <c r="A917" t="s">
        <v>58</v>
      </c>
      <c r="B917" t="s">
        <v>37</v>
      </c>
      <c r="C917">
        <v>2</v>
      </c>
      <c r="D917">
        <v>24</v>
      </c>
      <c r="E917" t="s">
        <v>22</v>
      </c>
      <c r="F917">
        <v>0.45494000000000001</v>
      </c>
      <c r="G917" s="1">
        <v>45994</v>
      </c>
      <c r="H917">
        <v>6.6207500000000001</v>
      </c>
      <c r="I917" s="1">
        <v>46032</v>
      </c>
      <c r="J917">
        <v>63.617251160000002</v>
      </c>
      <c r="K917">
        <v>5.31</v>
      </c>
      <c r="L917">
        <v>1</v>
      </c>
      <c r="M917">
        <v>7.56168</v>
      </c>
      <c r="N917">
        <f>L917*F917</f>
        <v>0.45494000000000001</v>
      </c>
      <c r="O917">
        <f>L917*J917</f>
        <v>63.617251160000002</v>
      </c>
      <c r="P917">
        <f>M917-N917-H917</f>
        <v>0.48599000000000014</v>
      </c>
      <c r="Q917">
        <f>P917/O917</f>
        <v>7.6392800873730828E-3</v>
      </c>
      <c r="R917">
        <f>I917-G917</f>
        <v>38</v>
      </c>
      <c r="S917">
        <f>Q917/R917</f>
        <v>2.0103368650981797E-4</v>
      </c>
      <c r="T917">
        <f>S917*10000</f>
        <v>2.0103368650981799</v>
      </c>
    </row>
    <row r="918" spans="1:20" x14ac:dyDescent="0.3">
      <c r="A918" t="s">
        <v>58</v>
      </c>
      <c r="B918" t="s">
        <v>37</v>
      </c>
      <c r="C918">
        <v>2</v>
      </c>
      <c r="D918">
        <v>24</v>
      </c>
      <c r="E918" t="s">
        <v>23</v>
      </c>
      <c r="F918">
        <v>0.45179000000000002</v>
      </c>
      <c r="G918" s="1">
        <v>45994</v>
      </c>
      <c r="H918">
        <v>6.5767300000000004</v>
      </c>
      <c r="I918" s="1">
        <v>46032</v>
      </c>
      <c r="J918">
        <v>63.617251160000002</v>
      </c>
      <c r="K918">
        <v>5.31</v>
      </c>
      <c r="L918">
        <v>1</v>
      </c>
      <c r="M918">
        <v>7.5121099999999998</v>
      </c>
      <c r="N918">
        <f>L918*F918</f>
        <v>0.45179000000000002</v>
      </c>
      <c r="O918">
        <f>L918*J918</f>
        <v>63.617251160000002</v>
      </c>
      <c r="P918">
        <f>M918-N918-H918</f>
        <v>0.48358999999999952</v>
      </c>
      <c r="Q918">
        <f>P918/O918</f>
        <v>7.6015544711881813E-3</v>
      </c>
      <c r="R918">
        <f>I918-G918</f>
        <v>38</v>
      </c>
      <c r="S918">
        <f>Q918/R918</f>
        <v>2.0004090713653108E-4</v>
      </c>
      <c r="T918">
        <f>S918*10000</f>
        <v>2.0004090713653109</v>
      </c>
    </row>
    <row r="919" spans="1:20" x14ac:dyDescent="0.3">
      <c r="A919" t="s">
        <v>58</v>
      </c>
      <c r="B919" t="s">
        <v>37</v>
      </c>
      <c r="C919">
        <v>2</v>
      </c>
      <c r="D919">
        <v>24</v>
      </c>
      <c r="E919" t="s">
        <v>24</v>
      </c>
      <c r="F919">
        <v>0.45280999999999999</v>
      </c>
      <c r="G919" s="1">
        <v>45994</v>
      </c>
      <c r="H919">
        <v>6.6128799999999996</v>
      </c>
      <c r="I919" s="1">
        <v>46032</v>
      </c>
      <c r="J919">
        <v>63.617251160000002</v>
      </c>
      <c r="K919">
        <v>5.31</v>
      </c>
      <c r="L919">
        <v>1</v>
      </c>
      <c r="M919">
        <v>7.5262599999999997</v>
      </c>
      <c r="N919">
        <f>L919*F919</f>
        <v>0.45280999999999999</v>
      </c>
      <c r="O919">
        <f>L919*J919</f>
        <v>63.617251160000002</v>
      </c>
      <c r="P919">
        <f>M919-N919-H919</f>
        <v>0.4605699999999997</v>
      </c>
      <c r="Q919">
        <f>P919/O919</f>
        <v>7.2397029359481E-3</v>
      </c>
      <c r="R919">
        <f>I919-G919</f>
        <v>38</v>
      </c>
      <c r="S919">
        <f>Q919/R919</f>
        <v>1.905184983144237E-4</v>
      </c>
      <c r="T919">
        <f>S919*10000</f>
        <v>1.9051849831442369</v>
      </c>
    </row>
    <row r="920" spans="1:20" x14ac:dyDescent="0.3">
      <c r="A920" t="s">
        <v>58</v>
      </c>
      <c r="B920" t="s">
        <v>37</v>
      </c>
      <c r="C920">
        <v>2</v>
      </c>
      <c r="D920">
        <v>48</v>
      </c>
      <c r="E920" t="s">
        <v>47</v>
      </c>
      <c r="F920">
        <v>0.44993</v>
      </c>
      <c r="G920" s="1">
        <v>45994</v>
      </c>
      <c r="H920">
        <v>6.6373499999999996</v>
      </c>
      <c r="I920" s="1">
        <v>46032</v>
      </c>
      <c r="J920">
        <v>63.617251160000002</v>
      </c>
      <c r="K920">
        <v>5.31</v>
      </c>
      <c r="L920">
        <v>1</v>
      </c>
      <c r="M920">
        <v>9.1493000000000002</v>
      </c>
      <c r="N920">
        <f>L920*F920</f>
        <v>0.44993</v>
      </c>
      <c r="O920">
        <f>L920*J920</f>
        <v>63.617251160000002</v>
      </c>
      <c r="P920">
        <f>M920-N920-H920</f>
        <v>2.0620200000000004</v>
      </c>
      <c r="Q920">
        <f>P920/O920</f>
        <v>3.241290628565411E-2</v>
      </c>
      <c r="R920">
        <f>I920-G920</f>
        <v>38</v>
      </c>
      <c r="S920">
        <f>Q920/R920</f>
        <v>8.529712180435292E-4</v>
      </c>
      <c r="T920">
        <f>S920*10000</f>
        <v>8.5297121804352916</v>
      </c>
    </row>
    <row r="921" spans="1:20" x14ac:dyDescent="0.3">
      <c r="A921" t="s">
        <v>58</v>
      </c>
      <c r="B921" t="s">
        <v>37</v>
      </c>
      <c r="C921">
        <v>2</v>
      </c>
      <c r="D921">
        <v>48</v>
      </c>
      <c r="E921" t="s">
        <v>23</v>
      </c>
      <c r="F921">
        <v>0.45233000000000001</v>
      </c>
      <c r="G921" s="1">
        <v>45994</v>
      </c>
      <c r="H921">
        <v>6.6688799999999997</v>
      </c>
      <c r="I921" s="1">
        <v>46032</v>
      </c>
      <c r="J921">
        <v>63.617251160000002</v>
      </c>
      <c r="K921">
        <v>5.31</v>
      </c>
      <c r="L921">
        <v>1</v>
      </c>
      <c r="M921">
        <v>9.0409600000000001</v>
      </c>
      <c r="N921">
        <f>L921*F921</f>
        <v>0.45233000000000001</v>
      </c>
      <c r="O921">
        <f>L921*J921</f>
        <v>63.617251160000002</v>
      </c>
      <c r="P921">
        <f>M921-N921-H921</f>
        <v>1.9197500000000005</v>
      </c>
      <c r="Q921">
        <f>P921/O921</f>
        <v>3.0176563196227236E-2</v>
      </c>
      <c r="R921">
        <f>I921-G921</f>
        <v>38</v>
      </c>
      <c r="S921">
        <f>Q921/R921</f>
        <v>7.9412008411124308E-4</v>
      </c>
      <c r="T921">
        <f>S921*10000</f>
        <v>7.9412008411124306</v>
      </c>
    </row>
    <row r="922" spans="1:20" x14ac:dyDescent="0.3">
      <c r="A922" t="s">
        <v>58</v>
      </c>
      <c r="B922" t="s">
        <v>37</v>
      </c>
      <c r="C922">
        <v>2</v>
      </c>
      <c r="D922">
        <v>48</v>
      </c>
      <c r="E922" t="s">
        <v>24</v>
      </c>
      <c r="F922">
        <v>0.45129000000000002</v>
      </c>
      <c r="G922" s="1">
        <v>45994</v>
      </c>
      <c r="H922">
        <v>6.98651</v>
      </c>
      <c r="I922" s="1">
        <v>46032</v>
      </c>
      <c r="J922">
        <v>63.617251160000002</v>
      </c>
      <c r="K922">
        <v>5.31</v>
      </c>
      <c r="L922">
        <v>1</v>
      </c>
      <c r="M922">
        <v>9.8848699999999994</v>
      </c>
      <c r="N922">
        <f>L922*F922</f>
        <v>0.45129000000000002</v>
      </c>
      <c r="O922">
        <f>L922*J922</f>
        <v>63.617251160000002</v>
      </c>
      <c r="P922">
        <f>M922-N922-H922</f>
        <v>2.4470699999999992</v>
      </c>
      <c r="Q922">
        <f>P922/O922</f>
        <v>3.8465509832317613E-2</v>
      </c>
      <c r="R922">
        <f>I922-G922</f>
        <v>38</v>
      </c>
      <c r="S922">
        <f>Q922/R922</f>
        <v>1.0122502587452003E-3</v>
      </c>
      <c r="T922">
        <f>S922*10000</f>
        <v>10.122502587452002</v>
      </c>
    </row>
    <row r="923" spans="1:20" x14ac:dyDescent="0.3">
      <c r="A923" t="s">
        <v>58</v>
      </c>
      <c r="B923" t="s">
        <v>37</v>
      </c>
      <c r="E923" t="s">
        <v>48</v>
      </c>
      <c r="G923" t="s">
        <v>27</v>
      </c>
      <c r="I923" t="s">
        <v>27</v>
      </c>
      <c r="J923">
        <v>63.617251160000002</v>
      </c>
      <c r="K923">
        <v>5.31</v>
      </c>
      <c r="L923" t="s">
        <v>27</v>
      </c>
      <c r="M923" t="s">
        <v>27</v>
      </c>
      <c r="N923" t="e">
        <f>L923*F923</f>
        <v>#VALUE!</v>
      </c>
      <c r="O923" t="e">
        <f>L923*J923</f>
        <v>#VALUE!</v>
      </c>
      <c r="P923" t="e">
        <f>M923-N923-H923</f>
        <v>#VALUE!</v>
      </c>
      <c r="Q923" t="e">
        <f>P923/O923</f>
        <v>#VALUE!</v>
      </c>
      <c r="R923" t="e">
        <f>I923-G923</f>
        <v>#VALUE!</v>
      </c>
      <c r="S923" t="e">
        <f>Q923/R923</f>
        <v>#VALUE!</v>
      </c>
      <c r="T923" t="e">
        <f>S923*10000</f>
        <v>#VALUE!</v>
      </c>
    </row>
    <row r="924" spans="1:20" x14ac:dyDescent="0.3">
      <c r="A924" t="s">
        <v>58</v>
      </c>
      <c r="B924" t="s">
        <v>37</v>
      </c>
      <c r="E924" t="s">
        <v>49</v>
      </c>
      <c r="G924" t="s">
        <v>27</v>
      </c>
      <c r="I924" t="s">
        <v>27</v>
      </c>
      <c r="J924">
        <v>63.617251160000002</v>
      </c>
      <c r="K924">
        <v>5.31</v>
      </c>
      <c r="L924" t="s">
        <v>27</v>
      </c>
      <c r="M924" t="s">
        <v>27</v>
      </c>
      <c r="N924" t="e">
        <f>L924*F924</f>
        <v>#VALUE!</v>
      </c>
      <c r="O924" t="e">
        <f>L924*J924</f>
        <v>#VALUE!</v>
      </c>
      <c r="P924" t="e">
        <f>M924-N924-H924</f>
        <v>#VALUE!</v>
      </c>
      <c r="Q924" t="e">
        <f>P924/O924</f>
        <v>#VALUE!</v>
      </c>
      <c r="R924" t="e">
        <f>I924-G924</f>
        <v>#VALUE!</v>
      </c>
      <c r="S924" t="e">
        <f>Q924/R924</f>
        <v>#VALUE!</v>
      </c>
      <c r="T924" t="e">
        <f>S924*10000</f>
        <v>#VALUE!</v>
      </c>
    </row>
    <row r="925" spans="1:20" x14ac:dyDescent="0.3">
      <c r="A925" t="s">
        <v>58</v>
      </c>
      <c r="B925" t="s">
        <v>37</v>
      </c>
      <c r="E925" t="s">
        <v>50</v>
      </c>
      <c r="G925" t="s">
        <v>27</v>
      </c>
      <c r="I925" t="s">
        <v>27</v>
      </c>
      <c r="J925">
        <v>63.617251160000002</v>
      </c>
      <c r="K925">
        <v>5.31</v>
      </c>
      <c r="L925" t="s">
        <v>27</v>
      </c>
      <c r="M925" t="s">
        <v>27</v>
      </c>
      <c r="N925" t="e">
        <f>L925*F925</f>
        <v>#VALUE!</v>
      </c>
      <c r="O925" t="e">
        <f>L925*J925</f>
        <v>#VALUE!</v>
      </c>
      <c r="P925" t="e">
        <f>M925-N925-H925</f>
        <v>#VALUE!</v>
      </c>
      <c r="Q925" t="e">
        <f>P925/O925</f>
        <v>#VALUE!</v>
      </c>
      <c r="R925" t="e">
        <f>I925-G925</f>
        <v>#VALUE!</v>
      </c>
      <c r="S925" t="e">
        <f>Q925/R925</f>
        <v>#VALUE!</v>
      </c>
      <c r="T925" t="e">
        <f>S925*10000</f>
        <v>#VALUE!</v>
      </c>
    </row>
    <row r="926" spans="1:20" x14ac:dyDescent="0.3">
      <c r="A926" t="s">
        <v>58</v>
      </c>
      <c r="B926" t="s">
        <v>37</v>
      </c>
      <c r="E926" t="s">
        <v>51</v>
      </c>
      <c r="G926" t="s">
        <v>27</v>
      </c>
      <c r="I926" t="s">
        <v>27</v>
      </c>
      <c r="J926">
        <v>63.617251160000002</v>
      </c>
      <c r="K926">
        <v>5.31</v>
      </c>
      <c r="L926" t="s">
        <v>27</v>
      </c>
      <c r="M926" t="s">
        <v>27</v>
      </c>
      <c r="N926" t="e">
        <f>L926*F926</f>
        <v>#VALUE!</v>
      </c>
      <c r="O926" t="e">
        <f>L926*J926</f>
        <v>#VALUE!</v>
      </c>
      <c r="P926" t="e">
        <f>M926-N926-H926</f>
        <v>#VALUE!</v>
      </c>
      <c r="Q926" t="e">
        <f>P926/O926</f>
        <v>#VALUE!</v>
      </c>
      <c r="R926" t="e">
        <f>I926-G926</f>
        <v>#VALUE!</v>
      </c>
      <c r="S926" t="e">
        <f>Q926/R926</f>
        <v>#VALUE!</v>
      </c>
      <c r="T926" t="e">
        <f>S926*10000</f>
        <v>#VALUE!</v>
      </c>
    </row>
    <row r="927" spans="1:20" x14ac:dyDescent="0.3">
      <c r="A927" t="s">
        <v>58</v>
      </c>
      <c r="B927" t="s">
        <v>36</v>
      </c>
      <c r="C927">
        <v>1</v>
      </c>
      <c r="D927">
        <v>0.5</v>
      </c>
      <c r="E927" t="s">
        <v>47</v>
      </c>
      <c r="F927">
        <v>4.742</v>
      </c>
      <c r="G927" s="1">
        <v>46002</v>
      </c>
      <c r="H927">
        <v>2.71332</v>
      </c>
      <c r="I927" s="1">
        <v>46045</v>
      </c>
      <c r="J927">
        <v>63.617251160000002</v>
      </c>
      <c r="K927">
        <v>5.31</v>
      </c>
      <c r="L927">
        <v>1</v>
      </c>
      <c r="M927">
        <v>7.28226</v>
      </c>
      <c r="N927">
        <f>L927*F927</f>
        <v>4.742</v>
      </c>
      <c r="O927">
        <f>L927*J927</f>
        <v>63.617251160000002</v>
      </c>
      <c r="P927">
        <f>M927-N927-H927</f>
        <v>-0.17305999999999999</v>
      </c>
      <c r="Q927">
        <f>P927/O927</f>
        <v>-2.7203313070655469E-3</v>
      </c>
      <c r="R927">
        <f>I927-G927</f>
        <v>43</v>
      </c>
      <c r="S927">
        <f>Q927/R927</f>
        <v>-6.3263518768966201E-5</v>
      </c>
      <c r="T927">
        <f>S927*10000</f>
        <v>-0.63263518768966198</v>
      </c>
    </row>
    <row r="928" spans="1:20" x14ac:dyDescent="0.3">
      <c r="A928" t="s">
        <v>58</v>
      </c>
      <c r="B928" t="s">
        <v>36</v>
      </c>
      <c r="C928">
        <v>1</v>
      </c>
      <c r="D928">
        <v>0.5</v>
      </c>
      <c r="E928" t="s">
        <v>23</v>
      </c>
      <c r="F928">
        <v>4.5832600000000001</v>
      </c>
      <c r="G928" s="1">
        <v>46002</v>
      </c>
      <c r="H928">
        <v>2.7258900000000001</v>
      </c>
      <c r="I928" s="1">
        <v>46045</v>
      </c>
      <c r="J928">
        <v>63.617251160000002</v>
      </c>
      <c r="K928">
        <v>5.31</v>
      </c>
      <c r="L928">
        <v>1</v>
      </c>
      <c r="M928">
        <v>7.1444799999999997</v>
      </c>
      <c r="N928">
        <f>L928*F928</f>
        <v>4.5832600000000001</v>
      </c>
      <c r="O928">
        <f>L928*J928</f>
        <v>63.617251160000002</v>
      </c>
      <c r="P928">
        <f>M928-N928-H928</f>
        <v>-0.16467000000000054</v>
      </c>
      <c r="Q928">
        <f>P928/O928</f>
        <v>-2.5884488404858724E-3</v>
      </c>
      <c r="R928">
        <f>I928-G928</f>
        <v>43</v>
      </c>
      <c r="S928">
        <f>Q928/R928</f>
        <v>-6.0196484662462152E-5</v>
      </c>
      <c r="T928">
        <f>S928*10000</f>
        <v>-0.60196484662462157</v>
      </c>
    </row>
    <row r="929" spans="1:20" x14ac:dyDescent="0.3">
      <c r="A929" t="s">
        <v>58</v>
      </c>
      <c r="B929" t="s">
        <v>36</v>
      </c>
      <c r="C929">
        <v>1</v>
      </c>
      <c r="D929">
        <v>0.5</v>
      </c>
      <c r="E929" t="s">
        <v>24</v>
      </c>
      <c r="F929">
        <v>4.5537999999999998</v>
      </c>
      <c r="G929" s="1">
        <v>46002</v>
      </c>
      <c r="H929">
        <v>2.7208600000000001</v>
      </c>
      <c r="I929" s="1">
        <v>46045</v>
      </c>
      <c r="J929">
        <v>63.617251160000002</v>
      </c>
      <c r="K929">
        <v>5.31</v>
      </c>
      <c r="L929">
        <v>1</v>
      </c>
      <c r="M929">
        <v>7.13565</v>
      </c>
      <c r="N929">
        <f>L929*F929</f>
        <v>4.5537999999999998</v>
      </c>
      <c r="O929">
        <f>L929*J929</f>
        <v>63.617251160000002</v>
      </c>
      <c r="P929">
        <f>M929-N929-H929</f>
        <v>-0.13900999999999986</v>
      </c>
      <c r="Q929">
        <f>P929/O929</f>
        <v>-2.1850991274423976E-3</v>
      </c>
      <c r="R929">
        <f>I929-G929</f>
        <v>43</v>
      </c>
      <c r="S929">
        <f>Q929/R929</f>
        <v>-5.0816258777730177E-5</v>
      </c>
      <c r="T929">
        <f>S929*10000</f>
        <v>-0.50816258777730172</v>
      </c>
    </row>
    <row r="930" spans="1:20" x14ac:dyDescent="0.3">
      <c r="A930" t="s">
        <v>58</v>
      </c>
      <c r="B930" t="s">
        <v>36</v>
      </c>
      <c r="C930">
        <v>1</v>
      </c>
      <c r="D930">
        <v>2</v>
      </c>
      <c r="E930" t="s">
        <v>47</v>
      </c>
      <c r="F930">
        <v>4.5844100000000001</v>
      </c>
      <c r="G930" s="1">
        <v>46002</v>
      </c>
      <c r="H930">
        <v>2.7407599999999999</v>
      </c>
      <c r="I930" s="1">
        <v>46045</v>
      </c>
      <c r="J930">
        <v>63.617251160000002</v>
      </c>
      <c r="K930">
        <v>5.31</v>
      </c>
      <c r="L930">
        <v>1</v>
      </c>
      <c r="M930">
        <v>7.3443199999999997</v>
      </c>
      <c r="N930">
        <f>L930*F930</f>
        <v>4.5844100000000001</v>
      </c>
      <c r="O930">
        <f>L930*J930</f>
        <v>63.617251160000002</v>
      </c>
      <c r="P930">
        <f>M930-N930-H930</f>
        <v>1.9149999999999778E-2</v>
      </c>
      <c r="Q930">
        <f>P930/O930</f>
        <v>3.0101897914194283E-4</v>
      </c>
      <c r="R930">
        <f>I930-G930</f>
        <v>43</v>
      </c>
      <c r="S930">
        <f>Q930/R930</f>
        <v>7.0004413753940192E-6</v>
      </c>
      <c r="T930">
        <f>S930*10000</f>
        <v>7.000441375394019E-2</v>
      </c>
    </row>
    <row r="931" spans="1:20" x14ac:dyDescent="0.3">
      <c r="A931" t="s">
        <v>58</v>
      </c>
      <c r="B931" t="s">
        <v>36</v>
      </c>
      <c r="C931">
        <v>1</v>
      </c>
      <c r="D931">
        <v>2</v>
      </c>
      <c r="E931" t="s">
        <v>23</v>
      </c>
      <c r="F931">
        <v>4.6337299999999999</v>
      </c>
      <c r="G931" s="1">
        <v>46002</v>
      </c>
      <c r="H931">
        <v>2.32348</v>
      </c>
      <c r="I931" s="1">
        <v>46045</v>
      </c>
      <c r="J931">
        <v>63.617251160000002</v>
      </c>
      <c r="K931">
        <v>5.31</v>
      </c>
      <c r="L931">
        <v>1</v>
      </c>
      <c r="M931">
        <v>7.4844299999999997</v>
      </c>
      <c r="N931">
        <f>L931*F931</f>
        <v>4.6337299999999999</v>
      </c>
      <c r="O931">
        <f>L931*J931</f>
        <v>63.617251160000002</v>
      </c>
      <c r="P931">
        <f>M931-N931-H931</f>
        <v>0.5272199999999998</v>
      </c>
      <c r="Q931">
        <f>P931/O931</f>
        <v>8.2873747354160251E-3</v>
      </c>
      <c r="R931">
        <f>I931-G931</f>
        <v>43</v>
      </c>
      <c r="S931">
        <f>Q931/R931</f>
        <v>1.92729645009675E-4</v>
      </c>
      <c r="T931">
        <f>S931*10000</f>
        <v>1.92729645009675</v>
      </c>
    </row>
    <row r="932" spans="1:20" x14ac:dyDescent="0.3">
      <c r="A932" t="s">
        <v>58</v>
      </c>
      <c r="B932" t="s">
        <v>36</v>
      </c>
      <c r="C932">
        <v>1</v>
      </c>
      <c r="D932">
        <v>2</v>
      </c>
      <c r="E932" t="s">
        <v>24</v>
      </c>
      <c r="F932">
        <v>4.5194400000000003</v>
      </c>
      <c r="G932" s="1">
        <v>46002</v>
      </c>
      <c r="H932">
        <v>2.3540899999999998</v>
      </c>
      <c r="I932" s="1">
        <v>46045</v>
      </c>
      <c r="J932">
        <v>63.617251160000002</v>
      </c>
      <c r="K932">
        <v>5.31</v>
      </c>
      <c r="L932">
        <v>1</v>
      </c>
      <c r="M932">
        <v>6.9664299999999999</v>
      </c>
      <c r="N932">
        <f>L932*F932</f>
        <v>4.5194400000000003</v>
      </c>
      <c r="O932">
        <f>L932*J932</f>
        <v>63.617251160000002</v>
      </c>
      <c r="P932">
        <f>M932-N932-H932</f>
        <v>9.2899999999999761E-2</v>
      </c>
      <c r="Q932">
        <f>P932/O932</f>
        <v>1.4602957264901691E-3</v>
      </c>
      <c r="R932">
        <f>I932-G932</f>
        <v>43</v>
      </c>
      <c r="S932">
        <f>Q932/R932</f>
        <v>3.3960365732329513E-5</v>
      </c>
      <c r="T932">
        <f>S932*10000</f>
        <v>0.33960365732329512</v>
      </c>
    </row>
    <row r="933" spans="1:20" x14ac:dyDescent="0.3">
      <c r="A933" t="s">
        <v>58</v>
      </c>
      <c r="B933" t="s">
        <v>36</v>
      </c>
      <c r="C933">
        <v>1</v>
      </c>
      <c r="D933">
        <v>6</v>
      </c>
      <c r="E933" t="s">
        <v>47</v>
      </c>
      <c r="F933">
        <v>0.45258999999999999</v>
      </c>
      <c r="G933" s="1">
        <v>46002</v>
      </c>
      <c r="H933">
        <v>2.33602</v>
      </c>
      <c r="I933" s="1">
        <v>46045</v>
      </c>
      <c r="J933">
        <v>63.617251160000002</v>
      </c>
      <c r="K933">
        <v>5.31</v>
      </c>
      <c r="L933">
        <v>1</v>
      </c>
      <c r="M933">
        <v>3.29183</v>
      </c>
      <c r="N933">
        <f>L933*F933</f>
        <v>0.45258999999999999</v>
      </c>
      <c r="O933">
        <f>L933*J933</f>
        <v>63.617251160000002</v>
      </c>
      <c r="P933">
        <f>M933-N933-H933</f>
        <v>0.50322000000000022</v>
      </c>
      <c r="Q933">
        <f>P933/O933</f>
        <v>7.9101185735671164E-3</v>
      </c>
      <c r="R933">
        <f>I933-G933</f>
        <v>43</v>
      </c>
      <c r="S933">
        <f>Q933/R933</f>
        <v>1.8395624589690967E-4</v>
      </c>
      <c r="T933">
        <f>S933*10000</f>
        <v>1.8395624589690966</v>
      </c>
    </row>
    <row r="934" spans="1:20" x14ac:dyDescent="0.3">
      <c r="A934" t="s">
        <v>58</v>
      </c>
      <c r="B934" t="s">
        <v>36</v>
      </c>
      <c r="C934">
        <v>1</v>
      </c>
      <c r="D934">
        <v>6</v>
      </c>
      <c r="E934" t="s">
        <v>23</v>
      </c>
      <c r="F934">
        <v>0.45077</v>
      </c>
      <c r="G934" s="1">
        <v>46002</v>
      </c>
      <c r="H934">
        <v>2.2928299999999999</v>
      </c>
      <c r="I934" s="1">
        <v>46045</v>
      </c>
      <c r="J934">
        <v>63.617251160000002</v>
      </c>
      <c r="K934">
        <v>5.31</v>
      </c>
      <c r="L934">
        <v>1</v>
      </c>
      <c r="M934">
        <v>3.4759699999999998</v>
      </c>
      <c r="N934">
        <f>L934*F934</f>
        <v>0.45077</v>
      </c>
      <c r="O934">
        <f>L934*J934</f>
        <v>63.617251160000002</v>
      </c>
      <c r="P934">
        <f>M934-N934-H934</f>
        <v>0.73236999999999997</v>
      </c>
      <c r="Q934">
        <f>P934/O934</f>
        <v>1.1512128968887061E-2</v>
      </c>
      <c r="R934">
        <f>I934-G934</f>
        <v>43</v>
      </c>
      <c r="S934">
        <f>Q934/R934</f>
        <v>2.6772392950900144E-4</v>
      </c>
      <c r="T934">
        <f>S934*10000</f>
        <v>2.6772392950900143</v>
      </c>
    </row>
    <row r="935" spans="1:20" x14ac:dyDescent="0.3">
      <c r="A935" t="s">
        <v>58</v>
      </c>
      <c r="B935" t="s">
        <v>36</v>
      </c>
      <c r="C935">
        <v>1</v>
      </c>
      <c r="D935">
        <v>6</v>
      </c>
      <c r="E935" t="s">
        <v>24</v>
      </c>
      <c r="F935">
        <v>0.45513999999999999</v>
      </c>
      <c r="G935" s="1">
        <v>46002</v>
      </c>
      <c r="H935">
        <v>2.1029499999999999</v>
      </c>
      <c r="I935" s="1">
        <v>46045</v>
      </c>
      <c r="J935">
        <v>63.617251160000002</v>
      </c>
      <c r="K935">
        <v>5.31</v>
      </c>
      <c r="L935">
        <v>1</v>
      </c>
      <c r="M935">
        <v>3.18479</v>
      </c>
      <c r="N935">
        <f>L935*F935</f>
        <v>0.45513999999999999</v>
      </c>
      <c r="O935">
        <f>L935*J935</f>
        <v>63.617251160000002</v>
      </c>
      <c r="P935">
        <f>M935-N935-H935</f>
        <v>0.62670000000000003</v>
      </c>
      <c r="Q935">
        <f>P935/O935</f>
        <v>9.8511015262797794E-3</v>
      </c>
      <c r="R935">
        <f>I935-G935</f>
        <v>43</v>
      </c>
      <c r="S935">
        <f>Q935/R935</f>
        <v>2.290953843320879E-4</v>
      </c>
      <c r="T935">
        <f>S935*10000</f>
        <v>2.2909538433208789</v>
      </c>
    </row>
    <row r="936" spans="1:20" x14ac:dyDescent="0.3">
      <c r="A936" t="s">
        <v>58</v>
      </c>
      <c r="B936" t="s">
        <v>36</v>
      </c>
      <c r="C936">
        <v>1</v>
      </c>
      <c r="D936">
        <v>12</v>
      </c>
      <c r="E936" t="s">
        <v>47</v>
      </c>
      <c r="F936">
        <v>0.45445000000000002</v>
      </c>
      <c r="G936" s="1">
        <v>46002</v>
      </c>
      <c r="H936">
        <v>2.30403</v>
      </c>
      <c r="I936" s="1">
        <v>46045</v>
      </c>
      <c r="J936">
        <v>63.617251160000002</v>
      </c>
      <c r="K936">
        <v>5.31</v>
      </c>
      <c r="L936">
        <v>1</v>
      </c>
      <c r="M936">
        <v>2.9534600000000002</v>
      </c>
      <c r="N936">
        <f>L936*F936</f>
        <v>0.45445000000000002</v>
      </c>
      <c r="O936">
        <f>L936*J936</f>
        <v>63.617251160000002</v>
      </c>
      <c r="P936">
        <f>M936-N936-H936</f>
        <v>0.19498000000000015</v>
      </c>
      <c r="Q936">
        <f>P936/O936</f>
        <v>3.0648919348875581E-3</v>
      </c>
      <c r="R936">
        <f>I936-G936</f>
        <v>43</v>
      </c>
      <c r="S936">
        <f>Q936/R936</f>
        <v>7.1276556625292055E-5</v>
      </c>
      <c r="T936">
        <f>S936*10000</f>
        <v>0.71276556625292053</v>
      </c>
    </row>
    <row r="937" spans="1:20" x14ac:dyDescent="0.3">
      <c r="A937" t="s">
        <v>58</v>
      </c>
      <c r="B937" t="s">
        <v>36</v>
      </c>
      <c r="C937">
        <v>1</v>
      </c>
      <c r="D937">
        <v>12</v>
      </c>
      <c r="E937" t="s">
        <v>23</v>
      </c>
      <c r="F937">
        <v>0.45169999999999999</v>
      </c>
      <c r="G937" s="1">
        <v>46002</v>
      </c>
      <c r="H937">
        <v>2.08047</v>
      </c>
      <c r="I937" s="1">
        <v>46045</v>
      </c>
      <c r="J937">
        <v>63.617251160000002</v>
      </c>
      <c r="K937">
        <v>5.31</v>
      </c>
      <c r="L937">
        <v>1</v>
      </c>
      <c r="M937">
        <v>2.77224</v>
      </c>
      <c r="N937">
        <f>L937*F937</f>
        <v>0.45169999999999999</v>
      </c>
      <c r="O937">
        <f>L937*J937</f>
        <v>63.617251160000002</v>
      </c>
      <c r="P937">
        <f>M937-N937-H937</f>
        <v>0.24007000000000023</v>
      </c>
      <c r="Q937">
        <f>P937/O937</f>
        <v>3.7736619489612071E-3</v>
      </c>
      <c r="R937">
        <f>I937-G937</f>
        <v>43</v>
      </c>
      <c r="S937">
        <f>Q937/R937</f>
        <v>8.7759580208400162E-5</v>
      </c>
      <c r="T937">
        <f>S937*10000</f>
        <v>0.87759580208400167</v>
      </c>
    </row>
    <row r="938" spans="1:20" x14ac:dyDescent="0.3">
      <c r="A938" t="s">
        <v>58</v>
      </c>
      <c r="B938" t="s">
        <v>36</v>
      </c>
      <c r="C938">
        <v>1</v>
      </c>
      <c r="D938">
        <v>12</v>
      </c>
      <c r="E938" t="s">
        <v>24</v>
      </c>
      <c r="F938">
        <v>0.45362999999999998</v>
      </c>
      <c r="G938" s="1">
        <v>46002</v>
      </c>
      <c r="H938">
        <v>2.4150200000000002</v>
      </c>
      <c r="I938" s="1">
        <v>46045</v>
      </c>
      <c r="J938">
        <v>63.617251160000002</v>
      </c>
      <c r="K938">
        <v>5.31</v>
      </c>
      <c r="L938">
        <v>1</v>
      </c>
      <c r="M938">
        <v>3.0987800000000001</v>
      </c>
      <c r="N938">
        <f>L938*F938</f>
        <v>0.45362999999999998</v>
      </c>
      <c r="O938">
        <f>L938*J938</f>
        <v>63.617251160000002</v>
      </c>
      <c r="P938">
        <f>M938-N938-H938</f>
        <v>0.23012999999999995</v>
      </c>
      <c r="Q938">
        <f>P938/O938</f>
        <v>3.6174150219287775E-3</v>
      </c>
      <c r="R938">
        <f>I938-G938</f>
        <v>43</v>
      </c>
      <c r="S938">
        <f>Q938/R938</f>
        <v>8.4125930742529704E-5</v>
      </c>
      <c r="T938">
        <f>S938*10000</f>
        <v>0.84125930742529709</v>
      </c>
    </row>
    <row r="939" spans="1:20" x14ac:dyDescent="0.3">
      <c r="A939" t="s">
        <v>58</v>
      </c>
      <c r="B939" t="s">
        <v>36</v>
      </c>
      <c r="C939">
        <v>1</v>
      </c>
      <c r="D939">
        <v>18</v>
      </c>
      <c r="E939" t="s">
        <v>47</v>
      </c>
      <c r="F939">
        <v>0.45411000000000001</v>
      </c>
      <c r="G939" s="1">
        <v>46002</v>
      </c>
      <c r="H939">
        <v>2.2937099999999999</v>
      </c>
      <c r="I939" s="1">
        <v>46045</v>
      </c>
      <c r="J939">
        <v>63.617251160000002</v>
      </c>
      <c r="K939">
        <v>5.31</v>
      </c>
      <c r="L939">
        <v>1</v>
      </c>
      <c r="M939">
        <v>3.1372800000000001</v>
      </c>
      <c r="N939">
        <f>L939*F939</f>
        <v>0.45411000000000001</v>
      </c>
      <c r="O939">
        <f>L939*J939</f>
        <v>63.617251160000002</v>
      </c>
      <c r="P939">
        <f>M939-N939-H939</f>
        <v>0.38946000000000014</v>
      </c>
      <c r="Q939">
        <f>P939/O939</f>
        <v>6.121924366403261E-3</v>
      </c>
      <c r="R939">
        <f>I939-G939</f>
        <v>43</v>
      </c>
      <c r="S939">
        <f>Q939/R939</f>
        <v>1.4237033410240141E-4</v>
      </c>
      <c r="T939">
        <f>S939*10000</f>
        <v>1.4237033410240141</v>
      </c>
    </row>
    <row r="940" spans="1:20" x14ac:dyDescent="0.3">
      <c r="A940" t="s">
        <v>58</v>
      </c>
      <c r="B940" t="s">
        <v>36</v>
      </c>
      <c r="C940">
        <v>1</v>
      </c>
      <c r="D940">
        <v>18</v>
      </c>
      <c r="E940" t="s">
        <v>23</v>
      </c>
      <c r="F940">
        <v>0.45382</v>
      </c>
      <c r="G940" s="1">
        <v>46002</v>
      </c>
      <c r="H940">
        <v>2.43729</v>
      </c>
      <c r="I940" s="1">
        <v>46045</v>
      </c>
      <c r="J940">
        <v>63.617251160000002</v>
      </c>
      <c r="K940">
        <v>5.31</v>
      </c>
      <c r="L940">
        <v>1</v>
      </c>
      <c r="M940">
        <v>9.7741299999999995</v>
      </c>
      <c r="N940">
        <f>L940*F940</f>
        <v>0.45382</v>
      </c>
      <c r="O940">
        <f>L940*J940</f>
        <v>63.617251160000002</v>
      </c>
      <c r="P940">
        <f>M940-N940-H940</f>
        <v>6.8830199999999992</v>
      </c>
      <c r="Q940">
        <f>P940/O940</f>
        <v>0.10819423779705478</v>
      </c>
      <c r="R940">
        <f>I940-G940</f>
        <v>43</v>
      </c>
      <c r="S940">
        <f>Q940/R940</f>
        <v>2.5161450650477857E-3</v>
      </c>
      <c r="T940">
        <f>S940*10000</f>
        <v>25.161450650477857</v>
      </c>
    </row>
    <row r="941" spans="1:20" x14ac:dyDescent="0.3">
      <c r="A941" t="s">
        <v>58</v>
      </c>
      <c r="B941" t="s">
        <v>36</v>
      </c>
      <c r="C941">
        <v>1</v>
      </c>
      <c r="D941">
        <v>18</v>
      </c>
      <c r="E941" t="s">
        <v>24</v>
      </c>
      <c r="F941">
        <v>0.45312999999999998</v>
      </c>
      <c r="G941" s="1">
        <v>46002</v>
      </c>
      <c r="H941">
        <v>2.4485899999999998</v>
      </c>
      <c r="I941" s="1">
        <v>46045</v>
      </c>
      <c r="J941">
        <v>63.617251160000002</v>
      </c>
      <c r="K941">
        <v>5.31</v>
      </c>
      <c r="L941">
        <v>1</v>
      </c>
      <c r="M941">
        <v>7.9743300000000001</v>
      </c>
      <c r="N941">
        <f>L941*F941</f>
        <v>0.45312999999999998</v>
      </c>
      <c r="O941">
        <f>L941*J941</f>
        <v>63.617251160000002</v>
      </c>
      <c r="P941">
        <f>M941-N941-H941</f>
        <v>5.072610000000001</v>
      </c>
      <c r="Q941">
        <f>P941/O941</f>
        <v>7.9736390798184259E-2</v>
      </c>
      <c r="R941">
        <f>I941-G941</f>
        <v>43</v>
      </c>
      <c r="S941">
        <f>Q941/R941</f>
        <v>1.8543346697252154E-3</v>
      </c>
      <c r="T941">
        <f>S941*10000</f>
        <v>18.543346697252154</v>
      </c>
    </row>
    <row r="942" spans="1:20" x14ac:dyDescent="0.3">
      <c r="A942" t="s">
        <v>58</v>
      </c>
      <c r="B942" t="s">
        <v>36</v>
      </c>
      <c r="C942">
        <v>1</v>
      </c>
      <c r="D942">
        <v>24</v>
      </c>
      <c r="E942" t="s">
        <v>22</v>
      </c>
      <c r="F942">
        <v>0.45078000000000001</v>
      </c>
      <c r="G942" s="1">
        <v>46002</v>
      </c>
      <c r="H942">
        <v>2.43207</v>
      </c>
      <c r="I942" s="1">
        <v>46045</v>
      </c>
      <c r="J942">
        <v>63.617251160000002</v>
      </c>
      <c r="K942">
        <v>5.31</v>
      </c>
      <c r="L942">
        <v>1</v>
      </c>
      <c r="M942">
        <v>4.2072000000000003</v>
      </c>
      <c r="N942">
        <f>L942*F942</f>
        <v>0.45078000000000001</v>
      </c>
      <c r="O942">
        <f>L942*J942</f>
        <v>63.617251160000002</v>
      </c>
      <c r="P942">
        <f>M942-N942-H942</f>
        <v>1.3243500000000004</v>
      </c>
      <c r="Q942">
        <f>P942/O942</f>
        <v>2.0817466581025415E-2</v>
      </c>
      <c r="R942">
        <f>I942-G942</f>
        <v>43</v>
      </c>
      <c r="S942">
        <f>Q942/R942</f>
        <v>4.8412712979128871E-4</v>
      </c>
      <c r="T942">
        <f>S942*10000</f>
        <v>4.8412712979128871</v>
      </c>
    </row>
    <row r="943" spans="1:20" x14ac:dyDescent="0.3">
      <c r="A943" t="s">
        <v>58</v>
      </c>
      <c r="B943" t="s">
        <v>36</v>
      </c>
      <c r="C943">
        <v>1</v>
      </c>
      <c r="D943">
        <v>24</v>
      </c>
      <c r="E943" t="s">
        <v>23</v>
      </c>
      <c r="F943">
        <v>0.44612000000000002</v>
      </c>
      <c r="G943" s="1">
        <v>46002</v>
      </c>
      <c r="H943">
        <v>2.0463200000000001</v>
      </c>
      <c r="I943" s="1">
        <v>46045</v>
      </c>
      <c r="J943">
        <v>63.617251160000002</v>
      </c>
      <c r="K943">
        <v>5.31</v>
      </c>
      <c r="L943">
        <v>1</v>
      </c>
      <c r="M943">
        <v>4.8330599999999997</v>
      </c>
      <c r="N943">
        <f>L943*F943</f>
        <v>0.44612000000000002</v>
      </c>
      <c r="O943">
        <f>L943*J943</f>
        <v>63.617251160000002</v>
      </c>
      <c r="P943">
        <f>M943-N943-H943</f>
        <v>2.3406199999999999</v>
      </c>
      <c r="Q943">
        <f>P943/O943</f>
        <v>3.679222156445025E-2</v>
      </c>
      <c r="R943">
        <f>I943-G943</f>
        <v>43</v>
      </c>
      <c r="S943">
        <f>Q943/R943</f>
        <v>8.5563305963837796E-4</v>
      </c>
      <c r="T943">
        <f>S943*10000</f>
        <v>8.5563305963837788</v>
      </c>
    </row>
    <row r="944" spans="1:20" x14ac:dyDescent="0.3">
      <c r="A944" t="s">
        <v>58</v>
      </c>
      <c r="B944" t="s">
        <v>36</v>
      </c>
      <c r="C944">
        <v>1</v>
      </c>
      <c r="D944">
        <v>24</v>
      </c>
      <c r="E944" t="s">
        <v>24</v>
      </c>
      <c r="F944">
        <v>0.44885000000000003</v>
      </c>
      <c r="G944" s="1">
        <v>46002</v>
      </c>
      <c r="H944">
        <v>2.0697199999999998</v>
      </c>
      <c r="I944" s="1">
        <v>46045</v>
      </c>
      <c r="J944">
        <v>63.617251160000002</v>
      </c>
      <c r="K944">
        <v>5.31</v>
      </c>
      <c r="L944">
        <v>1</v>
      </c>
      <c r="M944">
        <v>4.7980200000000002</v>
      </c>
      <c r="N944">
        <f>L944*F944</f>
        <v>0.44885000000000003</v>
      </c>
      <c r="O944">
        <f>L944*J944</f>
        <v>63.617251160000002</v>
      </c>
      <c r="P944">
        <f>M944-N944-H944</f>
        <v>2.2794500000000002</v>
      </c>
      <c r="Q944">
        <f>P944/O944</f>
        <v>3.5830689921937837E-2</v>
      </c>
      <c r="R944">
        <f>I944-G944</f>
        <v>43</v>
      </c>
      <c r="S944">
        <f>Q944/R944</f>
        <v>8.332718586497172E-4</v>
      </c>
      <c r="T944">
        <f>S944*10000</f>
        <v>8.3327185864971725</v>
      </c>
    </row>
    <row r="945" spans="1:20" x14ac:dyDescent="0.3">
      <c r="A945" t="s">
        <v>58</v>
      </c>
      <c r="B945" t="s">
        <v>36</v>
      </c>
      <c r="C945">
        <v>1</v>
      </c>
      <c r="D945">
        <v>48</v>
      </c>
      <c r="E945" t="s">
        <v>47</v>
      </c>
      <c r="F945">
        <v>0.44824000000000003</v>
      </c>
      <c r="G945" s="1">
        <v>46002</v>
      </c>
      <c r="H945">
        <v>2.0575600000000001</v>
      </c>
      <c r="I945" s="1">
        <v>46045</v>
      </c>
      <c r="J945">
        <v>63.617251160000002</v>
      </c>
      <c r="K945">
        <v>5.31</v>
      </c>
      <c r="L945">
        <v>1</v>
      </c>
      <c r="M945">
        <v>2.8516499999999998</v>
      </c>
      <c r="N945">
        <f>L945*F945</f>
        <v>0.44824000000000003</v>
      </c>
      <c r="O945">
        <f>L945*J945</f>
        <v>63.617251160000002</v>
      </c>
      <c r="P945">
        <f>M945-N945-H945</f>
        <v>0.34584999999999955</v>
      </c>
      <c r="Q945">
        <f>P945/O945</f>
        <v>5.4364184823102865E-3</v>
      </c>
      <c r="R945">
        <f>I945-G945</f>
        <v>43</v>
      </c>
      <c r="S945">
        <f>Q945/R945</f>
        <v>1.2642833679791363E-4</v>
      </c>
      <c r="T945">
        <f>S945*10000</f>
        <v>1.2642833679791363</v>
      </c>
    </row>
    <row r="946" spans="1:20" x14ac:dyDescent="0.3">
      <c r="A946" t="s">
        <v>58</v>
      </c>
      <c r="B946" t="s">
        <v>36</v>
      </c>
      <c r="C946">
        <v>1</v>
      </c>
      <c r="D946">
        <v>48</v>
      </c>
      <c r="E946" t="s">
        <v>23</v>
      </c>
      <c r="F946">
        <v>0.44824999999999998</v>
      </c>
      <c r="G946" s="1">
        <v>46002</v>
      </c>
      <c r="H946">
        <v>2.1029499999999999</v>
      </c>
      <c r="I946" s="1">
        <v>46045</v>
      </c>
      <c r="J946">
        <v>63.617251160000002</v>
      </c>
      <c r="K946">
        <v>5.31</v>
      </c>
      <c r="L946">
        <v>1</v>
      </c>
      <c r="M946">
        <v>2.7983699999999998</v>
      </c>
      <c r="N946">
        <f>L946*F946</f>
        <v>0.44824999999999998</v>
      </c>
      <c r="O946">
        <f>L946*J946</f>
        <v>63.617251160000002</v>
      </c>
      <c r="P946">
        <f>M946-N946-H946</f>
        <v>0.24717000000000011</v>
      </c>
      <c r="Q946">
        <f>P946/O946</f>
        <v>3.8852668968415091E-3</v>
      </c>
      <c r="R946">
        <f>I946-G946</f>
        <v>43</v>
      </c>
      <c r="S946">
        <f>Q946/R946</f>
        <v>9.0355044112593228E-5</v>
      </c>
      <c r="T946">
        <f>S946*10000</f>
        <v>0.9035504411259323</v>
      </c>
    </row>
    <row r="947" spans="1:20" x14ac:dyDescent="0.3">
      <c r="A947" t="s">
        <v>58</v>
      </c>
      <c r="B947" t="s">
        <v>36</v>
      </c>
      <c r="C947">
        <v>1</v>
      </c>
      <c r="D947">
        <v>48</v>
      </c>
      <c r="E947" t="s">
        <v>24</v>
      </c>
      <c r="F947">
        <v>0.44733000000000001</v>
      </c>
      <c r="G947" s="1">
        <v>46002</v>
      </c>
      <c r="H947">
        <v>2.0939199999999998</v>
      </c>
      <c r="I947" s="1">
        <v>46045</v>
      </c>
      <c r="J947">
        <v>63.617251160000002</v>
      </c>
      <c r="K947">
        <v>5.31</v>
      </c>
      <c r="L947">
        <v>1</v>
      </c>
      <c r="M947">
        <v>2.9167000000000001</v>
      </c>
      <c r="N947">
        <f>L947*F947</f>
        <v>0.44733000000000001</v>
      </c>
      <c r="O947">
        <f>L947*J947</f>
        <v>63.617251160000002</v>
      </c>
      <c r="P947">
        <f>M947-N947-H947</f>
        <v>0.37545000000000028</v>
      </c>
      <c r="Q947">
        <f>P947/O947</f>
        <v>5.9017010819239595E-3</v>
      </c>
      <c r="R947">
        <f>I947-G947</f>
        <v>43</v>
      </c>
      <c r="S947">
        <f>Q947/R947</f>
        <v>1.3724886237032464E-4</v>
      </c>
      <c r="T947">
        <f>S947*10000</f>
        <v>1.3724886237032465</v>
      </c>
    </row>
    <row r="948" spans="1:20" x14ac:dyDescent="0.3">
      <c r="A948" t="s">
        <v>58</v>
      </c>
      <c r="B948" t="s">
        <v>36</v>
      </c>
      <c r="C948">
        <v>2</v>
      </c>
      <c r="D948">
        <v>0.5</v>
      </c>
      <c r="E948" t="s">
        <v>47</v>
      </c>
      <c r="F948">
        <v>4.5427999999999997</v>
      </c>
      <c r="G948" s="1">
        <v>46002</v>
      </c>
      <c r="H948">
        <v>5.1029</v>
      </c>
      <c r="I948" s="1">
        <v>46045</v>
      </c>
      <c r="J948">
        <v>63.617251160000002</v>
      </c>
      <c r="K948">
        <v>5.31</v>
      </c>
      <c r="L948">
        <v>1</v>
      </c>
      <c r="M948">
        <v>17.906469999999999</v>
      </c>
      <c r="N948">
        <f>L948*F948</f>
        <v>4.5427999999999997</v>
      </c>
      <c r="O948">
        <f>L948*J948</f>
        <v>63.617251160000002</v>
      </c>
      <c r="P948">
        <f>M948-N948-H948</f>
        <v>8.2607699999999991</v>
      </c>
      <c r="Q948">
        <f>P948/O948</f>
        <v>0.12985109933819403</v>
      </c>
      <c r="R948">
        <f>I948-G948</f>
        <v>43</v>
      </c>
      <c r="S948">
        <f>Q948/R948</f>
        <v>3.0197930078649775E-3</v>
      </c>
      <c r="T948">
        <f>S948*10000</f>
        <v>30.197930078649776</v>
      </c>
    </row>
    <row r="949" spans="1:20" x14ac:dyDescent="0.3">
      <c r="A949" t="s">
        <v>58</v>
      </c>
      <c r="B949" t="s">
        <v>36</v>
      </c>
      <c r="C949">
        <v>2</v>
      </c>
      <c r="D949">
        <v>0.5</v>
      </c>
      <c r="E949" t="s">
        <v>23</v>
      </c>
      <c r="F949">
        <v>4.4829400000000001</v>
      </c>
      <c r="G949" s="1">
        <v>46002</v>
      </c>
      <c r="H949">
        <v>5.1338499999999998</v>
      </c>
      <c r="I949" s="1">
        <v>46045</v>
      </c>
      <c r="J949">
        <v>63.617251160000002</v>
      </c>
      <c r="K949">
        <v>5.31</v>
      </c>
      <c r="L949">
        <v>1</v>
      </c>
      <c r="M949">
        <v>9.7846200000000003</v>
      </c>
      <c r="N949">
        <f>L949*F949</f>
        <v>4.4829400000000001</v>
      </c>
      <c r="O949">
        <f>L949*J949</f>
        <v>63.617251160000002</v>
      </c>
      <c r="P949">
        <f>M949-N949-H949</f>
        <v>0.16783000000000037</v>
      </c>
      <c r="Q949">
        <f>P949/O949</f>
        <v>2.6381209017959772E-3</v>
      </c>
      <c r="R949">
        <f>I949-G949</f>
        <v>43</v>
      </c>
      <c r="S949">
        <f>Q949/R949</f>
        <v>6.1351648878976215E-5</v>
      </c>
      <c r="T949">
        <f>S949*10000</f>
        <v>0.61351648878976217</v>
      </c>
    </row>
    <row r="950" spans="1:20" x14ac:dyDescent="0.3">
      <c r="A950" t="s">
        <v>58</v>
      </c>
      <c r="B950" t="s">
        <v>36</v>
      </c>
      <c r="C950">
        <v>2</v>
      </c>
      <c r="D950">
        <v>0.5</v>
      </c>
      <c r="E950" t="s">
        <v>24</v>
      </c>
      <c r="F950">
        <v>4.5118099999999997</v>
      </c>
      <c r="G950" s="1">
        <v>46002</v>
      </c>
      <c r="H950">
        <v>5.0966800000000001</v>
      </c>
      <c r="I950" s="1">
        <v>46045</v>
      </c>
      <c r="J950">
        <v>63.617251160000002</v>
      </c>
      <c r="K950">
        <v>5.31</v>
      </c>
      <c r="L950">
        <v>1</v>
      </c>
      <c r="M950">
        <v>9.6565999999999992</v>
      </c>
      <c r="N950">
        <f>L950*F950</f>
        <v>4.5118099999999997</v>
      </c>
      <c r="O950">
        <f>L950*J950</f>
        <v>63.617251160000002</v>
      </c>
      <c r="P950">
        <f>M950-N950-H950</f>
        <v>4.8109999999999431E-2</v>
      </c>
      <c r="Q950">
        <f>P950/O950</f>
        <v>7.5624141443962742E-4</v>
      </c>
      <c r="R950">
        <f>I950-G950</f>
        <v>43</v>
      </c>
      <c r="S950">
        <f>Q950/R950</f>
        <v>1.7587009638130869E-5</v>
      </c>
      <c r="T950">
        <f>S950*10000</f>
        <v>0.17587009638130868</v>
      </c>
    </row>
    <row r="951" spans="1:20" x14ac:dyDescent="0.3">
      <c r="A951" t="s">
        <v>58</v>
      </c>
      <c r="B951" t="s">
        <v>36</v>
      </c>
      <c r="C951">
        <v>2</v>
      </c>
      <c r="D951">
        <v>2</v>
      </c>
      <c r="E951" t="s">
        <v>47</v>
      </c>
      <c r="F951">
        <v>4.5886100000000001</v>
      </c>
      <c r="G951" s="1">
        <v>46002</v>
      </c>
      <c r="H951">
        <v>5.1107300000000002</v>
      </c>
      <c r="I951" s="1">
        <v>46045</v>
      </c>
      <c r="J951">
        <v>63.617251160000002</v>
      </c>
      <c r="K951">
        <v>5.31</v>
      </c>
      <c r="L951">
        <v>1</v>
      </c>
      <c r="M951">
        <v>315.89</v>
      </c>
      <c r="N951">
        <f>L951*F951</f>
        <v>4.5886100000000001</v>
      </c>
      <c r="O951">
        <f>L951*J951</f>
        <v>63.617251160000002</v>
      </c>
      <c r="P951">
        <f>M951-N951-H951</f>
        <v>306.19065999999998</v>
      </c>
      <c r="Q951">
        <f>P951/O951</f>
        <v>4.8130130493994132</v>
      </c>
      <c r="R951">
        <f>I951-G951</f>
        <v>43</v>
      </c>
      <c r="S951">
        <f>Q951/R951</f>
        <v>0.11193053603254449</v>
      </c>
      <c r="T951">
        <f>S951*10000</f>
        <v>1119.305360325445</v>
      </c>
    </row>
    <row r="952" spans="1:20" x14ac:dyDescent="0.3">
      <c r="A952" t="s">
        <v>58</v>
      </c>
      <c r="B952" t="s">
        <v>36</v>
      </c>
      <c r="C952">
        <v>2</v>
      </c>
      <c r="D952">
        <v>2</v>
      </c>
      <c r="E952" t="s">
        <v>23</v>
      </c>
      <c r="F952">
        <v>4.4472300000000002</v>
      </c>
      <c r="G952" s="1">
        <v>46002</v>
      </c>
      <c r="H952">
        <v>5.1052299999999997</v>
      </c>
      <c r="I952" s="1">
        <v>46045</v>
      </c>
      <c r="J952">
        <v>63.617251160000002</v>
      </c>
      <c r="K952">
        <v>5.31</v>
      </c>
      <c r="L952">
        <v>1</v>
      </c>
      <c r="M952">
        <v>275.51</v>
      </c>
      <c r="N952">
        <f>L952*F952</f>
        <v>4.4472300000000002</v>
      </c>
      <c r="O952">
        <f>L952*J952</f>
        <v>63.617251160000002</v>
      </c>
      <c r="P952">
        <f>M952-N952-H952</f>
        <v>265.95753999999999</v>
      </c>
      <c r="Q952">
        <f>P952/O952</f>
        <v>4.1805883647991307</v>
      </c>
      <c r="R952">
        <f>I952-G952</f>
        <v>43</v>
      </c>
      <c r="S952">
        <f>Q952/R952</f>
        <v>9.7222985227886763E-2</v>
      </c>
      <c r="T952">
        <f>S952*10000</f>
        <v>972.22985227886761</v>
      </c>
    </row>
    <row r="953" spans="1:20" x14ac:dyDescent="0.3">
      <c r="A953" t="s">
        <v>58</v>
      </c>
      <c r="B953" t="s">
        <v>36</v>
      </c>
      <c r="C953">
        <v>2</v>
      </c>
      <c r="D953">
        <v>2</v>
      </c>
      <c r="E953" t="s">
        <v>24</v>
      </c>
      <c r="F953">
        <v>4.57979</v>
      </c>
      <c r="G953" s="1">
        <v>46002</v>
      </c>
      <c r="H953">
        <v>5.0808999999999997</v>
      </c>
      <c r="I953" s="1">
        <v>46045</v>
      </c>
      <c r="J953">
        <v>63.617251160000002</v>
      </c>
      <c r="K953">
        <v>5.31</v>
      </c>
      <c r="L953">
        <v>1</v>
      </c>
      <c r="M953">
        <v>234.86</v>
      </c>
      <c r="N953">
        <f>L953*F953</f>
        <v>4.57979</v>
      </c>
      <c r="O953">
        <f>L953*J953</f>
        <v>63.617251160000002</v>
      </c>
      <c r="P953">
        <f>M953-N953-H953</f>
        <v>225.19931000000003</v>
      </c>
      <c r="Q953">
        <f>P953/O953</f>
        <v>3.5399094725676608</v>
      </c>
      <c r="R953">
        <f>I953-G953</f>
        <v>43</v>
      </c>
      <c r="S953">
        <f>Q953/R953</f>
        <v>8.2323476106224674E-2</v>
      </c>
      <c r="T953">
        <f>S953*10000</f>
        <v>823.23476106224678</v>
      </c>
    </row>
    <row r="954" spans="1:20" x14ac:dyDescent="0.3">
      <c r="A954" t="s">
        <v>58</v>
      </c>
      <c r="B954" t="s">
        <v>36</v>
      </c>
      <c r="C954">
        <v>2</v>
      </c>
      <c r="D954">
        <v>6</v>
      </c>
      <c r="E954" t="s">
        <v>47</v>
      </c>
      <c r="F954">
        <v>0.45005000000000001</v>
      </c>
      <c r="G954" s="1">
        <v>46002</v>
      </c>
      <c r="H954">
        <v>5.1572699999999996</v>
      </c>
      <c r="I954" s="1">
        <v>46045</v>
      </c>
      <c r="J954">
        <v>63.617251160000002</v>
      </c>
      <c r="K954">
        <v>5.31</v>
      </c>
      <c r="L954">
        <v>1</v>
      </c>
      <c r="M954">
        <v>6.7074600000000002</v>
      </c>
      <c r="N954">
        <f>L954*F954</f>
        <v>0.45005000000000001</v>
      </c>
      <c r="O954">
        <f>L954*J954</f>
        <v>63.617251160000002</v>
      </c>
      <c r="P954">
        <f>M954-N954-H954</f>
        <v>1.1001400000000006</v>
      </c>
      <c r="Q954">
        <f>P954/O954</f>
        <v>1.7293108079019372E-2</v>
      </c>
      <c r="R954">
        <f>I954-G954</f>
        <v>43</v>
      </c>
      <c r="S954">
        <f>Q954/R954</f>
        <v>4.0216530416324121E-4</v>
      </c>
      <c r="T954">
        <f>S954*10000</f>
        <v>4.0216530416324119</v>
      </c>
    </row>
    <row r="955" spans="1:20" x14ac:dyDescent="0.3">
      <c r="A955" t="s">
        <v>58</v>
      </c>
      <c r="B955" t="s">
        <v>36</v>
      </c>
      <c r="C955">
        <v>2</v>
      </c>
      <c r="D955">
        <v>6</v>
      </c>
      <c r="E955" t="s">
        <v>23</v>
      </c>
      <c r="F955">
        <v>0.44691999999999998</v>
      </c>
      <c r="G955" s="1">
        <v>46002</v>
      </c>
      <c r="H955">
        <v>5.15083</v>
      </c>
      <c r="I955" s="1">
        <v>46045</v>
      </c>
      <c r="J955">
        <v>63.617251160000002</v>
      </c>
      <c r="K955">
        <v>5.31</v>
      </c>
      <c r="L955">
        <v>1</v>
      </c>
      <c r="M955">
        <v>6.8740300000000003</v>
      </c>
      <c r="N955">
        <f>L955*F955</f>
        <v>0.44691999999999998</v>
      </c>
      <c r="O955">
        <f>L955*J955</f>
        <v>63.617251160000002</v>
      </c>
      <c r="P955">
        <f>M955-N955-H955</f>
        <v>1.2762800000000007</v>
      </c>
      <c r="Q955">
        <f>P955/O955</f>
        <v>2.0061853926855534E-2</v>
      </c>
      <c r="R955">
        <f>I955-G955</f>
        <v>43</v>
      </c>
      <c r="S955">
        <f>Q955/R955</f>
        <v>4.6655474248501243E-4</v>
      </c>
      <c r="T955">
        <f>S955*10000</f>
        <v>4.6655474248501241</v>
      </c>
    </row>
    <row r="956" spans="1:20" x14ac:dyDescent="0.3">
      <c r="A956" t="s">
        <v>58</v>
      </c>
      <c r="B956" t="s">
        <v>36</v>
      </c>
      <c r="C956">
        <v>2</v>
      </c>
      <c r="D956">
        <v>6</v>
      </c>
      <c r="E956" t="s">
        <v>24</v>
      </c>
      <c r="F956">
        <v>0.44552999999999998</v>
      </c>
      <c r="G956" s="1">
        <v>46002</v>
      </c>
      <c r="H956">
        <v>5.1165900000000004</v>
      </c>
      <c r="I956" s="1">
        <v>46045</v>
      </c>
      <c r="J956">
        <v>63.617251160000002</v>
      </c>
      <c r="K956">
        <v>5.31</v>
      </c>
      <c r="L956">
        <v>1</v>
      </c>
      <c r="M956">
        <v>6.7730300000000003</v>
      </c>
      <c r="N956">
        <f>L956*F956</f>
        <v>0.44552999999999998</v>
      </c>
      <c r="O956">
        <f>L956*J956</f>
        <v>63.617251160000002</v>
      </c>
      <c r="P956">
        <f>M956-N956-H956</f>
        <v>1.2109100000000002</v>
      </c>
      <c r="Q956">
        <f>P956/O956</f>
        <v>1.9034302456019545E-2</v>
      </c>
      <c r="R956">
        <f>I956-G956</f>
        <v>43</v>
      </c>
      <c r="S956">
        <f>Q956/R956</f>
        <v>4.4265819665161732E-4</v>
      </c>
      <c r="T956">
        <f>S956*10000</f>
        <v>4.4265819665161734</v>
      </c>
    </row>
    <row r="957" spans="1:20" x14ac:dyDescent="0.3">
      <c r="A957" t="s">
        <v>58</v>
      </c>
      <c r="B957" t="s">
        <v>36</v>
      </c>
      <c r="C957">
        <v>2</v>
      </c>
      <c r="D957">
        <v>12</v>
      </c>
      <c r="E957" t="s">
        <v>47</v>
      </c>
      <c r="F957">
        <v>0.44697999999999999</v>
      </c>
      <c r="G957" s="1">
        <v>46002</v>
      </c>
      <c r="H957">
        <v>5.1233199999999997</v>
      </c>
      <c r="I957" s="1">
        <v>46045</v>
      </c>
      <c r="J957">
        <v>63.617251160000002</v>
      </c>
      <c r="K957">
        <v>5.31</v>
      </c>
      <c r="L957">
        <v>1</v>
      </c>
      <c r="M957">
        <v>7.05586</v>
      </c>
      <c r="N957">
        <f>L957*F957</f>
        <v>0.44697999999999999</v>
      </c>
      <c r="O957">
        <f>L957*J957</f>
        <v>63.617251160000002</v>
      </c>
      <c r="P957">
        <f>M957-N957-H957</f>
        <v>1.4855600000000004</v>
      </c>
      <c r="Q957">
        <f>P957/O957</f>
        <v>2.3351527658178061E-2</v>
      </c>
      <c r="R957">
        <f>I957-G957</f>
        <v>43</v>
      </c>
      <c r="S957">
        <f>Q957/R957</f>
        <v>5.43058782748327E-4</v>
      </c>
      <c r="T957">
        <f>S957*10000</f>
        <v>5.4305878274832704</v>
      </c>
    </row>
    <row r="958" spans="1:20" x14ac:dyDescent="0.3">
      <c r="A958" t="s">
        <v>58</v>
      </c>
      <c r="B958" t="s">
        <v>36</v>
      </c>
      <c r="C958">
        <v>2</v>
      </c>
      <c r="D958">
        <v>12</v>
      </c>
      <c r="E958" t="s">
        <v>23</v>
      </c>
      <c r="F958">
        <v>0.44762999999999997</v>
      </c>
      <c r="G958" s="1">
        <v>46002</v>
      </c>
      <c r="H958">
        <v>5.1085000000000003</v>
      </c>
      <c r="I958" s="1">
        <v>46045</v>
      </c>
      <c r="J958">
        <v>63.617251160000002</v>
      </c>
      <c r="K958">
        <v>5.31</v>
      </c>
      <c r="L958">
        <v>1</v>
      </c>
      <c r="M958">
        <v>8.5087399999999995</v>
      </c>
      <c r="N958">
        <f>L958*F958</f>
        <v>0.44762999999999997</v>
      </c>
      <c r="O958">
        <f>L958*J958</f>
        <v>63.617251160000002</v>
      </c>
      <c r="P958">
        <f>M958-N958-H958</f>
        <v>2.9526099999999991</v>
      </c>
      <c r="Q958">
        <f>P958/O958</f>
        <v>4.6412096501530123E-2</v>
      </c>
      <c r="R958">
        <f>I958-G958</f>
        <v>43</v>
      </c>
      <c r="S958">
        <f>Q958/R958</f>
        <v>1.0793510814309331E-3</v>
      </c>
      <c r="T958">
        <f>S958*10000</f>
        <v>10.793510814309331</v>
      </c>
    </row>
    <row r="959" spans="1:20" x14ac:dyDescent="0.3">
      <c r="A959" t="s">
        <v>58</v>
      </c>
      <c r="B959" t="s">
        <v>36</v>
      </c>
      <c r="C959">
        <v>2</v>
      </c>
      <c r="D959">
        <v>12</v>
      </c>
      <c r="E959" t="s">
        <v>24</v>
      </c>
      <c r="F959">
        <v>0.44646000000000002</v>
      </c>
      <c r="G959" s="1">
        <v>46002</v>
      </c>
      <c r="H959">
        <v>5.1501099999999997</v>
      </c>
      <c r="I959" s="1">
        <v>46045</v>
      </c>
      <c r="J959">
        <v>63.617251160000002</v>
      </c>
      <c r="K959">
        <v>5.31</v>
      </c>
      <c r="L959">
        <v>1</v>
      </c>
      <c r="M959">
        <v>7.5956799999999998</v>
      </c>
      <c r="N959">
        <f>L959*F959</f>
        <v>0.44646000000000002</v>
      </c>
      <c r="O959">
        <f>L959*J959</f>
        <v>63.617251160000002</v>
      </c>
      <c r="P959">
        <f>M959-N959-H959</f>
        <v>1.9991099999999999</v>
      </c>
      <c r="Q959">
        <f>P959/O959</f>
        <v>3.1424023571407639E-2</v>
      </c>
      <c r="R959">
        <f>I959-G959</f>
        <v>43</v>
      </c>
      <c r="S959">
        <f>Q959/R959</f>
        <v>7.3079124584668931E-4</v>
      </c>
      <c r="T959">
        <f>S959*10000</f>
        <v>7.3079124584668929</v>
      </c>
    </row>
    <row r="960" spans="1:20" x14ac:dyDescent="0.3">
      <c r="A960" t="s">
        <v>58</v>
      </c>
      <c r="B960" t="s">
        <v>36</v>
      </c>
      <c r="C960">
        <v>2</v>
      </c>
      <c r="D960">
        <v>18</v>
      </c>
      <c r="E960" t="s">
        <v>47</v>
      </c>
      <c r="F960">
        <v>0.44861000000000001</v>
      </c>
      <c r="G960" s="1">
        <v>46002</v>
      </c>
      <c r="H960">
        <v>5.10581</v>
      </c>
      <c r="I960" s="1">
        <v>46045</v>
      </c>
      <c r="J960">
        <v>63.617251160000002</v>
      </c>
      <c r="K960">
        <v>5.31</v>
      </c>
      <c r="L960">
        <v>1</v>
      </c>
      <c r="M960">
        <v>6.1050300000000002</v>
      </c>
      <c r="N960">
        <f>L960*F960</f>
        <v>0.44861000000000001</v>
      </c>
      <c r="O960">
        <f>L960*J960</f>
        <v>63.617251160000002</v>
      </c>
      <c r="P960">
        <f>M960-N960-H960</f>
        <v>0.55060999999999982</v>
      </c>
      <c r="Q960">
        <f>P960/O960</f>
        <v>8.6550423031512801E-3</v>
      </c>
      <c r="R960">
        <f>I960-G960</f>
        <v>43</v>
      </c>
      <c r="S960">
        <f>Q960/R960</f>
        <v>2.0128005356165768E-4</v>
      </c>
      <c r="T960">
        <f>S960*10000</f>
        <v>2.0128005356165768</v>
      </c>
    </row>
    <row r="961" spans="1:20" x14ac:dyDescent="0.3">
      <c r="A961" t="s">
        <v>58</v>
      </c>
      <c r="B961" t="s">
        <v>36</v>
      </c>
      <c r="C961">
        <v>2</v>
      </c>
      <c r="D961">
        <v>18</v>
      </c>
      <c r="E961" t="s">
        <v>23</v>
      </c>
      <c r="F961">
        <v>0.44625999999999999</v>
      </c>
      <c r="G961" s="1">
        <v>46002</v>
      </c>
      <c r="H961">
        <v>5.1319299999999997</v>
      </c>
      <c r="I961" s="1">
        <v>46045</v>
      </c>
      <c r="J961">
        <v>63.617251160000002</v>
      </c>
      <c r="K961">
        <v>5.31</v>
      </c>
      <c r="L961">
        <v>1</v>
      </c>
      <c r="M961">
        <v>6.4985600000000003</v>
      </c>
      <c r="N961">
        <f>L961*F961</f>
        <v>0.44625999999999999</v>
      </c>
      <c r="O961">
        <f>L961*J961</f>
        <v>63.617251160000002</v>
      </c>
      <c r="P961">
        <f>M961-N961-H961</f>
        <v>0.92037000000000102</v>
      </c>
      <c r="Q961">
        <f>P961/O961</f>
        <v>1.4467302236703573E-2</v>
      </c>
      <c r="R961">
        <f>I961-G961</f>
        <v>43</v>
      </c>
      <c r="S961">
        <f>Q961/R961</f>
        <v>3.364488892256645E-4</v>
      </c>
      <c r="T961">
        <f>S961*10000</f>
        <v>3.3644888922566452</v>
      </c>
    </row>
    <row r="962" spans="1:20" x14ac:dyDescent="0.3">
      <c r="A962" t="s">
        <v>58</v>
      </c>
      <c r="B962" t="s">
        <v>36</v>
      </c>
      <c r="C962">
        <v>2</v>
      </c>
      <c r="D962">
        <v>18</v>
      </c>
      <c r="E962" t="s">
        <v>24</v>
      </c>
      <c r="F962">
        <v>0.45182</v>
      </c>
      <c r="G962" s="1">
        <v>46002</v>
      </c>
      <c r="H962">
        <v>5.1469100000000001</v>
      </c>
      <c r="I962" s="1">
        <v>46045</v>
      </c>
      <c r="J962">
        <v>63.617251160000002</v>
      </c>
      <c r="K962">
        <v>5.31</v>
      </c>
      <c r="L962">
        <v>1</v>
      </c>
      <c r="M962">
        <v>6.45756</v>
      </c>
      <c r="N962">
        <f>L962*F962</f>
        <v>0.45182</v>
      </c>
      <c r="O962">
        <f>L962*J962</f>
        <v>63.617251160000002</v>
      </c>
      <c r="P962">
        <f>M962-N962-H962</f>
        <v>0.8588300000000002</v>
      </c>
      <c r="Q962">
        <f>P962/O962</f>
        <v>1.3499954561695969E-2</v>
      </c>
      <c r="R962">
        <f>I962-G962</f>
        <v>43</v>
      </c>
      <c r="S962">
        <f>Q962/R962</f>
        <v>3.1395243166734813E-4</v>
      </c>
      <c r="T962">
        <f>S962*10000</f>
        <v>3.1395243166734814</v>
      </c>
    </row>
    <row r="963" spans="1:20" x14ac:dyDescent="0.3">
      <c r="A963" t="s">
        <v>58</v>
      </c>
      <c r="B963" t="s">
        <v>36</v>
      </c>
      <c r="C963">
        <v>2</v>
      </c>
      <c r="D963">
        <v>24</v>
      </c>
      <c r="E963" t="s">
        <v>22</v>
      </c>
      <c r="F963">
        <v>0.44703999999999999</v>
      </c>
      <c r="G963" s="1">
        <v>46002</v>
      </c>
      <c r="H963">
        <v>5.1124799999999997</v>
      </c>
      <c r="I963" s="1">
        <v>46045</v>
      </c>
      <c r="J963">
        <v>63.617251160000002</v>
      </c>
      <c r="K963">
        <v>5.31</v>
      </c>
      <c r="L963">
        <v>1</v>
      </c>
      <c r="M963">
        <v>6.0157999999999996</v>
      </c>
      <c r="N963">
        <f>L963*F963</f>
        <v>0.44703999999999999</v>
      </c>
      <c r="O963">
        <f>L963*J963</f>
        <v>63.617251160000002</v>
      </c>
      <c r="P963">
        <f>M963-N963-H963</f>
        <v>0.45627999999999957</v>
      </c>
      <c r="Q963">
        <f>P963/O963</f>
        <v>7.1722683970176044E-3</v>
      </c>
      <c r="R963">
        <f>I963-G963</f>
        <v>43</v>
      </c>
      <c r="S963">
        <f>Q963/R963</f>
        <v>1.6679693946552567E-4</v>
      </c>
      <c r="T963">
        <f>S963*10000</f>
        <v>1.6679693946552567</v>
      </c>
    </row>
    <row r="964" spans="1:20" x14ac:dyDescent="0.3">
      <c r="A964" t="s">
        <v>58</v>
      </c>
      <c r="B964" t="s">
        <v>36</v>
      </c>
      <c r="C964">
        <v>2</v>
      </c>
      <c r="D964">
        <v>24</v>
      </c>
      <c r="E964" t="s">
        <v>23</v>
      </c>
      <c r="F964">
        <v>0.45168000000000003</v>
      </c>
      <c r="G964" s="1">
        <v>46002</v>
      </c>
      <c r="H964">
        <v>5.1275399999999998</v>
      </c>
      <c r="I964" s="1">
        <v>46045</v>
      </c>
      <c r="J964">
        <v>63.617251160000002</v>
      </c>
      <c r="K964">
        <v>5.31</v>
      </c>
      <c r="L964">
        <v>1</v>
      </c>
      <c r="M964">
        <v>5.8825900000000004</v>
      </c>
      <c r="N964">
        <f>L964*F964</f>
        <v>0.45168000000000003</v>
      </c>
      <c r="O964">
        <f>L964*J964</f>
        <v>63.617251160000002</v>
      </c>
      <c r="P964">
        <f>M964-N964-H964</f>
        <v>0.30337000000000103</v>
      </c>
      <c r="Q964">
        <f>P964/O964</f>
        <v>4.7686750758377319E-3</v>
      </c>
      <c r="R964">
        <f>I964-G964</f>
        <v>43</v>
      </c>
      <c r="S964">
        <f>Q964/R964</f>
        <v>1.1089942036831935E-4</v>
      </c>
      <c r="T964">
        <f>S964*10000</f>
        <v>1.1089942036831935</v>
      </c>
    </row>
    <row r="965" spans="1:20" x14ac:dyDescent="0.3">
      <c r="A965" t="s">
        <v>58</v>
      </c>
      <c r="B965" t="s">
        <v>36</v>
      </c>
      <c r="C965">
        <v>2</v>
      </c>
      <c r="D965">
        <v>24</v>
      </c>
      <c r="E965" t="s">
        <v>24</v>
      </c>
      <c r="F965">
        <v>0.45262999999999998</v>
      </c>
      <c r="G965" s="1">
        <v>46002</v>
      </c>
      <c r="H965">
        <v>5.13483</v>
      </c>
      <c r="I965" s="1">
        <v>46045</v>
      </c>
      <c r="J965">
        <v>63.617251160000002</v>
      </c>
      <c r="K965">
        <v>5.31</v>
      </c>
      <c r="L965">
        <v>1</v>
      </c>
      <c r="M965">
        <v>5.9801799999999998</v>
      </c>
      <c r="N965">
        <f>L965*F965</f>
        <v>0.45262999999999998</v>
      </c>
      <c r="O965">
        <f>L965*J965</f>
        <v>63.617251160000002</v>
      </c>
      <c r="P965">
        <f>M965-N965-H965</f>
        <v>0.39271999999999974</v>
      </c>
      <c r="Q965">
        <f>P965/O965</f>
        <v>6.1731683283877325E-3</v>
      </c>
      <c r="R965">
        <f>I965-G965</f>
        <v>43</v>
      </c>
      <c r="S965">
        <f>Q965/R965</f>
        <v>1.4356205414855193E-4</v>
      </c>
      <c r="T965">
        <f>S965*10000</f>
        <v>1.4356205414855192</v>
      </c>
    </row>
    <row r="966" spans="1:20" x14ac:dyDescent="0.3">
      <c r="A966" t="s">
        <v>58</v>
      </c>
      <c r="B966" t="s">
        <v>36</v>
      </c>
      <c r="C966">
        <v>2</v>
      </c>
      <c r="D966">
        <v>48</v>
      </c>
      <c r="E966" t="s">
        <v>47</v>
      </c>
      <c r="F966">
        <v>0.45133000000000001</v>
      </c>
      <c r="G966" s="1">
        <v>46002</v>
      </c>
      <c r="H966">
        <v>5.12392</v>
      </c>
      <c r="I966" s="1">
        <v>46045</v>
      </c>
      <c r="J966">
        <v>63.617251160000002</v>
      </c>
      <c r="K966">
        <v>5.31</v>
      </c>
      <c r="L966">
        <v>1</v>
      </c>
      <c r="M966">
        <v>5.94435</v>
      </c>
      <c r="N966">
        <f>L966*F966</f>
        <v>0.45133000000000001</v>
      </c>
      <c r="O966">
        <f>L966*J966</f>
        <v>63.617251160000002</v>
      </c>
      <c r="P966">
        <f>M966-N966-H966</f>
        <v>0.36909999999999954</v>
      </c>
      <c r="Q966">
        <f>P966/O966</f>
        <v>5.8018853891014226E-3</v>
      </c>
      <c r="R966">
        <f>I966-G966</f>
        <v>43</v>
      </c>
      <c r="S966">
        <f>Q966/R966</f>
        <v>1.3492756718840517E-4</v>
      </c>
      <c r="T966">
        <f>S966*10000</f>
        <v>1.3492756718840517</v>
      </c>
    </row>
    <row r="967" spans="1:20" x14ac:dyDescent="0.3">
      <c r="A967" t="s">
        <v>58</v>
      </c>
      <c r="B967" t="s">
        <v>36</v>
      </c>
      <c r="C967">
        <v>2</v>
      </c>
      <c r="D967">
        <v>48</v>
      </c>
      <c r="E967" t="s">
        <v>23</v>
      </c>
      <c r="F967">
        <v>0.45152999999999999</v>
      </c>
      <c r="G967" s="1">
        <v>46002</v>
      </c>
      <c r="H967">
        <v>5.1351000000000004</v>
      </c>
      <c r="I967" s="1">
        <v>46045</v>
      </c>
      <c r="J967">
        <v>63.617251160000002</v>
      </c>
      <c r="K967">
        <v>5.31</v>
      </c>
      <c r="L967">
        <v>1</v>
      </c>
      <c r="M967">
        <v>5.8675199999999998</v>
      </c>
      <c r="N967">
        <f>L967*F967</f>
        <v>0.45152999999999999</v>
      </c>
      <c r="O967">
        <f>L967*J967</f>
        <v>63.617251160000002</v>
      </c>
      <c r="P967">
        <f>M967-N967-H967</f>
        <v>0.28088999999999942</v>
      </c>
      <c r="Q967">
        <f>P967/O967</f>
        <v>4.4153118042392228E-3</v>
      </c>
      <c r="R967">
        <f>I967-G967</f>
        <v>43</v>
      </c>
      <c r="S967">
        <f>Q967/R967</f>
        <v>1.0268166986602844E-4</v>
      </c>
      <c r="T967">
        <f>S967*10000</f>
        <v>1.0268166986602845</v>
      </c>
    </row>
    <row r="968" spans="1:20" x14ac:dyDescent="0.3">
      <c r="A968" t="s">
        <v>58</v>
      </c>
      <c r="B968" t="s">
        <v>36</v>
      </c>
      <c r="C968">
        <v>2</v>
      </c>
      <c r="D968">
        <v>48</v>
      </c>
      <c r="E968" t="s">
        <v>24</v>
      </c>
      <c r="F968">
        <v>0.45555000000000001</v>
      </c>
      <c r="G968" s="1">
        <v>46002</v>
      </c>
      <c r="H968">
        <v>5.1091899999999999</v>
      </c>
      <c r="I968" s="1">
        <v>46045</v>
      </c>
      <c r="J968">
        <v>63.617251160000002</v>
      </c>
      <c r="K968">
        <v>5.31</v>
      </c>
      <c r="L968">
        <v>1</v>
      </c>
      <c r="M968">
        <v>5.8363199999999997</v>
      </c>
      <c r="N968">
        <f>L968*F968</f>
        <v>0.45555000000000001</v>
      </c>
      <c r="O968">
        <f>L968*J968</f>
        <v>63.617251160000002</v>
      </c>
      <c r="P968">
        <f>M968-N968-H968</f>
        <v>0.27158000000000015</v>
      </c>
      <c r="Q968">
        <f>P968/O968</f>
        <v>4.2689678514553431E-3</v>
      </c>
      <c r="R968">
        <f>I968-G968</f>
        <v>43</v>
      </c>
      <c r="S968">
        <f>Q968/R968</f>
        <v>9.927832212686844E-5</v>
      </c>
      <c r="T968">
        <f>S968*10000</f>
        <v>0.99278322126868446</v>
      </c>
    </row>
    <row r="969" spans="1:20" x14ac:dyDescent="0.3">
      <c r="A969" t="s">
        <v>58</v>
      </c>
      <c r="B969" t="s">
        <v>36</v>
      </c>
      <c r="E969" t="s">
        <v>48</v>
      </c>
      <c r="G969" t="s">
        <v>27</v>
      </c>
      <c r="H969">
        <v>5.1103100000000001</v>
      </c>
      <c r="I969" t="s">
        <v>27</v>
      </c>
      <c r="J969">
        <v>63.617251160000002</v>
      </c>
      <c r="K969">
        <v>5.31</v>
      </c>
      <c r="L969">
        <v>1</v>
      </c>
      <c r="N969">
        <f>L969*F969</f>
        <v>0</v>
      </c>
      <c r="O969">
        <f>L969*J969</f>
        <v>63.617251160000002</v>
      </c>
      <c r="P969">
        <f>M969-N969-H969</f>
        <v>-5.1103100000000001</v>
      </c>
      <c r="Q969">
        <f>P969/O969</f>
        <v>-8.032899735242191E-2</v>
      </c>
      <c r="R969" t="e">
        <f>I969-G969</f>
        <v>#VALUE!</v>
      </c>
      <c r="S969" t="e">
        <f>Q969/R969</f>
        <v>#VALUE!</v>
      </c>
      <c r="T969" t="e">
        <f>S969*10000</f>
        <v>#VALUE!</v>
      </c>
    </row>
    <row r="970" spans="1:20" x14ac:dyDescent="0.3">
      <c r="A970" t="s">
        <v>58</v>
      </c>
      <c r="B970" t="s">
        <v>36</v>
      </c>
      <c r="E970" t="s">
        <v>49</v>
      </c>
      <c r="G970" t="s">
        <v>27</v>
      </c>
      <c r="H970">
        <v>5.1406000000000001</v>
      </c>
      <c r="I970" t="s">
        <v>27</v>
      </c>
      <c r="J970">
        <v>63.617251160000002</v>
      </c>
      <c r="K970">
        <v>5.31</v>
      </c>
      <c r="L970">
        <v>1</v>
      </c>
      <c r="N970">
        <f>L970*F970</f>
        <v>0</v>
      </c>
      <c r="O970">
        <f>L970*J970</f>
        <v>63.617251160000002</v>
      </c>
      <c r="P970">
        <f>M970-N970-H970</f>
        <v>-5.1406000000000001</v>
      </c>
      <c r="Q970">
        <f>P970/O970</f>
        <v>-8.0805126066688729E-2</v>
      </c>
      <c r="R970" t="e">
        <f>I970-G970</f>
        <v>#VALUE!</v>
      </c>
      <c r="S970" t="e">
        <f>Q970/R970</f>
        <v>#VALUE!</v>
      </c>
      <c r="T970" t="e">
        <f>S970*10000</f>
        <v>#VALUE!</v>
      </c>
    </row>
    <row r="971" spans="1:20" x14ac:dyDescent="0.3">
      <c r="A971" t="s">
        <v>58</v>
      </c>
      <c r="B971" t="s">
        <v>36</v>
      </c>
      <c r="E971" t="s">
        <v>50</v>
      </c>
      <c r="G971" t="s">
        <v>27</v>
      </c>
      <c r="H971">
        <v>5.1321399999999997</v>
      </c>
      <c r="I971" t="s">
        <v>27</v>
      </c>
      <c r="J971">
        <v>63.617251160000002</v>
      </c>
      <c r="K971">
        <v>5.31</v>
      </c>
      <c r="L971">
        <v>1</v>
      </c>
      <c r="N971">
        <f>L971*F971</f>
        <v>0</v>
      </c>
      <c r="O971">
        <f>L971*J971</f>
        <v>63.617251160000002</v>
      </c>
      <c r="P971">
        <f>M971-N971-H971</f>
        <v>-5.1321399999999997</v>
      </c>
      <c r="Q971">
        <f>P971/O971</f>
        <v>-8.0672143269636981E-2</v>
      </c>
      <c r="R971" t="e">
        <f>I971-G971</f>
        <v>#VALUE!</v>
      </c>
      <c r="S971" t="e">
        <f>Q971/R971</f>
        <v>#VALUE!</v>
      </c>
      <c r="T971" t="e">
        <f>S971*10000</f>
        <v>#VALUE!</v>
      </c>
    </row>
    <row r="972" spans="1:20" x14ac:dyDescent="0.3">
      <c r="A972" t="s">
        <v>58</v>
      </c>
      <c r="B972" t="s">
        <v>36</v>
      </c>
      <c r="E972" t="s">
        <v>51</v>
      </c>
      <c r="G972" t="s">
        <v>27</v>
      </c>
      <c r="H972">
        <v>5.15761</v>
      </c>
      <c r="I972" t="s">
        <v>27</v>
      </c>
      <c r="J972">
        <v>63.617251160000002</v>
      </c>
      <c r="K972">
        <v>5.31</v>
      </c>
      <c r="L972">
        <v>1</v>
      </c>
      <c r="N972">
        <f>L972*F972</f>
        <v>0</v>
      </c>
      <c r="O972">
        <f>L972*J972</f>
        <v>63.617251160000002</v>
      </c>
      <c r="P972">
        <f>M972-N972-H972</f>
        <v>-5.15761</v>
      </c>
      <c r="Q972">
        <f>P972/O972</f>
        <v>-8.107250637139915E-2</v>
      </c>
      <c r="R972" t="e">
        <f>I972-G972</f>
        <v>#VALUE!</v>
      </c>
      <c r="S972" t="e">
        <f>Q972/R972</f>
        <v>#VALUE!</v>
      </c>
      <c r="T972" t="e">
        <f>S972*10000</f>
        <v>#VALUE!</v>
      </c>
    </row>
    <row r="973" spans="1:20" x14ac:dyDescent="0.3">
      <c r="A973" t="s">
        <v>58</v>
      </c>
      <c r="B973" t="s">
        <v>40</v>
      </c>
      <c r="C973">
        <v>1</v>
      </c>
      <c r="D973">
        <v>0.5</v>
      </c>
      <c r="E973" t="s">
        <v>47</v>
      </c>
      <c r="F973">
        <v>4.3959099999999998</v>
      </c>
      <c r="G973" s="1">
        <v>45993</v>
      </c>
      <c r="H973">
        <v>6.7185100000000002</v>
      </c>
      <c r="I973" s="1">
        <v>46033</v>
      </c>
      <c r="J973">
        <v>63.617251160000002</v>
      </c>
      <c r="K973">
        <v>5.31</v>
      </c>
      <c r="L973">
        <v>1</v>
      </c>
      <c r="M973">
        <v>11.22753</v>
      </c>
      <c r="N973">
        <f>L973*F973</f>
        <v>4.3959099999999998</v>
      </c>
      <c r="O973">
        <f>L973*J973</f>
        <v>63.617251160000002</v>
      </c>
      <c r="P973">
        <f>M973-N973-H973</f>
        <v>0.11310999999999982</v>
      </c>
      <c r="Q973">
        <f>P973/O973</f>
        <v>1.7779768527804434E-3</v>
      </c>
      <c r="R973">
        <f>I973-G973</f>
        <v>40</v>
      </c>
      <c r="S973">
        <f>Q973/R973</f>
        <v>4.4449421319511086E-5</v>
      </c>
      <c r="T973">
        <f>S973*10000</f>
        <v>0.44449421319511084</v>
      </c>
    </row>
    <row r="974" spans="1:20" x14ac:dyDescent="0.3">
      <c r="A974" t="s">
        <v>58</v>
      </c>
      <c r="B974" t="s">
        <v>40</v>
      </c>
      <c r="C974">
        <v>1</v>
      </c>
      <c r="D974">
        <v>0.5</v>
      </c>
      <c r="E974" t="s">
        <v>23</v>
      </c>
      <c r="F974">
        <v>4.6352099999999998</v>
      </c>
      <c r="G974" s="1">
        <v>45993</v>
      </c>
      <c r="H974">
        <v>6.5961499999999997</v>
      </c>
      <c r="I974" s="1">
        <v>46033</v>
      </c>
      <c r="J974">
        <v>63.617251160000002</v>
      </c>
      <c r="K974">
        <v>5.31</v>
      </c>
      <c r="L974">
        <v>1</v>
      </c>
      <c r="M974">
        <v>11.28055</v>
      </c>
      <c r="N974">
        <f>L974*F974</f>
        <v>4.6352099999999998</v>
      </c>
      <c r="O974">
        <f>L974*J974</f>
        <v>63.617251160000002</v>
      </c>
      <c r="P974">
        <f>M974-N974-H974</f>
        <v>4.9190000000000289E-2</v>
      </c>
      <c r="Q974">
        <f>P974/O974</f>
        <v>7.7321794172284205E-4</v>
      </c>
      <c r="R974">
        <f>I974-G974</f>
        <v>40</v>
      </c>
      <c r="S974">
        <f>Q974/R974</f>
        <v>1.9330448543071053E-5</v>
      </c>
      <c r="T974">
        <f>S974*10000</f>
        <v>0.19330448543071052</v>
      </c>
    </row>
    <row r="975" spans="1:20" x14ac:dyDescent="0.3">
      <c r="A975" t="s">
        <v>58</v>
      </c>
      <c r="B975" t="s">
        <v>40</v>
      </c>
      <c r="C975">
        <v>1</v>
      </c>
      <c r="D975">
        <v>0.5</v>
      </c>
      <c r="E975" t="s">
        <v>24</v>
      </c>
      <c r="F975">
        <v>4.3843399999999999</v>
      </c>
      <c r="G975" s="1">
        <v>45993</v>
      </c>
      <c r="H975">
        <v>6.6579899999999999</v>
      </c>
      <c r="I975" s="1">
        <v>46033</v>
      </c>
      <c r="J975">
        <v>63.617251160000002</v>
      </c>
      <c r="K975">
        <v>5.31</v>
      </c>
      <c r="L975">
        <v>1</v>
      </c>
      <c r="M975">
        <v>11.15889</v>
      </c>
      <c r="N975">
        <f>L975*F975</f>
        <v>4.3843399999999999</v>
      </c>
      <c r="O975">
        <f>L975*J975</f>
        <v>63.617251160000002</v>
      </c>
      <c r="P975">
        <f>M975-N975-H975</f>
        <v>0.11655999999999977</v>
      </c>
      <c r="Q975">
        <f>P975/O975</f>
        <v>1.8322074260462241E-3</v>
      </c>
      <c r="R975">
        <f>I975-G975</f>
        <v>40</v>
      </c>
      <c r="S975">
        <f>Q975/R975</f>
        <v>4.5805185651155601E-5</v>
      </c>
      <c r="T975">
        <f>S975*10000</f>
        <v>0.458051856511556</v>
      </c>
    </row>
    <row r="976" spans="1:20" x14ac:dyDescent="0.3">
      <c r="A976" t="s">
        <v>58</v>
      </c>
      <c r="B976" t="s">
        <v>40</v>
      </c>
      <c r="C976">
        <v>1</v>
      </c>
      <c r="D976">
        <v>2</v>
      </c>
      <c r="E976" t="s">
        <v>47</v>
      </c>
      <c r="F976">
        <v>4.3618899999999998</v>
      </c>
      <c r="G976" s="1">
        <v>45993</v>
      </c>
      <c r="H976">
        <v>6.6628499999999997</v>
      </c>
      <c r="I976" s="1">
        <v>46033</v>
      </c>
      <c r="J976">
        <v>63.617251160000002</v>
      </c>
      <c r="K976">
        <v>5.31</v>
      </c>
      <c r="L976">
        <v>1</v>
      </c>
      <c r="M976">
        <v>11.20002</v>
      </c>
      <c r="N976">
        <f>L976*F976</f>
        <v>4.3618899999999998</v>
      </c>
      <c r="O976">
        <f>L976*J976</f>
        <v>63.617251160000002</v>
      </c>
      <c r="P976">
        <f>M976-N976-H976</f>
        <v>0.17528000000000077</v>
      </c>
      <c r="Q976">
        <f>P976/O976</f>
        <v>2.7552275020365836E-3</v>
      </c>
      <c r="R976">
        <f>I976-G976</f>
        <v>40</v>
      </c>
      <c r="S976">
        <f>Q976/R976</f>
        <v>6.888068755091459E-5</v>
      </c>
      <c r="T976">
        <f>S976*10000</f>
        <v>0.68880687550914588</v>
      </c>
    </row>
    <row r="977" spans="1:20" x14ac:dyDescent="0.3">
      <c r="A977" t="s">
        <v>58</v>
      </c>
      <c r="B977" t="s">
        <v>40</v>
      </c>
      <c r="C977">
        <v>1</v>
      </c>
      <c r="D977">
        <v>2</v>
      </c>
      <c r="E977" t="s">
        <v>23</v>
      </c>
      <c r="F977">
        <v>4.2201199999999996</v>
      </c>
      <c r="G977" s="1">
        <v>45993</v>
      </c>
      <c r="H977">
        <v>7.0041799999999999</v>
      </c>
      <c r="I977" s="1">
        <v>46033</v>
      </c>
      <c r="J977">
        <v>63.617251160000002</v>
      </c>
      <c r="K977">
        <v>5.31</v>
      </c>
      <c r="L977">
        <v>1</v>
      </c>
      <c r="M977">
        <v>11.384359999999999</v>
      </c>
      <c r="N977">
        <f>L977*F977</f>
        <v>4.2201199999999996</v>
      </c>
      <c r="O977">
        <f>L977*J977</f>
        <v>63.617251160000002</v>
      </c>
      <c r="P977">
        <f>M977-N977-H977</f>
        <v>0.16005999999999965</v>
      </c>
      <c r="Q977">
        <f>P977/O977</f>
        <v>2.5159842193973798E-3</v>
      </c>
      <c r="R977">
        <f>I977-G977</f>
        <v>40</v>
      </c>
      <c r="S977">
        <f>Q977/R977</f>
        <v>6.2899605484934498E-5</v>
      </c>
      <c r="T977">
        <f>S977*10000</f>
        <v>0.62899605484934495</v>
      </c>
    </row>
    <row r="978" spans="1:20" x14ac:dyDescent="0.3">
      <c r="A978" t="s">
        <v>58</v>
      </c>
      <c r="B978" t="s">
        <v>40</v>
      </c>
      <c r="C978">
        <v>1</v>
      </c>
      <c r="D978">
        <v>2</v>
      </c>
      <c r="E978" t="s">
        <v>24</v>
      </c>
      <c r="F978">
        <v>4.3637800000000002</v>
      </c>
      <c r="G978" s="1">
        <v>45993</v>
      </c>
      <c r="H978">
        <v>7.0217700000000001</v>
      </c>
      <c r="I978" s="1">
        <v>46033</v>
      </c>
      <c r="J978">
        <v>63.617251160000002</v>
      </c>
      <c r="K978">
        <v>5.31</v>
      </c>
      <c r="L978">
        <v>1</v>
      </c>
      <c r="M978">
        <v>11.453440000000001</v>
      </c>
      <c r="N978">
        <f>L978*F978</f>
        <v>4.3637800000000002</v>
      </c>
      <c r="O978">
        <f>L978*J978</f>
        <v>63.617251160000002</v>
      </c>
      <c r="P978">
        <f>M978-N978-H978</f>
        <v>6.7890000000000228E-2</v>
      </c>
      <c r="Q978">
        <f>P978/O978</f>
        <v>1.0671633678301202E-3</v>
      </c>
      <c r="R978">
        <f>I978-G978</f>
        <v>40</v>
      </c>
      <c r="S978">
        <f>Q978/R978</f>
        <v>2.6679084195753003E-5</v>
      </c>
      <c r="T978">
        <f>S978*10000</f>
        <v>0.26679084195753006</v>
      </c>
    </row>
    <row r="979" spans="1:20" x14ac:dyDescent="0.3">
      <c r="A979" t="s">
        <v>58</v>
      </c>
      <c r="B979" t="s">
        <v>40</v>
      </c>
      <c r="C979">
        <v>1</v>
      </c>
      <c r="D979">
        <v>6</v>
      </c>
      <c r="E979" t="s">
        <v>47</v>
      </c>
      <c r="F979">
        <v>0.44747999999999999</v>
      </c>
      <c r="G979" s="1">
        <v>45993</v>
      </c>
      <c r="H979">
        <v>6.9158200000000001</v>
      </c>
      <c r="I979" s="1">
        <v>46033</v>
      </c>
      <c r="J979">
        <v>63.617251160000002</v>
      </c>
      <c r="K979">
        <v>5.31</v>
      </c>
      <c r="L979">
        <v>1</v>
      </c>
      <c r="M979">
        <v>7.7073799999999997</v>
      </c>
      <c r="N979">
        <f>L979*F979</f>
        <v>0.44747999999999999</v>
      </c>
      <c r="O979">
        <f>L979*J979</f>
        <v>63.617251160000002</v>
      </c>
      <c r="P979">
        <f>M979-N979-H979</f>
        <v>0.34407999999999994</v>
      </c>
      <c r="Q979">
        <f>P979/O979</f>
        <v>5.4085958403739358E-3</v>
      </c>
      <c r="R979">
        <f>I979-G979</f>
        <v>40</v>
      </c>
      <c r="S979">
        <f>Q979/R979</f>
        <v>1.3521489600934841E-4</v>
      </c>
      <c r="T979">
        <f>S979*10000</f>
        <v>1.352148960093484</v>
      </c>
    </row>
    <row r="980" spans="1:20" x14ac:dyDescent="0.3">
      <c r="A980" t="s">
        <v>58</v>
      </c>
      <c r="B980" t="s">
        <v>40</v>
      </c>
      <c r="C980">
        <v>1</v>
      </c>
      <c r="D980">
        <v>6</v>
      </c>
      <c r="E980" t="s">
        <v>23</v>
      </c>
      <c r="F980">
        <v>0.44462000000000002</v>
      </c>
      <c r="G980" s="1">
        <v>45993</v>
      </c>
      <c r="H980">
        <v>7.0346099999999998</v>
      </c>
      <c r="I980" s="1">
        <v>46033</v>
      </c>
      <c r="J980">
        <v>63.617251160000002</v>
      </c>
      <c r="K980">
        <v>5.31</v>
      </c>
      <c r="L980">
        <v>1</v>
      </c>
      <c r="M980">
        <v>7.7615699999999999</v>
      </c>
      <c r="N980">
        <f>L980*F980</f>
        <v>0.44462000000000002</v>
      </c>
      <c r="O980">
        <f>L980*J980</f>
        <v>63.617251160000002</v>
      </c>
      <c r="P980">
        <f>M980-N980-H980</f>
        <v>0.28234000000000048</v>
      </c>
      <c r="Q980">
        <f>P980/O980</f>
        <v>4.4381043640176121E-3</v>
      </c>
      <c r="R980">
        <f>I980-G980</f>
        <v>40</v>
      </c>
      <c r="S980">
        <f>Q980/R980</f>
        <v>1.109526091004403E-4</v>
      </c>
      <c r="T980">
        <f>S980*10000</f>
        <v>1.1095260910044029</v>
      </c>
    </row>
    <row r="981" spans="1:20" x14ac:dyDescent="0.3">
      <c r="A981" t="s">
        <v>58</v>
      </c>
      <c r="B981" t="s">
        <v>40</v>
      </c>
      <c r="C981">
        <v>1</v>
      </c>
      <c r="D981">
        <v>6</v>
      </c>
      <c r="E981" t="s">
        <v>24</v>
      </c>
      <c r="F981">
        <v>0.44616</v>
      </c>
      <c r="G981" s="1">
        <v>45993</v>
      </c>
      <c r="H981">
        <v>6.9911799999999999</v>
      </c>
      <c r="I981" s="1">
        <v>46033</v>
      </c>
      <c r="J981">
        <v>63.617251160000002</v>
      </c>
      <c r="K981">
        <v>5.31</v>
      </c>
      <c r="L981">
        <v>1</v>
      </c>
      <c r="M981">
        <v>7.5738300000000001</v>
      </c>
      <c r="N981">
        <f>L981*F981</f>
        <v>0.44616</v>
      </c>
      <c r="O981">
        <f>L981*J981</f>
        <v>63.617251160000002</v>
      </c>
      <c r="P981">
        <f>M981-N981-H981</f>
        <v>0.13649000000000022</v>
      </c>
      <c r="Q981">
        <f>P981/O981</f>
        <v>2.1454872304482674E-3</v>
      </c>
      <c r="R981">
        <f>I981-G981</f>
        <v>40</v>
      </c>
      <c r="S981">
        <f>Q981/R981</f>
        <v>5.3637180761206684E-5</v>
      </c>
      <c r="T981">
        <f>S981*10000</f>
        <v>0.53637180761206682</v>
      </c>
    </row>
    <row r="982" spans="1:20" x14ac:dyDescent="0.3">
      <c r="A982" t="s">
        <v>58</v>
      </c>
      <c r="B982" t="s">
        <v>40</v>
      </c>
      <c r="C982">
        <v>1</v>
      </c>
      <c r="D982">
        <v>12</v>
      </c>
      <c r="E982" t="s">
        <v>47</v>
      </c>
      <c r="F982">
        <v>0.44364999999999999</v>
      </c>
      <c r="G982" s="1">
        <v>45993</v>
      </c>
      <c r="H982">
        <v>6.9485099999999997</v>
      </c>
      <c r="I982" s="1">
        <v>46033</v>
      </c>
      <c r="J982">
        <v>63.617251160000002</v>
      </c>
      <c r="K982">
        <v>5.31</v>
      </c>
      <c r="L982">
        <v>0.75</v>
      </c>
      <c r="M982">
        <v>7.6346499999999997</v>
      </c>
      <c r="N982">
        <f>L982*F982</f>
        <v>0.33273750000000002</v>
      </c>
      <c r="O982">
        <f>L982*J982</f>
        <v>47.712938370000003</v>
      </c>
      <c r="P982">
        <f>M982-N982-H982</f>
        <v>0.35340249999999962</v>
      </c>
      <c r="Q982">
        <f>P982/O982</f>
        <v>7.4068483743228242E-3</v>
      </c>
      <c r="R982">
        <f>I982-G982</f>
        <v>40</v>
      </c>
      <c r="S982">
        <f>Q982/R982</f>
        <v>1.851712093580706E-4</v>
      </c>
      <c r="T982">
        <f>S982*10000</f>
        <v>1.8517120935807061</v>
      </c>
    </row>
    <row r="983" spans="1:20" x14ac:dyDescent="0.3">
      <c r="A983" t="s">
        <v>58</v>
      </c>
      <c r="B983" t="s">
        <v>40</v>
      </c>
      <c r="C983">
        <v>1</v>
      </c>
      <c r="D983">
        <v>12</v>
      </c>
      <c r="E983" t="s">
        <v>23</v>
      </c>
      <c r="F983">
        <v>0.44718000000000002</v>
      </c>
      <c r="G983" s="1">
        <v>45993</v>
      </c>
      <c r="H983">
        <v>7.0286</v>
      </c>
      <c r="I983" s="1">
        <v>46033</v>
      </c>
      <c r="J983">
        <v>63.617251160000002</v>
      </c>
      <c r="K983">
        <v>5.31</v>
      </c>
      <c r="L983">
        <v>0.75</v>
      </c>
      <c r="M983">
        <v>7.8353000000000002</v>
      </c>
      <c r="N983">
        <f>L983*F983</f>
        <v>0.33538500000000004</v>
      </c>
      <c r="O983">
        <f>L983*J983</f>
        <v>47.712938370000003</v>
      </c>
      <c r="P983">
        <f>M983-N983-H983</f>
        <v>0.47131499999999971</v>
      </c>
      <c r="Q983">
        <f>P983/O983</f>
        <v>9.8781382178789439E-3</v>
      </c>
      <c r="R983">
        <f>I983-G983</f>
        <v>40</v>
      </c>
      <c r="S983">
        <f>Q983/R983</f>
        <v>2.469534554469736E-4</v>
      </c>
      <c r="T983">
        <f>S983*10000</f>
        <v>2.4695345544697358</v>
      </c>
    </row>
    <row r="984" spans="1:20" x14ac:dyDescent="0.3">
      <c r="A984" t="s">
        <v>58</v>
      </c>
      <c r="B984" t="s">
        <v>40</v>
      </c>
      <c r="C984">
        <v>1</v>
      </c>
      <c r="D984">
        <v>12</v>
      </c>
      <c r="E984" t="s">
        <v>24</v>
      </c>
      <c r="F984">
        <v>0.44334000000000001</v>
      </c>
      <c r="G984" s="1">
        <v>45993</v>
      </c>
      <c r="H984">
        <v>6.6342999999999996</v>
      </c>
      <c r="I984" s="1">
        <v>46033</v>
      </c>
      <c r="J984">
        <v>63.617251160000002</v>
      </c>
      <c r="K984">
        <v>5.31</v>
      </c>
      <c r="L984">
        <v>1</v>
      </c>
      <c r="M984">
        <v>7.4413799999999997</v>
      </c>
      <c r="N984">
        <f>L984*F984</f>
        <v>0.44334000000000001</v>
      </c>
      <c r="O984">
        <f>L984*J984</f>
        <v>63.617251160000002</v>
      </c>
      <c r="P984">
        <f>M984-N984-H984</f>
        <v>0.36373999999999995</v>
      </c>
      <c r="Q984">
        <f>P984/O984</f>
        <v>5.7176315129551713E-3</v>
      </c>
      <c r="R984">
        <f>I984-G984</f>
        <v>40</v>
      </c>
      <c r="S984">
        <f>Q984/R984</f>
        <v>1.4294078782387928E-4</v>
      </c>
      <c r="T984">
        <f>S984*10000</f>
        <v>1.4294078782387927</v>
      </c>
    </row>
    <row r="985" spans="1:20" x14ac:dyDescent="0.3">
      <c r="A985" t="s">
        <v>58</v>
      </c>
      <c r="B985" t="s">
        <v>40</v>
      </c>
      <c r="C985">
        <v>1</v>
      </c>
      <c r="D985">
        <v>18</v>
      </c>
      <c r="E985" t="s">
        <v>47</v>
      </c>
      <c r="F985">
        <v>0.44516</v>
      </c>
      <c r="G985" s="1">
        <v>45993</v>
      </c>
      <c r="H985">
        <v>6.67171</v>
      </c>
      <c r="I985" s="1">
        <v>46033</v>
      </c>
      <c r="J985">
        <v>63.617251160000002</v>
      </c>
      <c r="K985">
        <v>5.31</v>
      </c>
      <c r="L985">
        <v>1</v>
      </c>
      <c r="M985">
        <v>7.4724500000000003</v>
      </c>
      <c r="N985">
        <f>L985*F985</f>
        <v>0.44516</v>
      </c>
      <c r="O985">
        <f>L985*J985</f>
        <v>63.617251160000002</v>
      </c>
      <c r="P985">
        <f>M985-N985-H985</f>
        <v>0.35558000000000067</v>
      </c>
      <c r="Q985">
        <f>P985/O985</f>
        <v>5.5893644179265522E-3</v>
      </c>
      <c r="R985">
        <f>I985-G985</f>
        <v>40</v>
      </c>
      <c r="S985">
        <f>Q985/R985</f>
        <v>1.397341104481638E-4</v>
      </c>
      <c r="T985">
        <f>S985*10000</f>
        <v>1.397341104481638</v>
      </c>
    </row>
    <row r="986" spans="1:20" x14ac:dyDescent="0.3">
      <c r="A986" t="s">
        <v>58</v>
      </c>
      <c r="B986" t="s">
        <v>40</v>
      </c>
      <c r="C986">
        <v>1</v>
      </c>
      <c r="D986">
        <v>18</v>
      </c>
      <c r="E986" t="s">
        <v>23</v>
      </c>
      <c r="F986">
        <v>0.44721</v>
      </c>
      <c r="G986" s="1">
        <v>45993</v>
      </c>
      <c r="H986">
        <v>6.5910500000000001</v>
      </c>
      <c r="I986" s="1">
        <v>46033</v>
      </c>
      <c r="J986">
        <v>63.617251160000002</v>
      </c>
      <c r="K986">
        <v>5.31</v>
      </c>
      <c r="L986">
        <v>1</v>
      </c>
      <c r="M986">
        <v>7.3648699999999998</v>
      </c>
      <c r="N986">
        <f>L986*F986</f>
        <v>0.44721</v>
      </c>
      <c r="O986">
        <f>L986*J986</f>
        <v>63.617251160000002</v>
      </c>
      <c r="P986">
        <f>M986-N986-H986</f>
        <v>0.32660999999999962</v>
      </c>
      <c r="Q986">
        <f>P986/O986</f>
        <v>5.1339847925614083E-3</v>
      </c>
      <c r="R986">
        <f>I986-G986</f>
        <v>40</v>
      </c>
      <c r="S986">
        <f>Q986/R986</f>
        <v>1.2834961981403521E-4</v>
      </c>
      <c r="T986">
        <f>S986*10000</f>
        <v>1.2834961981403521</v>
      </c>
    </row>
    <row r="987" spans="1:20" x14ac:dyDescent="0.3">
      <c r="A987" t="s">
        <v>58</v>
      </c>
      <c r="B987" t="s">
        <v>40</v>
      </c>
      <c r="C987">
        <v>1</v>
      </c>
      <c r="D987">
        <v>18</v>
      </c>
      <c r="E987" t="s">
        <v>24</v>
      </c>
      <c r="F987">
        <v>0.44671</v>
      </c>
      <c r="G987" s="1">
        <v>45993</v>
      </c>
      <c r="H987">
        <v>6.6279000000000003</v>
      </c>
      <c r="I987" s="1">
        <v>46033</v>
      </c>
      <c r="J987">
        <v>63.617251160000002</v>
      </c>
      <c r="K987">
        <v>5.31</v>
      </c>
      <c r="L987">
        <v>1</v>
      </c>
      <c r="M987">
        <v>7.4350500000000004</v>
      </c>
      <c r="N987">
        <f>L987*F987</f>
        <v>0.44671</v>
      </c>
      <c r="O987">
        <f>L987*J987</f>
        <v>63.617251160000002</v>
      </c>
      <c r="P987">
        <f>M987-N987-H987</f>
        <v>0.36043999999999965</v>
      </c>
      <c r="Q987">
        <f>P987/O987</f>
        <v>5.6657587907009413E-3</v>
      </c>
      <c r="R987">
        <f>I987-G987</f>
        <v>40</v>
      </c>
      <c r="S987">
        <f>Q987/R987</f>
        <v>1.4164396976752353E-4</v>
      </c>
      <c r="T987">
        <f>S987*10000</f>
        <v>1.4164396976752354</v>
      </c>
    </row>
    <row r="988" spans="1:20" x14ac:dyDescent="0.3">
      <c r="A988" t="s">
        <v>58</v>
      </c>
      <c r="B988" t="s">
        <v>40</v>
      </c>
      <c r="C988">
        <v>1</v>
      </c>
      <c r="D988">
        <v>24</v>
      </c>
      <c r="E988" t="s">
        <v>22</v>
      </c>
      <c r="F988">
        <v>0.44613999999999998</v>
      </c>
      <c r="G988" s="1">
        <v>45993</v>
      </c>
      <c r="H988">
        <v>6.6172199999999997</v>
      </c>
      <c r="I988" s="1">
        <v>46033</v>
      </c>
      <c r="J988">
        <v>63.617251160000002</v>
      </c>
      <c r="K988">
        <v>5.31</v>
      </c>
      <c r="L988">
        <v>1</v>
      </c>
      <c r="M988">
        <v>7.4997699999999998</v>
      </c>
      <c r="N988">
        <f>L988*F988</f>
        <v>0.44613999999999998</v>
      </c>
      <c r="O988">
        <f>L988*J988</f>
        <v>63.617251160000002</v>
      </c>
      <c r="P988">
        <f>M988-N988-H988</f>
        <v>0.43641000000000041</v>
      </c>
      <c r="Q988">
        <f>P988/O988</f>
        <v>6.8599317330202041E-3</v>
      </c>
      <c r="R988">
        <f>I988-G988</f>
        <v>40</v>
      </c>
      <c r="S988">
        <f>Q988/R988</f>
        <v>1.714982933255051E-4</v>
      </c>
      <c r="T988">
        <f>S988*10000</f>
        <v>1.714982933255051</v>
      </c>
    </row>
    <row r="989" spans="1:20" x14ac:dyDescent="0.3">
      <c r="A989" t="s">
        <v>58</v>
      </c>
      <c r="B989" t="s">
        <v>40</v>
      </c>
      <c r="C989">
        <v>1</v>
      </c>
      <c r="D989">
        <v>24</v>
      </c>
      <c r="E989" t="s">
        <v>23</v>
      </c>
      <c r="F989">
        <v>0.44699</v>
      </c>
      <c r="G989" s="1">
        <v>45993</v>
      </c>
      <c r="H989">
        <v>6.9641799999999998</v>
      </c>
      <c r="I989" s="1">
        <v>46033</v>
      </c>
      <c r="J989">
        <v>63.617251160000002</v>
      </c>
      <c r="K989">
        <v>5.31</v>
      </c>
      <c r="L989">
        <v>1</v>
      </c>
      <c r="M989">
        <v>7.9142400000000004</v>
      </c>
      <c r="N989">
        <f>L989*F989</f>
        <v>0.44699</v>
      </c>
      <c r="O989">
        <f>L989*J989</f>
        <v>63.617251160000002</v>
      </c>
      <c r="P989">
        <f>M989-N989-H989</f>
        <v>0.50307000000000013</v>
      </c>
      <c r="Q989">
        <f>P989/O989</f>
        <v>7.9077607225555603E-3</v>
      </c>
      <c r="R989">
        <f>I989-G989</f>
        <v>40</v>
      </c>
      <c r="S989">
        <f>Q989/R989</f>
        <v>1.97694018063889E-4</v>
      </c>
      <c r="T989">
        <f>S989*10000</f>
        <v>1.97694018063889</v>
      </c>
    </row>
    <row r="990" spans="1:20" x14ac:dyDescent="0.3">
      <c r="A990" t="s">
        <v>58</v>
      </c>
      <c r="B990" t="s">
        <v>40</v>
      </c>
      <c r="C990">
        <v>1</v>
      </c>
      <c r="D990">
        <v>24</v>
      </c>
      <c r="E990" t="s">
        <v>24</v>
      </c>
      <c r="F990">
        <v>0.44486999999999999</v>
      </c>
      <c r="G990" s="1">
        <v>45993</v>
      </c>
      <c r="H990">
        <v>6.9802900000000001</v>
      </c>
      <c r="I990" s="1">
        <v>46033</v>
      </c>
      <c r="J990">
        <v>63.617251160000002</v>
      </c>
      <c r="K990">
        <v>5.31</v>
      </c>
      <c r="L990">
        <v>1</v>
      </c>
      <c r="M990">
        <v>7.8846600000000002</v>
      </c>
      <c r="N990">
        <f>L990*F990</f>
        <v>0.44486999999999999</v>
      </c>
      <c r="O990">
        <f>L990*J990</f>
        <v>63.617251160000002</v>
      </c>
      <c r="P990">
        <f>M990-N990-H990</f>
        <v>0.45950000000000024</v>
      </c>
      <c r="Q990">
        <f>P990/O990</f>
        <v>7.2228835987323443E-3</v>
      </c>
      <c r="R990">
        <f>I990-G990</f>
        <v>40</v>
      </c>
      <c r="S990">
        <f>Q990/R990</f>
        <v>1.8057208996830862E-4</v>
      </c>
      <c r="T990">
        <f>S990*10000</f>
        <v>1.8057208996830862</v>
      </c>
    </row>
    <row r="991" spans="1:20" x14ac:dyDescent="0.3">
      <c r="A991" t="s">
        <v>58</v>
      </c>
      <c r="B991" t="s">
        <v>40</v>
      </c>
      <c r="C991">
        <v>1</v>
      </c>
      <c r="D991">
        <v>48</v>
      </c>
      <c r="E991" t="s">
        <v>47</v>
      </c>
      <c r="F991">
        <v>0.44462000000000002</v>
      </c>
      <c r="G991" s="1">
        <v>45993</v>
      </c>
      <c r="H991">
        <v>6.9421600000000003</v>
      </c>
      <c r="I991" s="1">
        <v>46033</v>
      </c>
      <c r="J991">
        <v>63.617251160000002</v>
      </c>
      <c r="K991">
        <v>5.31</v>
      </c>
      <c r="L991">
        <v>1</v>
      </c>
      <c r="M991">
        <v>11.51052</v>
      </c>
      <c r="N991">
        <f>L991*F991</f>
        <v>0.44462000000000002</v>
      </c>
      <c r="O991">
        <f>L991*J991</f>
        <v>63.617251160000002</v>
      </c>
      <c r="P991">
        <f>M991-N991-H991</f>
        <v>4.1237399999999989</v>
      </c>
      <c r="Q991">
        <f>P991/O991</f>
        <v>6.4821096869285083E-2</v>
      </c>
      <c r="R991">
        <f>I991-G991</f>
        <v>40</v>
      </c>
      <c r="S991">
        <f>Q991/R991</f>
        <v>1.6205274217321272E-3</v>
      </c>
      <c r="T991">
        <f>S991*10000</f>
        <v>16.205274217321271</v>
      </c>
    </row>
    <row r="992" spans="1:20" x14ac:dyDescent="0.3">
      <c r="A992" t="s">
        <v>58</v>
      </c>
      <c r="B992" t="s">
        <v>40</v>
      </c>
      <c r="C992">
        <v>1</v>
      </c>
      <c r="D992">
        <v>48</v>
      </c>
      <c r="E992" t="s">
        <v>23</v>
      </c>
      <c r="F992">
        <v>0.44713999999999998</v>
      </c>
      <c r="G992" s="1">
        <v>45993</v>
      </c>
      <c r="H992">
        <v>6.93485</v>
      </c>
      <c r="I992" s="1">
        <v>46033</v>
      </c>
      <c r="J992">
        <v>63.617251160000002</v>
      </c>
      <c r="K992">
        <v>5.31</v>
      </c>
      <c r="L992">
        <v>1</v>
      </c>
      <c r="M992">
        <v>13.960240000000001</v>
      </c>
      <c r="N992">
        <f>L992*F992</f>
        <v>0.44713999999999998</v>
      </c>
      <c r="O992">
        <f>L992*J992</f>
        <v>63.617251160000002</v>
      </c>
      <c r="P992">
        <f>M992-N992-H992</f>
        <v>6.5782500000000015</v>
      </c>
      <c r="Q992">
        <f>P992/O992</f>
        <v>0.10340355611177592</v>
      </c>
      <c r="R992">
        <f>I992-G992</f>
        <v>40</v>
      </c>
      <c r="S992">
        <f>Q992/R992</f>
        <v>2.585088902794398E-3</v>
      </c>
      <c r="T992">
        <f>S992*10000</f>
        <v>25.850889027943978</v>
      </c>
    </row>
    <row r="993" spans="1:20" x14ac:dyDescent="0.3">
      <c r="A993" t="s">
        <v>58</v>
      </c>
      <c r="B993" t="s">
        <v>40</v>
      </c>
      <c r="C993">
        <v>1</v>
      </c>
      <c r="D993">
        <v>48</v>
      </c>
      <c r="E993" t="s">
        <v>24</v>
      </c>
      <c r="F993">
        <v>0.44686999999999999</v>
      </c>
      <c r="G993" s="1">
        <v>45993</v>
      </c>
      <c r="H993">
        <v>6.5497300000000003</v>
      </c>
      <c r="I993" s="1">
        <v>46033</v>
      </c>
      <c r="J993">
        <v>63.617251160000002</v>
      </c>
      <c r="K993">
        <v>5.31</v>
      </c>
      <c r="L993">
        <v>1</v>
      </c>
      <c r="M993">
        <v>14.651300000000001</v>
      </c>
      <c r="N993">
        <f>L993*F993</f>
        <v>0.44686999999999999</v>
      </c>
      <c r="O993">
        <f>L993*J993</f>
        <v>63.617251160000002</v>
      </c>
      <c r="P993">
        <f>M993-N993-H993</f>
        <v>7.6547000000000001</v>
      </c>
      <c r="Q993">
        <f>P993/O993</f>
        <v>0.12032428092103689</v>
      </c>
      <c r="R993">
        <f>I993-G993</f>
        <v>40</v>
      </c>
      <c r="S993">
        <f>Q993/R993</f>
        <v>3.0081070230259222E-3</v>
      </c>
      <c r="T993">
        <f>S993*10000</f>
        <v>30.081070230259222</v>
      </c>
    </row>
    <row r="994" spans="1:20" x14ac:dyDescent="0.3">
      <c r="A994" t="s">
        <v>58</v>
      </c>
      <c r="B994" t="s">
        <v>40</v>
      </c>
      <c r="C994">
        <v>2</v>
      </c>
      <c r="D994">
        <v>0.5</v>
      </c>
      <c r="E994" t="s">
        <v>47</v>
      </c>
      <c r="F994">
        <v>4.2391899999999998</v>
      </c>
      <c r="G994" s="1">
        <v>45993</v>
      </c>
      <c r="H994">
        <v>6.6096700000000004</v>
      </c>
      <c r="I994" s="1">
        <v>46033</v>
      </c>
      <c r="J994">
        <v>63.617251160000002</v>
      </c>
      <c r="K994">
        <v>5.31</v>
      </c>
      <c r="L994">
        <v>1</v>
      </c>
      <c r="M994">
        <v>10.887560000000001</v>
      </c>
      <c r="N994">
        <f>L994*F994</f>
        <v>4.2391899999999998</v>
      </c>
      <c r="O994">
        <f>L994*J994</f>
        <v>63.617251160000002</v>
      </c>
      <c r="P994">
        <f>M994-N994-H994</f>
        <v>3.8700000000000401E-2</v>
      </c>
      <c r="Q994">
        <f>P994/O994</f>
        <v>6.0832556098138087E-4</v>
      </c>
      <c r="R994">
        <f>I994-G994</f>
        <v>40</v>
      </c>
      <c r="S994">
        <f>Q994/R994</f>
        <v>1.5208139024534522E-5</v>
      </c>
      <c r="T994">
        <f>S994*10000</f>
        <v>0.15208139024534523</v>
      </c>
    </row>
    <row r="995" spans="1:20" x14ac:dyDescent="0.3">
      <c r="A995" t="s">
        <v>58</v>
      </c>
      <c r="B995" t="s">
        <v>40</v>
      </c>
      <c r="C995">
        <v>2</v>
      </c>
      <c r="D995">
        <v>0.5</v>
      </c>
      <c r="E995" t="s">
        <v>23</v>
      </c>
      <c r="F995">
        <v>4.30844</v>
      </c>
      <c r="G995" s="1">
        <v>45993</v>
      </c>
      <c r="H995">
        <v>6.657</v>
      </c>
      <c r="I995" s="1">
        <v>46033</v>
      </c>
      <c r="J995">
        <v>63.617251160000002</v>
      </c>
      <c r="K995">
        <v>5.31</v>
      </c>
      <c r="L995">
        <v>1</v>
      </c>
      <c r="M995">
        <v>11.049770000000001</v>
      </c>
      <c r="N995">
        <f>L995*F995</f>
        <v>4.30844</v>
      </c>
      <c r="O995">
        <f>L995*J995</f>
        <v>63.617251160000002</v>
      </c>
      <c r="P995">
        <f>M995-N995-H995</f>
        <v>8.433000000000046E-2</v>
      </c>
      <c r="Q995">
        <f>P995/O995</f>
        <v>1.3255838386966303E-3</v>
      </c>
      <c r="R995">
        <f>I995-G995</f>
        <v>40</v>
      </c>
      <c r="S995">
        <f>Q995/R995</f>
        <v>3.313959596741576E-5</v>
      </c>
      <c r="T995">
        <f>S995*10000</f>
        <v>0.33139595967415758</v>
      </c>
    </row>
    <row r="996" spans="1:20" x14ac:dyDescent="0.3">
      <c r="A996" t="s">
        <v>58</v>
      </c>
      <c r="B996" t="s">
        <v>40</v>
      </c>
      <c r="C996">
        <v>2</v>
      </c>
      <c r="D996">
        <v>0.5</v>
      </c>
      <c r="E996" t="s">
        <v>24</v>
      </c>
      <c r="F996">
        <v>4.4079899999999999</v>
      </c>
      <c r="G996" s="1">
        <v>45993</v>
      </c>
      <c r="H996">
        <v>6.6338499999999998</v>
      </c>
      <c r="I996" s="1">
        <v>46033</v>
      </c>
      <c r="J996">
        <v>63.617251160000002</v>
      </c>
      <c r="K996">
        <v>5.31</v>
      </c>
      <c r="L996">
        <v>1</v>
      </c>
      <c r="M996">
        <v>11.12372</v>
      </c>
      <c r="N996">
        <f>L996*F996</f>
        <v>4.4079899999999999</v>
      </c>
      <c r="O996">
        <f>L996*J996</f>
        <v>63.617251160000002</v>
      </c>
      <c r="P996">
        <f>M996-N996-H996</f>
        <v>8.1880000000000841E-2</v>
      </c>
      <c r="Q996">
        <f>P996/O996</f>
        <v>1.2870722721745596E-3</v>
      </c>
      <c r="R996">
        <f>I996-G996</f>
        <v>40</v>
      </c>
      <c r="S996">
        <f>Q996/R996</f>
        <v>3.2176806804363991E-5</v>
      </c>
      <c r="T996">
        <f>S996*10000</f>
        <v>0.32176806804363989</v>
      </c>
    </row>
    <row r="997" spans="1:20" x14ac:dyDescent="0.3">
      <c r="A997" t="s">
        <v>58</v>
      </c>
      <c r="B997" t="s">
        <v>40</v>
      </c>
      <c r="C997">
        <v>2</v>
      </c>
      <c r="D997">
        <v>2</v>
      </c>
      <c r="E997" t="s">
        <v>47</v>
      </c>
      <c r="F997">
        <v>4.6025900000000002</v>
      </c>
      <c r="G997" s="1">
        <v>45993</v>
      </c>
      <c r="H997">
        <v>6.6840200000000003</v>
      </c>
      <c r="I997" s="1">
        <v>46033</v>
      </c>
      <c r="J997">
        <v>63.617251160000002</v>
      </c>
      <c r="K997">
        <v>5.31</v>
      </c>
      <c r="L997">
        <v>1</v>
      </c>
      <c r="M997">
        <v>11.508279999999999</v>
      </c>
      <c r="N997">
        <f>L997*F997</f>
        <v>4.6025900000000002</v>
      </c>
      <c r="O997">
        <f>L997*J997</f>
        <v>63.617251160000002</v>
      </c>
      <c r="P997">
        <f>M997-N997-H997</f>
        <v>0.2216699999999987</v>
      </c>
      <c r="Q997">
        <f>P997/O997</f>
        <v>3.4844322248770154E-3</v>
      </c>
      <c r="R997">
        <f>I997-G997</f>
        <v>40</v>
      </c>
      <c r="S997">
        <f>Q997/R997</f>
        <v>8.7110805621925383E-5</v>
      </c>
      <c r="T997">
        <f>S997*10000</f>
        <v>0.8711080562192538</v>
      </c>
    </row>
    <row r="998" spans="1:20" x14ac:dyDescent="0.3">
      <c r="A998" t="s">
        <v>58</v>
      </c>
      <c r="B998" t="s">
        <v>40</v>
      </c>
      <c r="C998">
        <v>2</v>
      </c>
      <c r="D998">
        <v>2</v>
      </c>
      <c r="E998" t="s">
        <v>23</v>
      </c>
      <c r="F998">
        <v>4.2538</v>
      </c>
      <c r="G998" s="1">
        <v>45993</v>
      </c>
      <c r="H998">
        <v>6.6105999999999998</v>
      </c>
      <c r="I998" s="1">
        <v>46033</v>
      </c>
      <c r="J998">
        <v>63.617251160000002</v>
      </c>
      <c r="K998">
        <v>5.31</v>
      </c>
      <c r="L998">
        <v>1</v>
      </c>
      <c r="M998">
        <v>10.95875</v>
      </c>
      <c r="N998">
        <f>L998*F998</f>
        <v>4.2538</v>
      </c>
      <c r="O998">
        <f>L998*J998</f>
        <v>63.617251160000002</v>
      </c>
      <c r="P998">
        <f>M998-N998-H998</f>
        <v>9.4350000000000378E-2</v>
      </c>
      <c r="Q998">
        <f>P998/O998</f>
        <v>1.4830882862685508E-3</v>
      </c>
      <c r="R998">
        <f>I998-G998</f>
        <v>40</v>
      </c>
      <c r="S998">
        <f>Q998/R998</f>
        <v>3.7077207156713771E-5</v>
      </c>
      <c r="T998">
        <f>S998*10000</f>
        <v>0.37077207156713771</v>
      </c>
    </row>
    <row r="999" spans="1:20" x14ac:dyDescent="0.3">
      <c r="A999" t="s">
        <v>58</v>
      </c>
      <c r="B999" t="s">
        <v>40</v>
      </c>
      <c r="C999">
        <v>2</v>
      </c>
      <c r="D999">
        <v>2</v>
      </c>
      <c r="E999" t="s">
        <v>24</v>
      </c>
      <c r="F999">
        <v>3.9451999999999998</v>
      </c>
      <c r="G999" s="1">
        <v>45993</v>
      </c>
      <c r="H999">
        <v>6.6201600000000003</v>
      </c>
      <c r="I999" s="1">
        <v>46033</v>
      </c>
      <c r="J999">
        <v>63.617251160000002</v>
      </c>
      <c r="K999">
        <v>5.31</v>
      </c>
      <c r="L999">
        <v>1</v>
      </c>
      <c r="M999">
        <v>10.643409999999999</v>
      </c>
      <c r="N999">
        <f>L999*F999</f>
        <v>3.9451999999999998</v>
      </c>
      <c r="O999">
        <f>L999*J999</f>
        <v>63.617251160000002</v>
      </c>
      <c r="P999">
        <f>M999-N999-H999</f>
        <v>7.8049999999999287E-2</v>
      </c>
      <c r="Q999">
        <f>P999/O999</f>
        <v>1.226868476346146E-3</v>
      </c>
      <c r="R999">
        <f>I999-G999</f>
        <v>40</v>
      </c>
      <c r="S999">
        <f>Q999/R999</f>
        <v>3.0671711908653649E-5</v>
      </c>
      <c r="T999">
        <f>S999*10000</f>
        <v>0.30671711908653648</v>
      </c>
    </row>
    <row r="1000" spans="1:20" x14ac:dyDescent="0.3">
      <c r="A1000" t="s">
        <v>58</v>
      </c>
      <c r="B1000" t="s">
        <v>40</v>
      </c>
      <c r="C1000">
        <v>2</v>
      </c>
      <c r="D1000">
        <v>6</v>
      </c>
      <c r="E1000" t="s">
        <v>47</v>
      </c>
      <c r="F1000">
        <v>0.44513999999999998</v>
      </c>
      <c r="G1000" s="1">
        <v>45993</v>
      </c>
      <c r="H1000">
        <v>6.6074599999999997</v>
      </c>
      <c r="I1000" s="1">
        <v>46033</v>
      </c>
      <c r="J1000">
        <v>63.617251160000002</v>
      </c>
      <c r="K1000">
        <v>5.31</v>
      </c>
      <c r="L1000">
        <v>1</v>
      </c>
      <c r="M1000">
        <v>7.4257900000000001</v>
      </c>
      <c r="N1000">
        <f>L1000*F1000</f>
        <v>0.44513999999999998</v>
      </c>
      <c r="O1000">
        <f>L1000*J1000</f>
        <v>63.617251160000002</v>
      </c>
      <c r="P1000">
        <f>M1000-N1000-H1000</f>
        <v>0.37319000000000013</v>
      </c>
      <c r="Q1000">
        <f>P1000/O1000</f>
        <v>5.8661761266831846E-3</v>
      </c>
      <c r="R1000">
        <f>I1000-G1000</f>
        <v>40</v>
      </c>
      <c r="S1000">
        <f>Q1000/R1000</f>
        <v>1.466544031670796E-4</v>
      </c>
      <c r="T1000">
        <f>S1000*10000</f>
        <v>1.4665440316707961</v>
      </c>
    </row>
    <row r="1001" spans="1:20" x14ac:dyDescent="0.3">
      <c r="A1001" t="s">
        <v>58</v>
      </c>
      <c r="B1001" t="s">
        <v>40</v>
      </c>
      <c r="C1001">
        <v>2</v>
      </c>
      <c r="D1001">
        <v>6</v>
      </c>
      <c r="E1001" t="s">
        <v>23</v>
      </c>
      <c r="F1001">
        <v>0.44625999999999999</v>
      </c>
      <c r="G1001" s="1">
        <v>45993</v>
      </c>
      <c r="H1001">
        <v>6.6143599999999996</v>
      </c>
      <c r="I1001" s="1">
        <v>46033</v>
      </c>
      <c r="J1001">
        <v>63.617251160000002</v>
      </c>
      <c r="K1001">
        <v>5.31</v>
      </c>
      <c r="L1001">
        <v>1</v>
      </c>
      <c r="M1001">
        <v>7.3819499999999998</v>
      </c>
      <c r="N1001">
        <f>L1001*F1001</f>
        <v>0.44625999999999999</v>
      </c>
      <c r="O1001">
        <f>L1001*J1001</f>
        <v>63.617251160000002</v>
      </c>
      <c r="P1001">
        <f>M1001-N1001-H1001</f>
        <v>0.32133000000000056</v>
      </c>
      <c r="Q1001">
        <f>P1001/O1001</f>
        <v>5.0509884369546619E-3</v>
      </c>
      <c r="R1001">
        <f>I1001-G1001</f>
        <v>40</v>
      </c>
      <c r="S1001">
        <f>Q1001/R1001</f>
        <v>1.2627471092386655E-4</v>
      </c>
      <c r="T1001">
        <f>S1001*10000</f>
        <v>1.2627471092386655</v>
      </c>
    </row>
    <row r="1002" spans="1:20" x14ac:dyDescent="0.3">
      <c r="A1002" t="s">
        <v>58</v>
      </c>
      <c r="B1002" t="s">
        <v>40</v>
      </c>
      <c r="C1002">
        <v>2</v>
      </c>
      <c r="D1002">
        <v>6</v>
      </c>
      <c r="E1002" t="s">
        <v>24</v>
      </c>
      <c r="F1002">
        <v>0.44550000000000001</v>
      </c>
      <c r="G1002" s="1">
        <v>45993</v>
      </c>
      <c r="H1002">
        <v>6.6803800000000004</v>
      </c>
      <c r="I1002" s="1">
        <v>46033</v>
      </c>
      <c r="J1002">
        <v>63.617251160000002</v>
      </c>
      <c r="K1002">
        <v>5.31</v>
      </c>
      <c r="L1002">
        <v>1</v>
      </c>
      <c r="M1002">
        <v>7.4775499999999999</v>
      </c>
      <c r="N1002">
        <f>L1002*F1002</f>
        <v>0.44550000000000001</v>
      </c>
      <c r="O1002">
        <f>L1002*J1002</f>
        <v>63.617251160000002</v>
      </c>
      <c r="P1002">
        <f>M1002-N1002-H1002</f>
        <v>0.35166999999999948</v>
      </c>
      <c r="Q1002">
        <f>P1002/O1002</f>
        <v>5.5279031015586476E-3</v>
      </c>
      <c r="R1002">
        <f>I1002-G1002</f>
        <v>40</v>
      </c>
      <c r="S1002">
        <f>Q1002/R1002</f>
        <v>1.381975775389662E-4</v>
      </c>
      <c r="T1002">
        <f>S1002*10000</f>
        <v>1.381975775389662</v>
      </c>
    </row>
    <row r="1003" spans="1:20" x14ac:dyDescent="0.3">
      <c r="A1003" t="s">
        <v>58</v>
      </c>
      <c r="B1003" t="s">
        <v>40</v>
      </c>
      <c r="C1003">
        <v>2</v>
      </c>
      <c r="D1003">
        <v>12</v>
      </c>
      <c r="E1003" t="s">
        <v>47</v>
      </c>
      <c r="F1003">
        <v>0.44651999999999997</v>
      </c>
      <c r="G1003" s="1">
        <v>45993</v>
      </c>
      <c r="H1003">
        <v>6.62521</v>
      </c>
      <c r="I1003" s="1">
        <v>46033</v>
      </c>
      <c r="J1003">
        <v>63.617251160000002</v>
      </c>
      <c r="K1003">
        <v>5.31</v>
      </c>
      <c r="L1003">
        <v>1</v>
      </c>
      <c r="M1003">
        <v>7.3369400000000002</v>
      </c>
      <c r="N1003">
        <f>L1003*F1003</f>
        <v>0.44651999999999997</v>
      </c>
      <c r="O1003">
        <f>L1003*J1003</f>
        <v>63.617251160000002</v>
      </c>
      <c r="P1003">
        <f>M1003-N1003-H1003</f>
        <v>0.26521000000000061</v>
      </c>
      <c r="Q1003">
        <f>P1003/O1003</f>
        <v>4.1688377784979509E-3</v>
      </c>
      <c r="R1003">
        <f>I1003-G1003</f>
        <v>40</v>
      </c>
      <c r="S1003">
        <f>Q1003/R1003</f>
        <v>1.0422094446244877E-4</v>
      </c>
      <c r="T1003">
        <f>S1003*10000</f>
        <v>1.0422094446244878</v>
      </c>
    </row>
    <row r="1004" spans="1:20" x14ac:dyDescent="0.3">
      <c r="A1004" t="s">
        <v>58</v>
      </c>
      <c r="B1004" t="s">
        <v>40</v>
      </c>
      <c r="C1004">
        <v>2</v>
      </c>
      <c r="D1004">
        <v>12</v>
      </c>
      <c r="E1004" t="s">
        <v>23</v>
      </c>
      <c r="F1004">
        <v>0.44671</v>
      </c>
      <c r="G1004" s="1">
        <v>45993</v>
      </c>
      <c r="H1004">
        <v>6.6622500000000002</v>
      </c>
      <c r="I1004" s="1">
        <v>46033</v>
      </c>
      <c r="J1004">
        <v>63.617251160000002</v>
      </c>
      <c r="K1004">
        <v>5.31</v>
      </c>
      <c r="L1004">
        <v>1</v>
      </c>
      <c r="M1004">
        <v>7.4316300000000002</v>
      </c>
      <c r="N1004">
        <f>L1004*F1004</f>
        <v>0.44671</v>
      </c>
      <c r="O1004">
        <f>L1004*J1004</f>
        <v>63.617251160000002</v>
      </c>
      <c r="P1004">
        <f>M1004-N1004-H1004</f>
        <v>0.32266999999999957</v>
      </c>
      <c r="Q1004">
        <f>P1004/O1004</f>
        <v>5.072051905991211E-3</v>
      </c>
      <c r="R1004">
        <f>I1004-G1004</f>
        <v>40</v>
      </c>
      <c r="S1004">
        <f>Q1004/R1004</f>
        <v>1.2680129764978027E-4</v>
      </c>
      <c r="T1004">
        <f>S1004*10000</f>
        <v>1.2680129764978028</v>
      </c>
    </row>
    <row r="1005" spans="1:20" x14ac:dyDescent="0.3">
      <c r="A1005" t="s">
        <v>58</v>
      </c>
      <c r="B1005" t="s">
        <v>40</v>
      </c>
      <c r="C1005">
        <v>2</v>
      </c>
      <c r="D1005">
        <v>12</v>
      </c>
      <c r="E1005" t="s">
        <v>24</v>
      </c>
      <c r="F1005">
        <v>0.44621</v>
      </c>
      <c r="G1005" s="1">
        <v>45993</v>
      </c>
      <c r="H1005">
        <v>6.6344099999999999</v>
      </c>
      <c r="I1005" s="1">
        <v>46033</v>
      </c>
      <c r="J1005">
        <v>63.617251160000002</v>
      </c>
      <c r="K1005">
        <v>5.31</v>
      </c>
      <c r="L1005">
        <v>1</v>
      </c>
      <c r="M1005">
        <v>7.34504</v>
      </c>
      <c r="N1005">
        <f>L1005*F1005</f>
        <v>0.44621</v>
      </c>
      <c r="O1005">
        <f>L1005*J1005</f>
        <v>63.617251160000002</v>
      </c>
      <c r="P1005">
        <f>M1005-N1005-H1005</f>
        <v>0.26442000000000032</v>
      </c>
      <c r="Q1005">
        <f>P1005/O1005</f>
        <v>4.1564197631704198E-3</v>
      </c>
      <c r="R1005">
        <f>I1005-G1005</f>
        <v>40</v>
      </c>
      <c r="S1005">
        <f>Q1005/R1005</f>
        <v>1.039104940792605E-4</v>
      </c>
      <c r="T1005">
        <f>S1005*10000</f>
        <v>1.039104940792605</v>
      </c>
    </row>
    <row r="1006" spans="1:20" x14ac:dyDescent="0.3">
      <c r="A1006" t="s">
        <v>58</v>
      </c>
      <c r="B1006" t="s">
        <v>40</v>
      </c>
      <c r="C1006">
        <v>2</v>
      </c>
      <c r="D1006">
        <v>18</v>
      </c>
      <c r="E1006" t="s">
        <v>47</v>
      </c>
      <c r="F1006">
        <v>0.44690999999999997</v>
      </c>
      <c r="G1006" s="1">
        <v>45993</v>
      </c>
      <c r="H1006">
        <v>6.6585299999999998</v>
      </c>
      <c r="I1006" s="1">
        <v>46033</v>
      </c>
      <c r="J1006">
        <v>63.617251160000002</v>
      </c>
      <c r="K1006">
        <v>5.31</v>
      </c>
      <c r="L1006">
        <v>1</v>
      </c>
      <c r="M1006">
        <v>7.4717000000000002</v>
      </c>
      <c r="N1006">
        <f>L1006*F1006</f>
        <v>0.44690999999999997</v>
      </c>
      <c r="O1006">
        <f>L1006*J1006</f>
        <v>63.617251160000002</v>
      </c>
      <c r="P1006">
        <f>M1006-N1006-H1006</f>
        <v>0.36626000000000047</v>
      </c>
      <c r="Q1006">
        <f>P1006/O1006</f>
        <v>5.7572434099493154E-3</v>
      </c>
      <c r="R1006">
        <f>I1006-G1006</f>
        <v>40</v>
      </c>
      <c r="S1006">
        <f>Q1006/R1006</f>
        <v>1.4393108524873288E-4</v>
      </c>
      <c r="T1006">
        <f>S1006*10000</f>
        <v>1.4393108524873288</v>
      </c>
    </row>
    <row r="1007" spans="1:20" x14ac:dyDescent="0.3">
      <c r="A1007" t="s">
        <v>58</v>
      </c>
      <c r="B1007" t="s">
        <v>40</v>
      </c>
      <c r="C1007">
        <v>2</v>
      </c>
      <c r="D1007">
        <v>18</v>
      </c>
      <c r="E1007" t="s">
        <v>23</v>
      </c>
      <c r="F1007">
        <v>0.44613000000000003</v>
      </c>
      <c r="G1007" s="1">
        <v>45993</v>
      </c>
      <c r="H1007">
        <v>6.2718999999999996</v>
      </c>
      <c r="I1007" s="1">
        <v>46033</v>
      </c>
      <c r="J1007">
        <v>63.617251160000002</v>
      </c>
      <c r="K1007">
        <v>5.31</v>
      </c>
      <c r="L1007">
        <v>1</v>
      </c>
      <c r="M1007">
        <v>7.0602499999999999</v>
      </c>
      <c r="N1007">
        <f>L1007*F1007</f>
        <v>0.44613000000000003</v>
      </c>
      <c r="O1007">
        <f>L1007*J1007</f>
        <v>63.617251160000002</v>
      </c>
      <c r="P1007">
        <f>M1007-N1007-H1007</f>
        <v>0.34222000000000019</v>
      </c>
      <c r="Q1007">
        <f>P1007/O1007</f>
        <v>5.379358487830649E-3</v>
      </c>
      <c r="R1007">
        <f>I1007-G1007</f>
        <v>40</v>
      </c>
      <c r="S1007">
        <f>Q1007/R1007</f>
        <v>1.3448396219576623E-4</v>
      </c>
      <c r="T1007">
        <f>S1007*10000</f>
        <v>1.3448396219576622</v>
      </c>
    </row>
    <row r="1008" spans="1:20" x14ac:dyDescent="0.3">
      <c r="A1008" t="s">
        <v>58</v>
      </c>
      <c r="B1008" t="s">
        <v>40</v>
      </c>
      <c r="C1008">
        <v>2</v>
      </c>
      <c r="D1008">
        <v>18</v>
      </c>
      <c r="E1008" t="s">
        <v>24</v>
      </c>
      <c r="F1008">
        <v>0.44583</v>
      </c>
      <c r="G1008" s="1">
        <v>45993</v>
      </c>
      <c r="H1008">
        <v>6.2973299999999997</v>
      </c>
      <c r="I1008" s="1">
        <v>46033</v>
      </c>
      <c r="J1008">
        <v>63.617251160000002</v>
      </c>
      <c r="K1008">
        <v>5.31</v>
      </c>
      <c r="L1008">
        <v>1</v>
      </c>
      <c r="M1008">
        <v>7.0973800000000002</v>
      </c>
      <c r="N1008">
        <f>L1008*F1008</f>
        <v>0.44583</v>
      </c>
      <c r="O1008">
        <f>L1008*J1008</f>
        <v>63.617251160000002</v>
      </c>
      <c r="P1008">
        <f>M1008-N1008-H1008</f>
        <v>0.35422000000000065</v>
      </c>
      <c r="Q1008">
        <f>P1008/O1008</f>
        <v>5.5679865687551129E-3</v>
      </c>
      <c r="R1008">
        <f>I1008-G1008</f>
        <v>40</v>
      </c>
      <c r="S1008">
        <f>Q1008/R1008</f>
        <v>1.3919966421887782E-4</v>
      </c>
      <c r="T1008">
        <f>S1008*10000</f>
        <v>1.3919966421887782</v>
      </c>
    </row>
    <row r="1009" spans="1:20" x14ac:dyDescent="0.3">
      <c r="A1009" t="s">
        <v>58</v>
      </c>
      <c r="B1009" t="s">
        <v>40</v>
      </c>
      <c r="C1009">
        <v>2</v>
      </c>
      <c r="D1009">
        <v>24</v>
      </c>
      <c r="E1009" t="s">
        <v>22</v>
      </c>
      <c r="F1009">
        <v>0.44524999999999998</v>
      </c>
      <c r="G1009" s="1">
        <v>45993</v>
      </c>
      <c r="H1009">
        <v>6.2998700000000003</v>
      </c>
      <c r="I1009" s="1">
        <v>46033</v>
      </c>
      <c r="J1009">
        <v>63.617251160000002</v>
      </c>
      <c r="K1009">
        <v>5.31</v>
      </c>
      <c r="L1009">
        <v>1</v>
      </c>
      <c r="M1009">
        <v>7.2815300000000001</v>
      </c>
      <c r="N1009">
        <f>L1009*F1009</f>
        <v>0.44524999999999998</v>
      </c>
      <c r="O1009">
        <f>L1009*J1009</f>
        <v>63.617251160000002</v>
      </c>
      <c r="P1009">
        <f>M1009-N1009-H1009</f>
        <v>0.53641000000000005</v>
      </c>
      <c r="Q1009">
        <f>P1009/O1009</f>
        <v>8.4318324073906752E-3</v>
      </c>
      <c r="R1009">
        <f>I1009-G1009</f>
        <v>40</v>
      </c>
      <c r="S1009">
        <f>Q1009/R1009</f>
        <v>2.1079581018476688E-4</v>
      </c>
      <c r="T1009">
        <f>S1009*10000</f>
        <v>2.107958101847669</v>
      </c>
    </row>
    <row r="1010" spans="1:20" x14ac:dyDescent="0.3">
      <c r="A1010" t="s">
        <v>58</v>
      </c>
      <c r="B1010" t="s">
        <v>40</v>
      </c>
      <c r="C1010">
        <v>2</v>
      </c>
      <c r="D1010">
        <v>24</v>
      </c>
      <c r="E1010" t="s">
        <v>23</v>
      </c>
      <c r="F1010">
        <v>0.44657999999999998</v>
      </c>
      <c r="G1010" s="1">
        <v>45993</v>
      </c>
      <c r="H1010">
        <v>6.27217</v>
      </c>
      <c r="I1010" s="1">
        <v>46033</v>
      </c>
      <c r="J1010">
        <v>63.617251160000002</v>
      </c>
      <c r="K1010">
        <v>5.31</v>
      </c>
      <c r="L1010">
        <v>1</v>
      </c>
      <c r="M1010">
        <v>7.9283200000000003</v>
      </c>
      <c r="N1010">
        <f>L1010*F1010</f>
        <v>0.44657999999999998</v>
      </c>
      <c r="O1010">
        <f>L1010*J1010</f>
        <v>63.617251160000002</v>
      </c>
      <c r="P1010">
        <f>M1010-N1010-H1010</f>
        <v>1.2095700000000003</v>
      </c>
      <c r="Q1010">
        <f>P1010/O1010</f>
        <v>1.901323898698298E-2</v>
      </c>
      <c r="R1010">
        <f>I1010-G1010</f>
        <v>40</v>
      </c>
      <c r="S1010">
        <f>Q1010/R1010</f>
        <v>4.7533097467457449E-4</v>
      </c>
      <c r="T1010">
        <f>S1010*10000</f>
        <v>4.753309746745745</v>
      </c>
    </row>
    <row r="1011" spans="1:20" x14ac:dyDescent="0.3">
      <c r="A1011" t="s">
        <v>58</v>
      </c>
      <c r="B1011" t="s">
        <v>40</v>
      </c>
      <c r="C1011">
        <v>2</v>
      </c>
      <c r="D1011">
        <v>24</v>
      </c>
      <c r="E1011" t="s">
        <v>24</v>
      </c>
      <c r="F1011">
        <v>0.44579999999999997</v>
      </c>
      <c r="G1011" s="1">
        <v>45993</v>
      </c>
      <c r="H1011">
        <v>6.3426200000000001</v>
      </c>
      <c r="I1011" s="1">
        <v>46033</v>
      </c>
      <c r="J1011">
        <v>63.617251160000002</v>
      </c>
      <c r="K1011">
        <v>5.31</v>
      </c>
      <c r="L1011">
        <v>1</v>
      </c>
      <c r="M1011">
        <v>7.2888000000000002</v>
      </c>
      <c r="N1011">
        <f>L1011*F1011</f>
        <v>0.44579999999999997</v>
      </c>
      <c r="O1011">
        <f>L1011*J1011</f>
        <v>63.617251160000002</v>
      </c>
      <c r="P1011">
        <f>M1011-N1011-H1011</f>
        <v>0.50037999999999982</v>
      </c>
      <c r="Q1011">
        <f>P1011/O1011</f>
        <v>7.8654765944149892E-3</v>
      </c>
      <c r="R1011">
        <f>I1011-G1011</f>
        <v>40</v>
      </c>
      <c r="S1011">
        <f>Q1011/R1011</f>
        <v>1.9663691486037472E-4</v>
      </c>
      <c r="T1011">
        <f>S1011*10000</f>
        <v>1.9663691486037471</v>
      </c>
    </row>
    <row r="1012" spans="1:20" x14ac:dyDescent="0.3">
      <c r="A1012" t="s">
        <v>58</v>
      </c>
      <c r="B1012" t="s">
        <v>40</v>
      </c>
      <c r="C1012">
        <v>2</v>
      </c>
      <c r="D1012">
        <v>48</v>
      </c>
      <c r="E1012" t="s">
        <v>47</v>
      </c>
      <c r="F1012">
        <v>0.44535999999999998</v>
      </c>
      <c r="G1012" s="1">
        <v>45993</v>
      </c>
      <c r="H1012">
        <v>6.3274699999999999</v>
      </c>
      <c r="I1012" s="1">
        <v>46033</v>
      </c>
      <c r="J1012">
        <v>63.617251160000002</v>
      </c>
      <c r="K1012">
        <v>5.31</v>
      </c>
      <c r="L1012">
        <v>1</v>
      </c>
      <c r="M1012">
        <v>10.83896</v>
      </c>
      <c r="N1012">
        <f>L1012*F1012</f>
        <v>0.44535999999999998</v>
      </c>
      <c r="O1012">
        <f>L1012*J1012</f>
        <v>63.617251160000002</v>
      </c>
      <c r="P1012">
        <f>M1012-N1012-H1012</f>
        <v>4.0661299999999994</v>
      </c>
      <c r="Q1012">
        <f>P1012/O1012</f>
        <v>6.3915524890780256E-2</v>
      </c>
      <c r="R1012">
        <f>I1012-G1012</f>
        <v>40</v>
      </c>
      <c r="S1012">
        <f>Q1012/R1012</f>
        <v>1.5978881222695064E-3</v>
      </c>
      <c r="T1012">
        <f>S1012*10000</f>
        <v>15.978881222695064</v>
      </c>
    </row>
    <row r="1013" spans="1:20" x14ac:dyDescent="0.3">
      <c r="A1013" t="s">
        <v>58</v>
      </c>
      <c r="B1013" t="s">
        <v>40</v>
      </c>
      <c r="C1013">
        <v>2</v>
      </c>
      <c r="D1013">
        <v>48</v>
      </c>
      <c r="E1013" t="s">
        <v>23</v>
      </c>
      <c r="F1013">
        <v>0.44505</v>
      </c>
      <c r="G1013" s="1">
        <v>45993</v>
      </c>
      <c r="H1013">
        <v>6.3309899999999999</v>
      </c>
      <c r="I1013" s="1">
        <v>46033</v>
      </c>
      <c r="J1013">
        <v>63.617251160000002</v>
      </c>
      <c r="K1013">
        <v>5.31</v>
      </c>
      <c r="L1013">
        <v>1</v>
      </c>
      <c r="M1013">
        <v>12.162419999999999</v>
      </c>
      <c r="N1013">
        <f>L1013*F1013</f>
        <v>0.44505</v>
      </c>
      <c r="O1013">
        <f>L1013*J1013</f>
        <v>63.617251160000002</v>
      </c>
      <c r="P1013">
        <f>M1013-N1013-H1013</f>
        <v>5.3863799999999991</v>
      </c>
      <c r="Q1013">
        <f>P1013/O1013</f>
        <v>8.4668543544156469E-2</v>
      </c>
      <c r="R1013">
        <f>I1013-G1013</f>
        <v>40</v>
      </c>
      <c r="S1013">
        <f>Q1013/R1013</f>
        <v>2.1167135886039118E-3</v>
      </c>
      <c r="T1013">
        <f>S1013*10000</f>
        <v>21.167135886039119</v>
      </c>
    </row>
    <row r="1014" spans="1:20" x14ac:dyDescent="0.3">
      <c r="A1014" t="s">
        <v>58</v>
      </c>
      <c r="B1014" t="s">
        <v>40</v>
      </c>
      <c r="C1014">
        <v>2</v>
      </c>
      <c r="D1014">
        <v>48</v>
      </c>
      <c r="E1014" t="s">
        <v>24</v>
      </c>
      <c r="F1014">
        <v>0.44535000000000002</v>
      </c>
      <c r="G1014" s="1">
        <v>45993</v>
      </c>
      <c r="H1014">
        <v>6.3092899999999998</v>
      </c>
      <c r="I1014" s="1">
        <v>46033</v>
      </c>
      <c r="J1014">
        <v>63.617251160000002</v>
      </c>
      <c r="K1014">
        <v>5.31</v>
      </c>
      <c r="L1014">
        <v>1</v>
      </c>
      <c r="M1014">
        <v>14.761839999999999</v>
      </c>
      <c r="N1014">
        <f>L1014*F1014</f>
        <v>0.44535000000000002</v>
      </c>
      <c r="O1014">
        <f>L1014*J1014</f>
        <v>63.617251160000002</v>
      </c>
      <c r="P1014">
        <f>M1014-N1014-H1014</f>
        <v>8.007200000000001</v>
      </c>
      <c r="Q1014">
        <f>P1014/O1014</f>
        <v>0.12586523079819284</v>
      </c>
      <c r="R1014">
        <f>I1014-G1014</f>
        <v>40</v>
      </c>
      <c r="S1014">
        <f>Q1014/R1014</f>
        <v>3.1466307699548209E-3</v>
      </c>
      <c r="T1014">
        <f>S1014*10000</f>
        <v>31.46630769954821</v>
      </c>
    </row>
    <row r="1015" spans="1:20" x14ac:dyDescent="0.3">
      <c r="A1015" t="s">
        <v>58</v>
      </c>
      <c r="B1015" t="s">
        <v>40</v>
      </c>
      <c r="E1015" t="s">
        <v>48</v>
      </c>
      <c r="G1015" t="s">
        <v>27</v>
      </c>
      <c r="I1015" t="s">
        <v>27</v>
      </c>
      <c r="J1015">
        <v>63.617251160000002</v>
      </c>
      <c r="K1015">
        <v>5.31</v>
      </c>
      <c r="L1015" t="s">
        <v>27</v>
      </c>
      <c r="N1015" t="e">
        <f>L1015*F1015</f>
        <v>#VALUE!</v>
      </c>
      <c r="O1015" t="e">
        <f>L1015*J1015</f>
        <v>#VALUE!</v>
      </c>
      <c r="P1015" t="e">
        <f>M1015-N1015-H1015</f>
        <v>#VALUE!</v>
      </c>
      <c r="Q1015" t="e">
        <f>P1015/O1015</f>
        <v>#VALUE!</v>
      </c>
      <c r="R1015" t="e">
        <f>I1015-G1015</f>
        <v>#VALUE!</v>
      </c>
      <c r="S1015" t="e">
        <f>Q1015/R1015</f>
        <v>#VALUE!</v>
      </c>
      <c r="T1015" t="e">
        <f>S1015*10000</f>
        <v>#VALUE!</v>
      </c>
    </row>
    <row r="1016" spans="1:20" x14ac:dyDescent="0.3">
      <c r="A1016" t="s">
        <v>58</v>
      </c>
      <c r="B1016" t="s">
        <v>40</v>
      </c>
      <c r="E1016" t="s">
        <v>49</v>
      </c>
      <c r="G1016" t="s">
        <v>27</v>
      </c>
      <c r="I1016" t="s">
        <v>27</v>
      </c>
      <c r="J1016">
        <v>63.617251160000002</v>
      </c>
      <c r="K1016">
        <v>5.31</v>
      </c>
      <c r="L1016" t="s">
        <v>27</v>
      </c>
      <c r="N1016" t="e">
        <f>L1016*F1016</f>
        <v>#VALUE!</v>
      </c>
      <c r="O1016" t="e">
        <f>L1016*J1016</f>
        <v>#VALUE!</v>
      </c>
      <c r="P1016" t="e">
        <f>M1016-N1016-H1016</f>
        <v>#VALUE!</v>
      </c>
      <c r="Q1016" t="e">
        <f>P1016/O1016</f>
        <v>#VALUE!</v>
      </c>
      <c r="R1016" t="e">
        <f>I1016-G1016</f>
        <v>#VALUE!</v>
      </c>
      <c r="S1016" t="e">
        <f>Q1016/R1016</f>
        <v>#VALUE!</v>
      </c>
      <c r="T1016" t="e">
        <f>S1016*10000</f>
        <v>#VALUE!</v>
      </c>
    </row>
    <row r="1017" spans="1:20" x14ac:dyDescent="0.3">
      <c r="A1017" t="s">
        <v>58</v>
      </c>
      <c r="B1017" t="s">
        <v>40</v>
      </c>
      <c r="E1017" t="s">
        <v>50</v>
      </c>
      <c r="G1017" t="s">
        <v>27</v>
      </c>
      <c r="I1017" t="s">
        <v>27</v>
      </c>
      <c r="J1017">
        <v>63.617251160000002</v>
      </c>
      <c r="K1017">
        <v>5.31</v>
      </c>
      <c r="L1017" t="s">
        <v>27</v>
      </c>
      <c r="N1017" t="e">
        <f>L1017*F1017</f>
        <v>#VALUE!</v>
      </c>
      <c r="O1017" t="e">
        <f>L1017*J1017</f>
        <v>#VALUE!</v>
      </c>
      <c r="P1017" t="e">
        <f>M1017-N1017-H1017</f>
        <v>#VALUE!</v>
      </c>
      <c r="Q1017" t="e">
        <f>P1017/O1017</f>
        <v>#VALUE!</v>
      </c>
      <c r="R1017" t="e">
        <f>I1017-G1017</f>
        <v>#VALUE!</v>
      </c>
      <c r="S1017" t="e">
        <f>Q1017/R1017</f>
        <v>#VALUE!</v>
      </c>
      <c r="T1017" t="e">
        <f>S1017*10000</f>
        <v>#VALUE!</v>
      </c>
    </row>
    <row r="1018" spans="1:20" x14ac:dyDescent="0.3">
      <c r="A1018" t="s">
        <v>58</v>
      </c>
      <c r="B1018" t="s">
        <v>40</v>
      </c>
      <c r="E1018" t="s">
        <v>51</v>
      </c>
      <c r="G1018" t="s">
        <v>27</v>
      </c>
      <c r="I1018" t="s">
        <v>27</v>
      </c>
      <c r="J1018">
        <v>63.617251160000002</v>
      </c>
      <c r="K1018">
        <v>5.31</v>
      </c>
      <c r="L1018" t="s">
        <v>27</v>
      </c>
      <c r="N1018" t="e">
        <f>L1018*F1018</f>
        <v>#VALUE!</v>
      </c>
      <c r="O1018" t="e">
        <f>L1018*J1018</f>
        <v>#VALUE!</v>
      </c>
      <c r="P1018" t="e">
        <f>M1018-N1018-H1018</f>
        <v>#VALUE!</v>
      </c>
      <c r="Q1018" t="e">
        <f>P1018/O1018</f>
        <v>#VALUE!</v>
      </c>
      <c r="R1018" t="e">
        <f>I1018-G1018</f>
        <v>#VALUE!</v>
      </c>
      <c r="S1018" t="e">
        <f>Q1018/R1018</f>
        <v>#VALUE!</v>
      </c>
      <c r="T1018" t="e">
        <f>S1018*10000</f>
        <v>#VALUE!</v>
      </c>
    </row>
    <row r="1019" spans="1:20" x14ac:dyDescent="0.3">
      <c r="A1019" t="s">
        <v>20</v>
      </c>
      <c r="B1019" t="s">
        <v>21</v>
      </c>
      <c r="C1019">
        <v>1</v>
      </c>
      <c r="D1019">
        <v>0.5</v>
      </c>
      <c r="E1019" t="s">
        <v>22</v>
      </c>
      <c r="F1019">
        <v>0.43813000000000002</v>
      </c>
      <c r="G1019" s="1">
        <v>45841</v>
      </c>
      <c r="H1019">
        <v>2.7082221999999998</v>
      </c>
      <c r="I1019" s="1">
        <v>45846</v>
      </c>
      <c r="J1019">
        <v>63.617251160000002</v>
      </c>
      <c r="K1019">
        <v>5.31</v>
      </c>
      <c r="L1019">
        <v>1</v>
      </c>
      <c r="M1019">
        <v>2.9992100000000002</v>
      </c>
      <c r="N1019">
        <f>L1019*F1019</f>
        <v>0.43813000000000002</v>
      </c>
      <c r="O1019">
        <f>L1019*J1019</f>
        <v>63.617251160000002</v>
      </c>
      <c r="P1019">
        <f>M1019-N1019-H1019</f>
        <v>-0.14714219999999978</v>
      </c>
      <c r="Q1019">
        <f>P1019/O1019</f>
        <v>-2.312929234083552E-3</v>
      </c>
      <c r="R1019">
        <f>I1019-G1019</f>
        <v>5</v>
      </c>
      <c r="S1019">
        <f>Q1019/R1019</f>
        <v>-4.625858468167104E-4</v>
      </c>
      <c r="T1019">
        <f>S1019*10000</f>
        <v>-4.6258584681671042</v>
      </c>
    </row>
    <row r="1020" spans="1:20" x14ac:dyDescent="0.3">
      <c r="A1020" t="s">
        <v>20</v>
      </c>
      <c r="B1020" t="s">
        <v>21</v>
      </c>
      <c r="C1020">
        <v>1</v>
      </c>
      <c r="D1020">
        <v>0.5</v>
      </c>
      <c r="E1020" t="s">
        <v>23</v>
      </c>
      <c r="F1020">
        <v>0.43667</v>
      </c>
      <c r="G1020" s="1">
        <v>45841</v>
      </c>
      <c r="H1020">
        <v>2.7082221999999998</v>
      </c>
      <c r="I1020" s="1">
        <v>45846</v>
      </c>
      <c r="J1020">
        <v>63.617251160000002</v>
      </c>
      <c r="K1020">
        <v>5.31</v>
      </c>
      <c r="L1020">
        <v>1</v>
      </c>
      <c r="N1020">
        <f>L1020*F1020</f>
        <v>0.43667</v>
      </c>
      <c r="O1020">
        <f>L1020*J1020</f>
        <v>63.617251160000002</v>
      </c>
      <c r="P1020">
        <f>M1020-N1020-H1020</f>
        <v>-3.1448921999999997</v>
      </c>
      <c r="Q1020">
        <f>P1020/O1020</f>
        <v>-4.9434581700024516E-2</v>
      </c>
      <c r="R1020">
        <f>I1020-G1020</f>
        <v>5</v>
      </c>
      <c r="S1020">
        <f>Q1020/R1020</f>
        <v>-9.8869163400049035E-3</v>
      </c>
      <c r="T1020">
        <f>S1020*10000</f>
        <v>-98.869163400049032</v>
      </c>
    </row>
    <row r="1021" spans="1:20" x14ac:dyDescent="0.3">
      <c r="A1021" t="s">
        <v>20</v>
      </c>
      <c r="B1021" t="s">
        <v>21</v>
      </c>
      <c r="C1021">
        <v>1</v>
      </c>
      <c r="D1021">
        <v>0.5</v>
      </c>
      <c r="E1021" t="s">
        <v>24</v>
      </c>
      <c r="F1021">
        <v>0.42559999999999998</v>
      </c>
      <c r="G1021" s="1">
        <v>45841</v>
      </c>
      <c r="H1021">
        <v>2.7082221999999998</v>
      </c>
      <c r="I1021" s="1">
        <v>45846</v>
      </c>
      <c r="J1021">
        <v>63.617251160000002</v>
      </c>
      <c r="K1021">
        <v>5.31</v>
      </c>
      <c r="L1021">
        <v>1</v>
      </c>
      <c r="N1021">
        <f>L1021*F1021</f>
        <v>0.42559999999999998</v>
      </c>
      <c r="O1021">
        <f>L1021*J1021</f>
        <v>63.617251160000002</v>
      </c>
      <c r="P1021">
        <f>M1021-N1021-H1021</f>
        <v>-3.1338222</v>
      </c>
      <c r="Q1021">
        <f>P1021/O1021</f>
        <v>-4.9260572295371709E-2</v>
      </c>
      <c r="R1021">
        <f>I1021-G1021</f>
        <v>5</v>
      </c>
      <c r="S1021">
        <f>Q1021/R1021</f>
        <v>-9.8521144590743414E-3</v>
      </c>
      <c r="T1021">
        <f>S1021*10000</f>
        <v>-98.521144590743418</v>
      </c>
    </row>
    <row r="1022" spans="1:20" x14ac:dyDescent="0.3">
      <c r="A1022" t="s">
        <v>20</v>
      </c>
      <c r="B1022" t="s">
        <v>21</v>
      </c>
      <c r="C1022">
        <v>1</v>
      </c>
      <c r="D1022">
        <v>2</v>
      </c>
      <c r="E1022" t="s">
        <v>22</v>
      </c>
      <c r="F1022">
        <v>0.43795000000000001</v>
      </c>
      <c r="G1022" s="1">
        <v>45841</v>
      </c>
      <c r="H1022">
        <v>2.7082221999999998</v>
      </c>
      <c r="I1022" s="1">
        <v>45846</v>
      </c>
      <c r="J1022">
        <v>63.617251160000002</v>
      </c>
      <c r="K1022">
        <v>5.31</v>
      </c>
      <c r="L1022">
        <v>1</v>
      </c>
      <c r="M1022" t="s">
        <v>25</v>
      </c>
      <c r="N1022">
        <f>L1022*F1022</f>
        <v>0.43795000000000001</v>
      </c>
      <c r="O1022">
        <f>L1022*J1022</f>
        <v>63.617251160000002</v>
      </c>
      <c r="P1022" t="e">
        <f>M1022-N1022-H1022</f>
        <v>#VALUE!</v>
      </c>
      <c r="Q1022" t="e">
        <f>P1022/O1022</f>
        <v>#VALUE!</v>
      </c>
      <c r="R1022">
        <f>I1022-G1022</f>
        <v>5</v>
      </c>
      <c r="S1022" t="e">
        <f>Q1022/R1022</f>
        <v>#VALUE!</v>
      </c>
      <c r="T1022" t="e">
        <f>S1022*10000</f>
        <v>#VALUE!</v>
      </c>
    </row>
    <row r="1023" spans="1:20" x14ac:dyDescent="0.3">
      <c r="A1023" t="s">
        <v>20</v>
      </c>
      <c r="B1023" t="s">
        <v>21</v>
      </c>
      <c r="C1023">
        <v>1</v>
      </c>
      <c r="D1023">
        <v>2</v>
      </c>
      <c r="E1023" t="s">
        <v>23</v>
      </c>
      <c r="F1023">
        <v>0.42542999999999997</v>
      </c>
      <c r="G1023" s="1">
        <v>45841</v>
      </c>
      <c r="H1023">
        <v>2.7082221999999998</v>
      </c>
      <c r="I1023" s="1">
        <v>45846</v>
      </c>
      <c r="J1023">
        <v>63.617251160000002</v>
      </c>
      <c r="K1023">
        <v>5.31</v>
      </c>
      <c r="L1023">
        <v>1</v>
      </c>
      <c r="N1023">
        <f>L1023*F1023</f>
        <v>0.42542999999999997</v>
      </c>
      <c r="O1023">
        <f>L1023*J1023</f>
        <v>63.617251160000002</v>
      </c>
      <c r="P1023">
        <f>M1023-N1023-H1023</f>
        <v>-3.1336521999999998</v>
      </c>
      <c r="Q1023">
        <f>P1023/O1023</f>
        <v>-4.9257900064225278E-2</v>
      </c>
      <c r="R1023">
        <f>I1023-G1023</f>
        <v>5</v>
      </c>
      <c r="S1023">
        <f>Q1023/R1023</f>
        <v>-9.8515800128450553E-3</v>
      </c>
      <c r="T1023">
        <f>S1023*10000</f>
        <v>-98.51580012845055</v>
      </c>
    </row>
    <row r="1024" spans="1:20" x14ac:dyDescent="0.3">
      <c r="A1024" t="s">
        <v>20</v>
      </c>
      <c r="B1024" t="s">
        <v>21</v>
      </c>
      <c r="C1024">
        <v>1</v>
      </c>
      <c r="D1024">
        <v>2</v>
      </c>
      <c r="E1024" t="s">
        <v>24</v>
      </c>
      <c r="F1024">
        <v>0.43931999999999999</v>
      </c>
      <c r="G1024" s="1">
        <v>45841</v>
      </c>
      <c r="H1024">
        <v>2.7082221999999998</v>
      </c>
      <c r="I1024" s="1">
        <v>45846</v>
      </c>
      <c r="J1024">
        <v>63.617251160000002</v>
      </c>
      <c r="K1024">
        <v>5.31</v>
      </c>
      <c r="L1024">
        <v>1</v>
      </c>
      <c r="N1024">
        <f>L1024*F1024</f>
        <v>0.43931999999999999</v>
      </c>
      <c r="O1024">
        <f>L1024*J1024</f>
        <v>63.617251160000002</v>
      </c>
      <c r="P1024">
        <f>M1024-N1024-H1024</f>
        <v>-3.1475421999999997</v>
      </c>
      <c r="Q1024">
        <f>P1024/O1024</f>
        <v>-4.9476237067895334E-2</v>
      </c>
      <c r="R1024">
        <f>I1024-G1024</f>
        <v>5</v>
      </c>
      <c r="S1024">
        <f>Q1024/R1024</f>
        <v>-9.8952474135790662E-3</v>
      </c>
      <c r="T1024">
        <f>S1024*10000</f>
        <v>-98.952474135790666</v>
      </c>
    </row>
    <row r="1025" spans="1:20" x14ac:dyDescent="0.3">
      <c r="A1025" t="s">
        <v>20</v>
      </c>
      <c r="B1025" t="s">
        <v>21</v>
      </c>
      <c r="C1025">
        <v>1</v>
      </c>
      <c r="D1025">
        <v>6</v>
      </c>
      <c r="E1025" t="s">
        <v>22</v>
      </c>
      <c r="F1025">
        <v>0.42488999999999999</v>
      </c>
      <c r="G1025" s="1">
        <v>45841</v>
      </c>
      <c r="H1025">
        <v>2.7082221999999998</v>
      </c>
      <c r="I1025" s="1">
        <v>45846</v>
      </c>
      <c r="J1025">
        <v>63.617251160000002</v>
      </c>
      <c r="K1025">
        <v>5.31</v>
      </c>
      <c r="L1025">
        <v>1</v>
      </c>
      <c r="M1025">
        <v>3.3527499999999999</v>
      </c>
      <c r="N1025">
        <f>L1025*F1025</f>
        <v>0.42488999999999999</v>
      </c>
      <c r="O1025">
        <f>L1025*J1025</f>
        <v>63.617251160000002</v>
      </c>
      <c r="P1025">
        <f>M1025-N1025-H1025</f>
        <v>0.21963780000000011</v>
      </c>
      <c r="Q1025">
        <f>P1025/O1025</f>
        <v>3.4524880593724805E-3</v>
      </c>
      <c r="R1025">
        <f>I1025-G1025</f>
        <v>5</v>
      </c>
      <c r="S1025">
        <f>Q1025/R1025</f>
        <v>6.9049761187449615E-4</v>
      </c>
      <c r="T1025">
        <f>S1025*10000</f>
        <v>6.9049761187449619</v>
      </c>
    </row>
    <row r="1026" spans="1:20" x14ac:dyDescent="0.3">
      <c r="A1026" t="s">
        <v>20</v>
      </c>
      <c r="B1026" t="s">
        <v>21</v>
      </c>
      <c r="C1026">
        <v>1</v>
      </c>
      <c r="D1026">
        <v>6</v>
      </c>
      <c r="E1026" t="s">
        <v>23</v>
      </c>
      <c r="F1026">
        <v>0.43736999999999998</v>
      </c>
      <c r="G1026" s="1">
        <v>45841</v>
      </c>
      <c r="H1026">
        <v>2.7082221999999998</v>
      </c>
      <c r="I1026" s="1">
        <v>45846</v>
      </c>
      <c r="J1026">
        <v>63.617251160000002</v>
      </c>
      <c r="K1026">
        <v>5.31</v>
      </c>
      <c r="L1026">
        <v>1</v>
      </c>
      <c r="N1026">
        <f>L1026*F1026</f>
        <v>0.43736999999999998</v>
      </c>
      <c r="O1026">
        <f>L1026*J1026</f>
        <v>63.617251160000002</v>
      </c>
      <c r="P1026">
        <f>M1026-N1026-H1026</f>
        <v>-3.1455921999999998</v>
      </c>
      <c r="Q1026">
        <f>P1026/O1026</f>
        <v>-4.9445585004745114E-2</v>
      </c>
      <c r="R1026">
        <f>I1026-G1026</f>
        <v>5</v>
      </c>
      <c r="S1026">
        <f>Q1026/R1026</f>
        <v>-9.8891170009490232E-3</v>
      </c>
      <c r="T1026">
        <f>S1026*10000</f>
        <v>-98.891170009490239</v>
      </c>
    </row>
    <row r="1027" spans="1:20" x14ac:dyDescent="0.3">
      <c r="A1027" t="s">
        <v>20</v>
      </c>
      <c r="B1027" t="s">
        <v>21</v>
      </c>
      <c r="C1027">
        <v>1</v>
      </c>
      <c r="D1027">
        <v>6</v>
      </c>
      <c r="E1027" t="s">
        <v>24</v>
      </c>
      <c r="F1027">
        <v>0.43518000000000001</v>
      </c>
      <c r="G1027" s="1">
        <v>45841</v>
      </c>
      <c r="H1027">
        <v>2.7082221999999998</v>
      </c>
      <c r="I1027" s="1">
        <v>45846</v>
      </c>
      <c r="J1027">
        <v>63.617251160000002</v>
      </c>
      <c r="K1027">
        <v>5.31</v>
      </c>
      <c r="L1027">
        <v>1</v>
      </c>
      <c r="N1027">
        <f>L1027*F1027</f>
        <v>0.43518000000000001</v>
      </c>
      <c r="O1027">
        <f>L1027*J1027</f>
        <v>63.617251160000002</v>
      </c>
      <c r="P1027">
        <f>M1027-N1027-H1027</f>
        <v>-3.1434021999999997</v>
      </c>
      <c r="Q1027">
        <f>P1027/O1027</f>
        <v>-4.94111603799764E-2</v>
      </c>
      <c r="R1027">
        <f>I1027-G1027</f>
        <v>5</v>
      </c>
      <c r="S1027">
        <f>Q1027/R1027</f>
        <v>-9.8822320759952807E-3</v>
      </c>
      <c r="T1027">
        <f>S1027*10000</f>
        <v>-98.822320759952802</v>
      </c>
    </row>
    <row r="1028" spans="1:20" x14ac:dyDescent="0.3">
      <c r="A1028" t="s">
        <v>20</v>
      </c>
      <c r="B1028" t="s">
        <v>21</v>
      </c>
      <c r="C1028">
        <v>1</v>
      </c>
      <c r="D1028">
        <v>12</v>
      </c>
      <c r="E1028" t="s">
        <v>22</v>
      </c>
      <c r="F1028">
        <v>0.43397000000000002</v>
      </c>
      <c r="G1028" s="1">
        <v>45841</v>
      </c>
      <c r="H1028">
        <v>2.7082221999999998</v>
      </c>
      <c r="I1028" s="1">
        <v>45846</v>
      </c>
      <c r="J1028">
        <v>63.617251160000002</v>
      </c>
      <c r="K1028">
        <v>5.31</v>
      </c>
      <c r="L1028">
        <v>1</v>
      </c>
      <c r="M1028">
        <v>3.1070000000000002</v>
      </c>
      <c r="N1028">
        <f>L1028*F1028</f>
        <v>0.43397000000000002</v>
      </c>
      <c r="O1028">
        <f>L1028*J1028</f>
        <v>63.617251160000002</v>
      </c>
      <c r="P1028">
        <f>M1028-N1028-H1028</f>
        <v>-3.5192199999999563E-2</v>
      </c>
      <c r="Q1028">
        <f>P1028/O1028</f>
        <v>-5.5318642912580011E-4</v>
      </c>
      <c r="R1028">
        <f>I1028-G1028</f>
        <v>5</v>
      </c>
      <c r="S1028">
        <f>Q1028/R1028</f>
        <v>-1.1063728582516003E-4</v>
      </c>
      <c r="T1028">
        <f>S1028*10000</f>
        <v>-1.1063728582516004</v>
      </c>
    </row>
    <row r="1029" spans="1:20" x14ac:dyDescent="0.3">
      <c r="A1029" t="s">
        <v>20</v>
      </c>
      <c r="B1029" t="s">
        <v>21</v>
      </c>
      <c r="C1029">
        <v>1</v>
      </c>
      <c r="D1029">
        <v>12</v>
      </c>
      <c r="E1029" t="s">
        <v>23</v>
      </c>
      <c r="F1029">
        <v>0.42293999999999998</v>
      </c>
      <c r="G1029" s="1">
        <v>45841</v>
      </c>
      <c r="H1029">
        <v>2.7082221999999998</v>
      </c>
      <c r="I1029" s="1">
        <v>45846</v>
      </c>
      <c r="J1029">
        <v>63.617251160000002</v>
      </c>
      <c r="K1029">
        <v>5.31</v>
      </c>
      <c r="L1029">
        <v>1</v>
      </c>
      <c r="N1029">
        <f>L1029*F1029</f>
        <v>0.42293999999999998</v>
      </c>
      <c r="O1029">
        <f>L1029*J1029</f>
        <v>63.617251160000002</v>
      </c>
      <c r="P1029">
        <f>M1029-N1029-H1029</f>
        <v>-3.1311621999999999</v>
      </c>
      <c r="Q1029">
        <f>P1029/O1029</f>
        <v>-4.9218759737433455E-2</v>
      </c>
      <c r="R1029">
        <f>I1029-G1029</f>
        <v>5</v>
      </c>
      <c r="S1029">
        <f>Q1029/R1029</f>
        <v>-9.8437519474866911E-3</v>
      </c>
      <c r="T1029">
        <f>S1029*10000</f>
        <v>-98.437519474866917</v>
      </c>
    </row>
    <row r="1030" spans="1:20" x14ac:dyDescent="0.3">
      <c r="A1030" t="s">
        <v>20</v>
      </c>
      <c r="B1030" t="s">
        <v>21</v>
      </c>
      <c r="C1030">
        <v>1</v>
      </c>
      <c r="D1030">
        <v>12</v>
      </c>
      <c r="E1030" t="s">
        <v>24</v>
      </c>
      <c r="F1030">
        <v>0.42441000000000001</v>
      </c>
      <c r="G1030" s="1">
        <v>45841</v>
      </c>
      <c r="H1030">
        <v>2.7082221999999998</v>
      </c>
      <c r="I1030" s="1">
        <v>45846</v>
      </c>
      <c r="J1030">
        <v>63.617251160000002</v>
      </c>
      <c r="K1030">
        <v>5.31</v>
      </c>
      <c r="L1030">
        <v>1</v>
      </c>
      <c r="N1030">
        <f>L1030*F1030</f>
        <v>0.42441000000000001</v>
      </c>
      <c r="O1030">
        <f>L1030*J1030</f>
        <v>63.617251160000002</v>
      </c>
      <c r="P1030">
        <f>M1030-N1030-H1030</f>
        <v>-3.1326321999999998</v>
      </c>
      <c r="Q1030">
        <f>P1030/O1030</f>
        <v>-4.9241866677346702E-2</v>
      </c>
      <c r="R1030">
        <f>I1030-G1030</f>
        <v>5</v>
      </c>
      <c r="S1030">
        <f>Q1030/R1030</f>
        <v>-9.8483733354693404E-3</v>
      </c>
      <c r="T1030">
        <f>S1030*10000</f>
        <v>-98.483733354693399</v>
      </c>
    </row>
    <row r="1031" spans="1:20" x14ac:dyDescent="0.3">
      <c r="A1031" t="s">
        <v>20</v>
      </c>
      <c r="B1031" t="s">
        <v>21</v>
      </c>
      <c r="C1031">
        <v>1</v>
      </c>
      <c r="D1031">
        <v>24</v>
      </c>
      <c r="E1031" t="s">
        <v>22</v>
      </c>
      <c r="F1031">
        <v>0.43667</v>
      </c>
      <c r="G1031" s="1">
        <v>45841</v>
      </c>
      <c r="H1031">
        <v>2.7082221999999998</v>
      </c>
      <c r="I1031" s="1">
        <v>45846</v>
      </c>
      <c r="J1031">
        <v>63.617251160000002</v>
      </c>
      <c r="K1031">
        <v>5.31</v>
      </c>
      <c r="L1031">
        <v>1</v>
      </c>
      <c r="M1031">
        <v>2.9369399999999999</v>
      </c>
      <c r="N1031">
        <f>L1031*F1031</f>
        <v>0.43667</v>
      </c>
      <c r="O1031">
        <f>L1031*J1031</f>
        <v>63.617251160000002</v>
      </c>
      <c r="P1031">
        <f>M1031-N1031-H1031</f>
        <v>-0.20795219999999981</v>
      </c>
      <c r="Q1031">
        <f>P1031/O1031</f>
        <v>-3.2688020341682398E-3</v>
      </c>
      <c r="R1031">
        <f>I1031-G1031</f>
        <v>5</v>
      </c>
      <c r="S1031">
        <f>Q1031/R1031</f>
        <v>-6.5376040683364791E-4</v>
      </c>
      <c r="T1031">
        <f>S1031*10000</f>
        <v>-6.5376040683364787</v>
      </c>
    </row>
    <row r="1032" spans="1:20" x14ac:dyDescent="0.3">
      <c r="A1032" t="s">
        <v>20</v>
      </c>
      <c r="B1032" t="s">
        <v>21</v>
      </c>
      <c r="C1032">
        <v>1</v>
      </c>
      <c r="D1032">
        <v>24</v>
      </c>
      <c r="E1032" t="s">
        <v>23</v>
      </c>
      <c r="F1032">
        <v>0.43563000000000002</v>
      </c>
      <c r="G1032" s="1">
        <v>45841</v>
      </c>
      <c r="H1032">
        <v>2.7082221999999998</v>
      </c>
      <c r="I1032" s="1">
        <v>45846</v>
      </c>
      <c r="J1032">
        <v>63.617251160000002</v>
      </c>
      <c r="K1032">
        <v>5.31</v>
      </c>
      <c r="L1032">
        <v>1</v>
      </c>
      <c r="N1032">
        <f>L1032*F1032</f>
        <v>0.43563000000000002</v>
      </c>
      <c r="O1032">
        <f>L1032*J1032</f>
        <v>63.617251160000002</v>
      </c>
      <c r="P1032">
        <f>M1032-N1032-H1032</f>
        <v>-3.1438522</v>
      </c>
      <c r="Q1032">
        <f>P1032/O1032</f>
        <v>-4.941823393301107E-2</v>
      </c>
      <c r="R1032">
        <f>I1032-G1032</f>
        <v>5</v>
      </c>
      <c r="S1032">
        <f>Q1032/R1032</f>
        <v>-9.8836467866022133E-3</v>
      </c>
      <c r="T1032">
        <f>S1032*10000</f>
        <v>-98.836467866022133</v>
      </c>
    </row>
    <row r="1033" spans="1:20" x14ac:dyDescent="0.3">
      <c r="A1033" t="s">
        <v>20</v>
      </c>
      <c r="B1033" t="s">
        <v>21</v>
      </c>
      <c r="C1033">
        <v>1</v>
      </c>
      <c r="D1033">
        <v>24</v>
      </c>
      <c r="E1033" t="s">
        <v>24</v>
      </c>
      <c r="F1033">
        <v>0.42342000000000002</v>
      </c>
      <c r="G1033" s="1">
        <v>45841</v>
      </c>
      <c r="H1033">
        <v>2.7082221999999998</v>
      </c>
      <c r="I1033" s="1">
        <v>45846</v>
      </c>
      <c r="J1033">
        <v>63.617251160000002</v>
      </c>
      <c r="K1033">
        <v>5.31</v>
      </c>
      <c r="L1033">
        <v>1</v>
      </c>
      <c r="N1033">
        <f>L1033*F1033</f>
        <v>0.42342000000000002</v>
      </c>
      <c r="O1033">
        <f>L1033*J1033</f>
        <v>63.617251160000002</v>
      </c>
      <c r="P1033">
        <f>M1033-N1033-H1033</f>
        <v>-3.1316421999999999</v>
      </c>
      <c r="Q1033">
        <f>P1033/O1033</f>
        <v>-4.9226304860670436E-2</v>
      </c>
      <c r="R1033">
        <f>I1033-G1033</f>
        <v>5</v>
      </c>
      <c r="S1033">
        <f>Q1033/R1033</f>
        <v>-9.8452609721340865E-3</v>
      </c>
      <c r="T1033">
        <f>S1033*10000</f>
        <v>-98.452609721340863</v>
      </c>
    </row>
    <row r="1034" spans="1:20" x14ac:dyDescent="0.3">
      <c r="A1034" t="s">
        <v>20</v>
      </c>
      <c r="B1034" t="s">
        <v>21</v>
      </c>
      <c r="C1034">
        <v>1</v>
      </c>
      <c r="D1034">
        <v>48</v>
      </c>
      <c r="E1034" t="s">
        <v>22</v>
      </c>
      <c r="F1034">
        <v>0.43645</v>
      </c>
      <c r="G1034" s="1">
        <v>45841</v>
      </c>
      <c r="H1034">
        <v>2.7082221999999998</v>
      </c>
      <c r="I1034" s="1">
        <v>45846</v>
      </c>
      <c r="J1034">
        <v>63.617251160000002</v>
      </c>
      <c r="K1034">
        <v>5.31</v>
      </c>
      <c r="L1034">
        <v>1</v>
      </c>
      <c r="M1034">
        <v>3.0308999999999999</v>
      </c>
      <c r="N1034">
        <f>L1034*F1034</f>
        <v>0.43645</v>
      </c>
      <c r="O1034">
        <f>L1034*J1034</f>
        <v>63.617251160000002</v>
      </c>
      <c r="P1034">
        <f>M1034-N1034-H1034</f>
        <v>-0.11377219999999966</v>
      </c>
      <c r="Q1034">
        <f>P1034/O1034</f>
        <v>-1.7883859790461221E-3</v>
      </c>
      <c r="R1034">
        <f>I1034-G1034</f>
        <v>5</v>
      </c>
      <c r="S1034">
        <f>Q1034/R1034</f>
        <v>-3.5767719580922445E-4</v>
      </c>
      <c r="T1034">
        <f>S1034*10000</f>
        <v>-3.5767719580922446</v>
      </c>
    </row>
    <row r="1035" spans="1:20" x14ac:dyDescent="0.3">
      <c r="A1035" t="s">
        <v>20</v>
      </c>
      <c r="B1035" t="s">
        <v>21</v>
      </c>
      <c r="C1035">
        <v>1</v>
      </c>
      <c r="D1035">
        <v>48</v>
      </c>
      <c r="E1035" t="s">
        <v>23</v>
      </c>
      <c r="F1035">
        <v>0.42204999999999998</v>
      </c>
      <c r="G1035" s="1">
        <v>45841</v>
      </c>
      <c r="H1035">
        <v>2.7082221999999998</v>
      </c>
      <c r="I1035" s="1">
        <v>45846</v>
      </c>
      <c r="J1035">
        <v>63.617251160000002</v>
      </c>
      <c r="K1035">
        <v>5.31</v>
      </c>
      <c r="L1035">
        <v>1</v>
      </c>
      <c r="N1035">
        <f>L1035*F1035</f>
        <v>0.42204999999999998</v>
      </c>
      <c r="O1035">
        <f>L1035*J1035</f>
        <v>63.617251160000002</v>
      </c>
      <c r="P1035">
        <f>M1035-N1035-H1035</f>
        <v>-3.1302721999999998</v>
      </c>
      <c r="Q1035">
        <f>P1035/O1035</f>
        <v>-4.9204769821431557E-2</v>
      </c>
      <c r="R1035">
        <f>I1035-G1035</f>
        <v>5</v>
      </c>
      <c r="S1035">
        <f>Q1035/R1035</f>
        <v>-9.8409539642863118E-3</v>
      </c>
      <c r="T1035">
        <f>S1035*10000</f>
        <v>-98.409539642863123</v>
      </c>
    </row>
    <row r="1036" spans="1:20" x14ac:dyDescent="0.3">
      <c r="A1036" t="s">
        <v>20</v>
      </c>
      <c r="B1036" t="s">
        <v>21</v>
      </c>
      <c r="C1036">
        <v>1</v>
      </c>
      <c r="D1036">
        <v>48</v>
      </c>
      <c r="E1036" t="s">
        <v>24</v>
      </c>
      <c r="F1036">
        <v>0.43395</v>
      </c>
      <c r="G1036" s="1">
        <v>45841</v>
      </c>
      <c r="H1036">
        <v>2.7082221999999998</v>
      </c>
      <c r="I1036" s="1">
        <v>45846</v>
      </c>
      <c r="J1036">
        <v>63.617251160000002</v>
      </c>
      <c r="K1036">
        <v>5.31</v>
      </c>
      <c r="L1036">
        <v>1</v>
      </c>
      <c r="N1036">
        <f>L1036*F1036</f>
        <v>0.43395</v>
      </c>
      <c r="O1036">
        <f>L1036*J1036</f>
        <v>63.617251160000002</v>
      </c>
      <c r="P1036">
        <f>M1036-N1036-H1036</f>
        <v>-3.1421721999999996</v>
      </c>
      <c r="Q1036">
        <f>P1036/O1036</f>
        <v>-4.9391826001681641E-2</v>
      </c>
      <c r="R1036">
        <f>I1036-G1036</f>
        <v>5</v>
      </c>
      <c r="S1036">
        <f>Q1036/R1036</f>
        <v>-9.8783652003363275E-3</v>
      </c>
      <c r="T1036">
        <f>S1036*10000</f>
        <v>-98.783652003363272</v>
      </c>
    </row>
    <row r="1037" spans="1:20" x14ac:dyDescent="0.3">
      <c r="A1037" t="s">
        <v>20</v>
      </c>
      <c r="B1037" t="s">
        <v>21</v>
      </c>
      <c r="C1037">
        <v>1</v>
      </c>
      <c r="D1037" t="s">
        <v>28</v>
      </c>
      <c r="E1037" t="s">
        <v>29</v>
      </c>
      <c r="F1037">
        <v>0.42207</v>
      </c>
      <c r="G1037" s="1">
        <v>45841</v>
      </c>
      <c r="H1037">
        <v>2.7082221999999998</v>
      </c>
      <c r="I1037" s="1">
        <v>45846</v>
      </c>
      <c r="J1037">
        <v>63.617251160000002</v>
      </c>
      <c r="K1037">
        <v>5.31</v>
      </c>
      <c r="L1037">
        <v>1</v>
      </c>
      <c r="M1037">
        <v>2.9563100000000002</v>
      </c>
      <c r="N1037">
        <f>L1037*F1037</f>
        <v>0.42207</v>
      </c>
      <c r="O1037">
        <f>L1037*J1037</f>
        <v>63.617251160000002</v>
      </c>
      <c r="P1037">
        <f>M1037-N1037-H1037</f>
        <v>-0.17398219999999975</v>
      </c>
      <c r="Q1037">
        <f>P1037/O1037</f>
        <v>-2.734827375084588E-3</v>
      </c>
      <c r="R1037">
        <f>I1037-G1037</f>
        <v>5</v>
      </c>
      <c r="S1037">
        <f>Q1037/R1037</f>
        <v>-5.4696547501691757E-4</v>
      </c>
      <c r="T1037">
        <f>S1037*10000</f>
        <v>-5.4696547501691759</v>
      </c>
    </row>
    <row r="1038" spans="1:20" x14ac:dyDescent="0.3">
      <c r="A1038" t="s">
        <v>20</v>
      </c>
      <c r="B1038" t="s">
        <v>21</v>
      </c>
      <c r="C1038">
        <v>1</v>
      </c>
      <c r="D1038" t="s">
        <v>30</v>
      </c>
      <c r="E1038" t="s">
        <v>31</v>
      </c>
      <c r="F1038">
        <v>0.43448999999999999</v>
      </c>
      <c r="G1038" s="1">
        <v>45841</v>
      </c>
      <c r="H1038">
        <v>2.7082221999999998</v>
      </c>
      <c r="I1038" s="1">
        <v>45846</v>
      </c>
      <c r="J1038">
        <v>63.617251160000002</v>
      </c>
      <c r="K1038">
        <v>5.31</v>
      </c>
      <c r="L1038">
        <v>1</v>
      </c>
      <c r="N1038">
        <f>L1038*F1038</f>
        <v>0.43448999999999999</v>
      </c>
      <c r="O1038">
        <f>L1038*J1038</f>
        <v>63.617251160000002</v>
      </c>
      <c r="P1038">
        <f>M1038-N1038-H1038</f>
        <v>-3.1427121999999996</v>
      </c>
      <c r="Q1038">
        <f>P1038/O1038</f>
        <v>-4.9400314265323243E-2</v>
      </c>
      <c r="R1038">
        <f>I1038-G1038</f>
        <v>5</v>
      </c>
      <c r="S1038">
        <f>Q1038/R1038</f>
        <v>-9.8800628530646487E-3</v>
      </c>
      <c r="T1038">
        <f>S1038*10000</f>
        <v>-98.800628530646492</v>
      </c>
    </row>
    <row r="1039" spans="1:20" x14ac:dyDescent="0.3">
      <c r="A1039" t="s">
        <v>20</v>
      </c>
      <c r="B1039" t="s">
        <v>21</v>
      </c>
      <c r="C1039">
        <v>1</v>
      </c>
      <c r="D1039" t="s">
        <v>32</v>
      </c>
      <c r="E1039" t="s">
        <v>33</v>
      </c>
      <c r="F1039">
        <v>0.43475000000000003</v>
      </c>
      <c r="G1039" s="1">
        <v>45841</v>
      </c>
      <c r="H1039">
        <v>2.7082221999999998</v>
      </c>
      <c r="I1039" s="1">
        <v>45846</v>
      </c>
      <c r="J1039">
        <v>63.617251160000002</v>
      </c>
      <c r="K1039">
        <v>5.31</v>
      </c>
      <c r="L1039">
        <v>1</v>
      </c>
      <c r="N1039">
        <f>L1039*F1039</f>
        <v>0.43475000000000003</v>
      </c>
      <c r="O1039">
        <f>L1039*J1039</f>
        <v>63.617251160000002</v>
      </c>
      <c r="P1039">
        <f>M1039-N1039-H1039</f>
        <v>-3.1429722</v>
      </c>
      <c r="Q1039">
        <f>P1039/O1039</f>
        <v>-4.9404401207076613E-2</v>
      </c>
      <c r="R1039">
        <f>I1039-G1039</f>
        <v>5</v>
      </c>
      <c r="S1039">
        <f>Q1039/R1039</f>
        <v>-9.8808802414153234E-3</v>
      </c>
      <c r="T1039">
        <f>S1039*10000</f>
        <v>-98.808802414153234</v>
      </c>
    </row>
    <row r="1040" spans="1:20" x14ac:dyDescent="0.3">
      <c r="A1040" t="s">
        <v>20</v>
      </c>
      <c r="B1040" t="s">
        <v>21</v>
      </c>
      <c r="C1040">
        <v>2</v>
      </c>
      <c r="D1040">
        <v>0.5</v>
      </c>
      <c r="E1040" t="s">
        <v>22</v>
      </c>
      <c r="F1040">
        <v>0.42314000000000002</v>
      </c>
      <c r="G1040" t="s">
        <v>26</v>
      </c>
      <c r="H1040" t="s">
        <v>27</v>
      </c>
      <c r="I1040" t="s">
        <v>27</v>
      </c>
      <c r="J1040">
        <v>63.617251160000002</v>
      </c>
      <c r="K1040">
        <v>5.31</v>
      </c>
      <c r="L1040" t="s">
        <v>27</v>
      </c>
      <c r="N1040" t="e">
        <f>L1040*F1040</f>
        <v>#VALUE!</v>
      </c>
      <c r="O1040" t="e">
        <f>L1040*J1040</f>
        <v>#VALUE!</v>
      </c>
      <c r="P1040" t="e">
        <f>M1040-N1040-H1040</f>
        <v>#VALUE!</v>
      </c>
      <c r="Q1040" t="e">
        <f>P1040/O1040</f>
        <v>#VALUE!</v>
      </c>
      <c r="R1040" t="e">
        <f>I1040-G1040</f>
        <v>#VALUE!</v>
      </c>
      <c r="S1040" t="e">
        <f>Q1040/R1040</f>
        <v>#VALUE!</v>
      </c>
      <c r="T1040" t="e">
        <f>S1040*10000</f>
        <v>#VALUE!</v>
      </c>
    </row>
    <row r="1041" spans="1:20" x14ac:dyDescent="0.3">
      <c r="A1041" t="s">
        <v>20</v>
      </c>
      <c r="B1041" t="s">
        <v>21</v>
      </c>
      <c r="C1041">
        <v>2</v>
      </c>
      <c r="D1041">
        <v>0.5</v>
      </c>
      <c r="E1041" t="s">
        <v>23</v>
      </c>
      <c r="F1041">
        <v>0.43435000000000001</v>
      </c>
      <c r="G1041" t="s">
        <v>26</v>
      </c>
      <c r="H1041" t="s">
        <v>27</v>
      </c>
      <c r="I1041" t="s">
        <v>27</v>
      </c>
      <c r="J1041">
        <v>63.617251160000002</v>
      </c>
      <c r="K1041">
        <v>5.31</v>
      </c>
      <c r="L1041" t="s">
        <v>27</v>
      </c>
      <c r="N1041" t="e">
        <f>L1041*F1041</f>
        <v>#VALUE!</v>
      </c>
      <c r="O1041" t="e">
        <f>L1041*J1041</f>
        <v>#VALUE!</v>
      </c>
      <c r="P1041" t="e">
        <f>M1041-N1041-H1041</f>
        <v>#VALUE!</v>
      </c>
      <c r="Q1041" t="e">
        <f>P1041/O1041</f>
        <v>#VALUE!</v>
      </c>
      <c r="R1041" t="e">
        <f>I1041-G1041</f>
        <v>#VALUE!</v>
      </c>
      <c r="S1041" t="e">
        <f>Q1041/R1041</f>
        <v>#VALUE!</v>
      </c>
      <c r="T1041" t="e">
        <f>S1041*10000</f>
        <v>#VALUE!</v>
      </c>
    </row>
    <row r="1042" spans="1:20" x14ac:dyDescent="0.3">
      <c r="A1042" t="s">
        <v>20</v>
      </c>
      <c r="B1042" t="s">
        <v>21</v>
      </c>
      <c r="C1042">
        <v>2</v>
      </c>
      <c r="D1042">
        <v>0.5</v>
      </c>
      <c r="E1042" t="s">
        <v>24</v>
      </c>
      <c r="F1042">
        <v>0.42416999999999999</v>
      </c>
      <c r="G1042" t="s">
        <v>26</v>
      </c>
      <c r="H1042" t="s">
        <v>27</v>
      </c>
      <c r="I1042" t="s">
        <v>27</v>
      </c>
      <c r="J1042">
        <v>63.617251160000002</v>
      </c>
      <c r="K1042">
        <v>5.31</v>
      </c>
      <c r="L1042" t="s">
        <v>27</v>
      </c>
      <c r="N1042" t="e">
        <f>L1042*F1042</f>
        <v>#VALUE!</v>
      </c>
      <c r="O1042" t="e">
        <f>L1042*J1042</f>
        <v>#VALUE!</v>
      </c>
      <c r="P1042" t="e">
        <f>M1042-N1042-H1042</f>
        <v>#VALUE!</v>
      </c>
      <c r="Q1042" t="e">
        <f>P1042/O1042</f>
        <v>#VALUE!</v>
      </c>
      <c r="R1042" t="e">
        <f>I1042-G1042</f>
        <v>#VALUE!</v>
      </c>
      <c r="S1042" t="e">
        <f>Q1042/R1042</f>
        <v>#VALUE!</v>
      </c>
      <c r="T1042" t="e">
        <f>S1042*10000</f>
        <v>#VALUE!</v>
      </c>
    </row>
    <row r="1043" spans="1:20" x14ac:dyDescent="0.3">
      <c r="A1043" t="s">
        <v>20</v>
      </c>
      <c r="B1043" t="s">
        <v>21</v>
      </c>
      <c r="C1043">
        <v>2</v>
      </c>
      <c r="D1043">
        <v>2</v>
      </c>
      <c r="E1043" t="s">
        <v>22</v>
      </c>
      <c r="F1043">
        <v>0.43547999999999998</v>
      </c>
      <c r="G1043" t="s">
        <v>26</v>
      </c>
      <c r="H1043" t="s">
        <v>27</v>
      </c>
      <c r="I1043" t="s">
        <v>27</v>
      </c>
      <c r="J1043">
        <v>63.617251160000002</v>
      </c>
      <c r="K1043">
        <v>5.31</v>
      </c>
      <c r="L1043" t="s">
        <v>27</v>
      </c>
      <c r="N1043" t="e">
        <f>L1043*F1043</f>
        <v>#VALUE!</v>
      </c>
      <c r="O1043" t="e">
        <f>L1043*J1043</f>
        <v>#VALUE!</v>
      </c>
      <c r="P1043" t="e">
        <f>M1043-N1043-H1043</f>
        <v>#VALUE!</v>
      </c>
      <c r="Q1043" t="e">
        <f>P1043/O1043</f>
        <v>#VALUE!</v>
      </c>
      <c r="R1043" t="e">
        <f>I1043-G1043</f>
        <v>#VALUE!</v>
      </c>
      <c r="S1043" t="e">
        <f>Q1043/R1043</f>
        <v>#VALUE!</v>
      </c>
      <c r="T1043" t="e">
        <f>S1043*10000</f>
        <v>#VALUE!</v>
      </c>
    </row>
    <row r="1044" spans="1:20" x14ac:dyDescent="0.3">
      <c r="A1044" t="s">
        <v>20</v>
      </c>
      <c r="B1044" t="s">
        <v>21</v>
      </c>
      <c r="C1044">
        <v>2</v>
      </c>
      <c r="D1044">
        <v>2</v>
      </c>
      <c r="E1044" t="s">
        <v>23</v>
      </c>
      <c r="F1044">
        <v>0.43514000000000003</v>
      </c>
      <c r="G1044" t="s">
        <v>26</v>
      </c>
      <c r="H1044" t="s">
        <v>27</v>
      </c>
      <c r="I1044" t="s">
        <v>27</v>
      </c>
      <c r="J1044">
        <v>63.617251160000002</v>
      </c>
      <c r="K1044">
        <v>5.31</v>
      </c>
      <c r="L1044" t="s">
        <v>27</v>
      </c>
      <c r="N1044" t="e">
        <f>L1044*F1044</f>
        <v>#VALUE!</v>
      </c>
      <c r="O1044" t="e">
        <f>L1044*J1044</f>
        <v>#VALUE!</v>
      </c>
      <c r="P1044" t="e">
        <f>M1044-N1044-H1044</f>
        <v>#VALUE!</v>
      </c>
      <c r="Q1044" t="e">
        <f>P1044/O1044</f>
        <v>#VALUE!</v>
      </c>
      <c r="R1044" t="e">
        <f>I1044-G1044</f>
        <v>#VALUE!</v>
      </c>
      <c r="S1044" t="e">
        <f>Q1044/R1044</f>
        <v>#VALUE!</v>
      </c>
      <c r="T1044" t="e">
        <f>S1044*10000</f>
        <v>#VALUE!</v>
      </c>
    </row>
    <row r="1045" spans="1:20" x14ac:dyDescent="0.3">
      <c r="A1045" t="s">
        <v>20</v>
      </c>
      <c r="B1045" t="s">
        <v>21</v>
      </c>
      <c r="C1045">
        <v>2</v>
      </c>
      <c r="D1045">
        <v>2</v>
      </c>
      <c r="E1045" t="s">
        <v>24</v>
      </c>
      <c r="F1045">
        <v>0.43568000000000001</v>
      </c>
      <c r="G1045" t="s">
        <v>26</v>
      </c>
      <c r="H1045" t="s">
        <v>27</v>
      </c>
      <c r="I1045" t="s">
        <v>27</v>
      </c>
      <c r="J1045">
        <v>63.617251160000002</v>
      </c>
      <c r="K1045">
        <v>5.31</v>
      </c>
      <c r="L1045" t="s">
        <v>27</v>
      </c>
      <c r="N1045" t="e">
        <f>L1045*F1045</f>
        <v>#VALUE!</v>
      </c>
      <c r="O1045" t="e">
        <f>L1045*J1045</f>
        <v>#VALUE!</v>
      </c>
      <c r="P1045" t="e">
        <f>M1045-N1045-H1045</f>
        <v>#VALUE!</v>
      </c>
      <c r="Q1045" t="e">
        <f>P1045/O1045</f>
        <v>#VALUE!</v>
      </c>
      <c r="R1045" t="e">
        <f>I1045-G1045</f>
        <v>#VALUE!</v>
      </c>
      <c r="S1045" t="e">
        <f>Q1045/R1045</f>
        <v>#VALUE!</v>
      </c>
      <c r="T1045" t="e">
        <f>S1045*10000</f>
        <v>#VALUE!</v>
      </c>
    </row>
    <row r="1046" spans="1:20" x14ac:dyDescent="0.3">
      <c r="A1046" t="s">
        <v>20</v>
      </c>
      <c r="B1046" t="s">
        <v>21</v>
      </c>
      <c r="C1046">
        <v>2</v>
      </c>
      <c r="D1046">
        <v>6</v>
      </c>
      <c r="E1046" t="s">
        <v>22</v>
      </c>
      <c r="F1046">
        <v>0.42259000000000002</v>
      </c>
      <c r="G1046" t="s">
        <v>26</v>
      </c>
      <c r="H1046" t="s">
        <v>27</v>
      </c>
      <c r="I1046" t="s">
        <v>27</v>
      </c>
      <c r="J1046">
        <v>63.617251160000002</v>
      </c>
      <c r="K1046">
        <v>5.31</v>
      </c>
      <c r="L1046" t="s">
        <v>27</v>
      </c>
      <c r="N1046" t="e">
        <f>L1046*F1046</f>
        <v>#VALUE!</v>
      </c>
      <c r="O1046" t="e">
        <f>L1046*J1046</f>
        <v>#VALUE!</v>
      </c>
      <c r="P1046" t="e">
        <f>M1046-N1046-H1046</f>
        <v>#VALUE!</v>
      </c>
      <c r="Q1046" t="e">
        <f>P1046/O1046</f>
        <v>#VALUE!</v>
      </c>
      <c r="R1046" t="e">
        <f>I1046-G1046</f>
        <v>#VALUE!</v>
      </c>
      <c r="S1046" t="e">
        <f>Q1046/R1046</f>
        <v>#VALUE!</v>
      </c>
      <c r="T1046" t="e">
        <f>S1046*10000</f>
        <v>#VALUE!</v>
      </c>
    </row>
    <row r="1047" spans="1:20" x14ac:dyDescent="0.3">
      <c r="A1047" t="s">
        <v>20</v>
      </c>
      <c r="B1047" t="s">
        <v>21</v>
      </c>
      <c r="C1047">
        <v>2</v>
      </c>
      <c r="D1047">
        <v>6</v>
      </c>
      <c r="E1047" t="s">
        <v>23</v>
      </c>
      <c r="F1047">
        <v>0.43375999999999998</v>
      </c>
      <c r="G1047" t="s">
        <v>26</v>
      </c>
      <c r="H1047" t="s">
        <v>27</v>
      </c>
      <c r="I1047" t="s">
        <v>27</v>
      </c>
      <c r="J1047">
        <v>63.617251160000002</v>
      </c>
      <c r="K1047">
        <v>5.31</v>
      </c>
      <c r="L1047" t="s">
        <v>27</v>
      </c>
      <c r="N1047" t="e">
        <f>L1047*F1047</f>
        <v>#VALUE!</v>
      </c>
      <c r="O1047" t="e">
        <f>L1047*J1047</f>
        <v>#VALUE!</v>
      </c>
      <c r="P1047" t="e">
        <f>M1047-N1047-H1047</f>
        <v>#VALUE!</v>
      </c>
      <c r="Q1047" t="e">
        <f>P1047/O1047</f>
        <v>#VALUE!</v>
      </c>
      <c r="R1047" t="e">
        <f>I1047-G1047</f>
        <v>#VALUE!</v>
      </c>
      <c r="S1047" t="e">
        <f>Q1047/R1047</f>
        <v>#VALUE!</v>
      </c>
      <c r="T1047" t="e">
        <f>S1047*10000</f>
        <v>#VALUE!</v>
      </c>
    </row>
    <row r="1048" spans="1:20" x14ac:dyDescent="0.3">
      <c r="A1048" t="s">
        <v>20</v>
      </c>
      <c r="B1048" t="s">
        <v>21</v>
      </c>
      <c r="C1048">
        <v>2</v>
      </c>
      <c r="D1048">
        <v>6</v>
      </c>
      <c r="E1048" t="s">
        <v>24</v>
      </c>
      <c r="F1048">
        <v>0.42444999999999999</v>
      </c>
      <c r="G1048" t="s">
        <v>26</v>
      </c>
      <c r="H1048" t="s">
        <v>27</v>
      </c>
      <c r="I1048" t="s">
        <v>27</v>
      </c>
      <c r="J1048">
        <v>63.617251160000002</v>
      </c>
      <c r="K1048">
        <v>5.31</v>
      </c>
      <c r="L1048" t="s">
        <v>27</v>
      </c>
      <c r="N1048" t="e">
        <f>L1048*F1048</f>
        <v>#VALUE!</v>
      </c>
      <c r="O1048" t="e">
        <f>L1048*J1048</f>
        <v>#VALUE!</v>
      </c>
      <c r="P1048" t="e">
        <f>M1048-N1048-H1048</f>
        <v>#VALUE!</v>
      </c>
      <c r="Q1048" t="e">
        <f>P1048/O1048</f>
        <v>#VALUE!</v>
      </c>
      <c r="R1048" t="e">
        <f>I1048-G1048</f>
        <v>#VALUE!</v>
      </c>
      <c r="S1048" t="e">
        <f>Q1048/R1048</f>
        <v>#VALUE!</v>
      </c>
      <c r="T1048" t="e">
        <f>S1048*10000</f>
        <v>#VALUE!</v>
      </c>
    </row>
    <row r="1049" spans="1:20" x14ac:dyDescent="0.3">
      <c r="A1049" t="s">
        <v>20</v>
      </c>
      <c r="B1049" t="s">
        <v>21</v>
      </c>
      <c r="C1049">
        <v>2</v>
      </c>
      <c r="D1049">
        <v>12</v>
      </c>
      <c r="E1049" t="s">
        <v>22</v>
      </c>
      <c r="F1049">
        <v>0.43320999999999998</v>
      </c>
      <c r="G1049" t="s">
        <v>26</v>
      </c>
      <c r="H1049" t="s">
        <v>27</v>
      </c>
      <c r="I1049" t="s">
        <v>27</v>
      </c>
      <c r="J1049">
        <v>63.617251160000002</v>
      </c>
      <c r="K1049">
        <v>5.31</v>
      </c>
      <c r="L1049" t="s">
        <v>27</v>
      </c>
      <c r="N1049" t="e">
        <f>L1049*F1049</f>
        <v>#VALUE!</v>
      </c>
      <c r="O1049" t="e">
        <f>L1049*J1049</f>
        <v>#VALUE!</v>
      </c>
      <c r="P1049" t="e">
        <f>M1049-N1049-H1049</f>
        <v>#VALUE!</v>
      </c>
      <c r="Q1049" t="e">
        <f>P1049/O1049</f>
        <v>#VALUE!</v>
      </c>
      <c r="R1049" t="e">
        <f>I1049-G1049</f>
        <v>#VALUE!</v>
      </c>
      <c r="S1049" t="e">
        <f>Q1049/R1049</f>
        <v>#VALUE!</v>
      </c>
      <c r="T1049" t="e">
        <f>S1049*10000</f>
        <v>#VALUE!</v>
      </c>
    </row>
    <row r="1050" spans="1:20" x14ac:dyDescent="0.3">
      <c r="A1050" t="s">
        <v>20</v>
      </c>
      <c r="B1050" t="s">
        <v>21</v>
      </c>
      <c r="C1050">
        <v>2</v>
      </c>
      <c r="D1050">
        <v>12</v>
      </c>
      <c r="E1050" t="s">
        <v>23</v>
      </c>
      <c r="F1050">
        <v>0.43595</v>
      </c>
      <c r="G1050" t="s">
        <v>26</v>
      </c>
      <c r="H1050" t="s">
        <v>27</v>
      </c>
      <c r="I1050" t="s">
        <v>27</v>
      </c>
      <c r="J1050">
        <v>63.617251160000002</v>
      </c>
      <c r="K1050">
        <v>5.31</v>
      </c>
      <c r="L1050" t="s">
        <v>27</v>
      </c>
      <c r="N1050" t="e">
        <f>L1050*F1050</f>
        <v>#VALUE!</v>
      </c>
      <c r="O1050" t="e">
        <f>L1050*J1050</f>
        <v>#VALUE!</v>
      </c>
      <c r="P1050" t="e">
        <f>M1050-N1050-H1050</f>
        <v>#VALUE!</v>
      </c>
      <c r="Q1050" t="e">
        <f>P1050/O1050</f>
        <v>#VALUE!</v>
      </c>
      <c r="R1050" t="e">
        <f>I1050-G1050</f>
        <v>#VALUE!</v>
      </c>
      <c r="S1050" t="e">
        <f>Q1050/R1050</f>
        <v>#VALUE!</v>
      </c>
      <c r="T1050" t="e">
        <f>S1050*10000</f>
        <v>#VALUE!</v>
      </c>
    </row>
    <row r="1051" spans="1:20" x14ac:dyDescent="0.3">
      <c r="A1051" t="s">
        <v>20</v>
      </c>
      <c r="B1051" t="s">
        <v>21</v>
      </c>
      <c r="C1051">
        <v>2</v>
      </c>
      <c r="D1051">
        <v>12</v>
      </c>
      <c r="E1051" t="s">
        <v>24</v>
      </c>
      <c r="F1051">
        <v>0.42329</v>
      </c>
      <c r="G1051" t="s">
        <v>26</v>
      </c>
      <c r="H1051" t="s">
        <v>27</v>
      </c>
      <c r="I1051" t="s">
        <v>27</v>
      </c>
      <c r="J1051">
        <v>63.617251160000002</v>
      </c>
      <c r="K1051">
        <v>5.31</v>
      </c>
      <c r="L1051" t="s">
        <v>27</v>
      </c>
      <c r="N1051" t="e">
        <f>L1051*F1051</f>
        <v>#VALUE!</v>
      </c>
      <c r="O1051" t="e">
        <f>L1051*J1051</f>
        <v>#VALUE!</v>
      </c>
      <c r="P1051" t="e">
        <f>M1051-N1051-H1051</f>
        <v>#VALUE!</v>
      </c>
      <c r="Q1051" t="e">
        <f>P1051/O1051</f>
        <v>#VALUE!</v>
      </c>
      <c r="R1051" t="e">
        <f>I1051-G1051</f>
        <v>#VALUE!</v>
      </c>
      <c r="S1051" t="e">
        <f>Q1051/R1051</f>
        <v>#VALUE!</v>
      </c>
      <c r="T1051" t="e">
        <f>S1051*10000</f>
        <v>#VALUE!</v>
      </c>
    </row>
    <row r="1052" spans="1:20" x14ac:dyDescent="0.3">
      <c r="A1052" t="s">
        <v>20</v>
      </c>
      <c r="B1052" t="s">
        <v>21</v>
      </c>
      <c r="C1052">
        <v>2</v>
      </c>
      <c r="D1052">
        <v>24</v>
      </c>
      <c r="E1052" t="s">
        <v>22</v>
      </c>
      <c r="F1052">
        <v>0.43370999999999998</v>
      </c>
      <c r="G1052" t="s">
        <v>26</v>
      </c>
      <c r="H1052" t="s">
        <v>27</v>
      </c>
      <c r="I1052" t="s">
        <v>27</v>
      </c>
      <c r="J1052">
        <v>63.617251160000002</v>
      </c>
      <c r="K1052">
        <v>5.31</v>
      </c>
      <c r="L1052" t="s">
        <v>27</v>
      </c>
      <c r="N1052" t="e">
        <f>L1052*F1052</f>
        <v>#VALUE!</v>
      </c>
      <c r="O1052" t="e">
        <f>L1052*J1052</f>
        <v>#VALUE!</v>
      </c>
      <c r="P1052" t="e">
        <f>M1052-N1052-H1052</f>
        <v>#VALUE!</v>
      </c>
      <c r="Q1052" t="e">
        <f>P1052/O1052</f>
        <v>#VALUE!</v>
      </c>
      <c r="R1052" t="e">
        <f>I1052-G1052</f>
        <v>#VALUE!</v>
      </c>
      <c r="S1052" t="e">
        <f>Q1052/R1052</f>
        <v>#VALUE!</v>
      </c>
      <c r="T1052" t="e">
        <f>S1052*10000</f>
        <v>#VALUE!</v>
      </c>
    </row>
    <row r="1053" spans="1:20" x14ac:dyDescent="0.3">
      <c r="A1053" t="s">
        <v>20</v>
      </c>
      <c r="B1053" t="s">
        <v>21</v>
      </c>
      <c r="C1053">
        <v>2</v>
      </c>
      <c r="D1053">
        <v>24</v>
      </c>
      <c r="E1053" t="s">
        <v>23</v>
      </c>
      <c r="F1053">
        <v>0.42358000000000001</v>
      </c>
      <c r="G1053" t="s">
        <v>26</v>
      </c>
      <c r="H1053" t="s">
        <v>27</v>
      </c>
      <c r="I1053" t="s">
        <v>27</v>
      </c>
      <c r="J1053">
        <v>63.617251160000002</v>
      </c>
      <c r="K1053">
        <v>5.31</v>
      </c>
      <c r="L1053" t="s">
        <v>27</v>
      </c>
      <c r="N1053" t="e">
        <f>L1053*F1053</f>
        <v>#VALUE!</v>
      </c>
      <c r="O1053" t="e">
        <f>L1053*J1053</f>
        <v>#VALUE!</v>
      </c>
      <c r="P1053" t="e">
        <f>M1053-N1053-H1053</f>
        <v>#VALUE!</v>
      </c>
      <c r="Q1053" t="e">
        <f>P1053/O1053</f>
        <v>#VALUE!</v>
      </c>
      <c r="R1053" t="e">
        <f>I1053-G1053</f>
        <v>#VALUE!</v>
      </c>
      <c r="S1053" t="e">
        <f>Q1053/R1053</f>
        <v>#VALUE!</v>
      </c>
      <c r="T1053" t="e">
        <f>S1053*10000</f>
        <v>#VALUE!</v>
      </c>
    </row>
    <row r="1054" spans="1:20" x14ac:dyDescent="0.3">
      <c r="A1054" t="s">
        <v>20</v>
      </c>
      <c r="B1054" t="s">
        <v>21</v>
      </c>
      <c r="C1054">
        <v>2</v>
      </c>
      <c r="D1054">
        <v>24</v>
      </c>
      <c r="E1054" t="s">
        <v>24</v>
      </c>
      <c r="F1054">
        <v>0.43640000000000001</v>
      </c>
      <c r="G1054" t="s">
        <v>26</v>
      </c>
      <c r="H1054" t="s">
        <v>27</v>
      </c>
      <c r="I1054" t="s">
        <v>27</v>
      </c>
      <c r="J1054">
        <v>63.617251160000002</v>
      </c>
      <c r="K1054">
        <v>5.31</v>
      </c>
      <c r="L1054" t="s">
        <v>27</v>
      </c>
      <c r="N1054" t="e">
        <f>L1054*F1054</f>
        <v>#VALUE!</v>
      </c>
      <c r="O1054" t="e">
        <f>L1054*J1054</f>
        <v>#VALUE!</v>
      </c>
      <c r="P1054" t="e">
        <f>M1054-N1054-H1054</f>
        <v>#VALUE!</v>
      </c>
      <c r="Q1054" t="e">
        <f>P1054/O1054</f>
        <v>#VALUE!</v>
      </c>
      <c r="R1054" t="e">
        <f>I1054-G1054</f>
        <v>#VALUE!</v>
      </c>
      <c r="S1054" t="e">
        <f>Q1054/R1054</f>
        <v>#VALUE!</v>
      </c>
      <c r="T1054" t="e">
        <f>S1054*10000</f>
        <v>#VALUE!</v>
      </c>
    </row>
    <row r="1055" spans="1:20" x14ac:dyDescent="0.3">
      <c r="A1055" t="s">
        <v>20</v>
      </c>
      <c r="B1055" t="s">
        <v>21</v>
      </c>
      <c r="C1055">
        <v>2</v>
      </c>
      <c r="D1055">
        <v>48</v>
      </c>
      <c r="E1055" t="s">
        <v>22</v>
      </c>
      <c r="F1055">
        <v>0.43656</v>
      </c>
      <c r="G1055" t="s">
        <v>26</v>
      </c>
      <c r="H1055" t="s">
        <v>27</v>
      </c>
      <c r="I1055" t="s">
        <v>27</v>
      </c>
      <c r="J1055">
        <v>63.617251160000002</v>
      </c>
      <c r="K1055">
        <v>5.31</v>
      </c>
      <c r="L1055" t="s">
        <v>27</v>
      </c>
      <c r="N1055" t="e">
        <f>L1055*F1055</f>
        <v>#VALUE!</v>
      </c>
      <c r="O1055" t="e">
        <f>L1055*J1055</f>
        <v>#VALUE!</v>
      </c>
      <c r="P1055" t="e">
        <f>M1055-N1055-H1055</f>
        <v>#VALUE!</v>
      </c>
      <c r="Q1055" t="e">
        <f>P1055/O1055</f>
        <v>#VALUE!</v>
      </c>
      <c r="R1055" t="e">
        <f>I1055-G1055</f>
        <v>#VALUE!</v>
      </c>
      <c r="S1055" t="e">
        <f>Q1055/R1055</f>
        <v>#VALUE!</v>
      </c>
      <c r="T1055" t="e">
        <f>S1055*10000</f>
        <v>#VALUE!</v>
      </c>
    </row>
    <row r="1056" spans="1:20" x14ac:dyDescent="0.3">
      <c r="A1056" t="s">
        <v>20</v>
      </c>
      <c r="B1056" t="s">
        <v>21</v>
      </c>
      <c r="C1056">
        <v>2</v>
      </c>
      <c r="D1056">
        <v>48</v>
      </c>
      <c r="E1056" t="s">
        <v>23</v>
      </c>
      <c r="F1056">
        <v>0.42331000000000002</v>
      </c>
      <c r="G1056" t="s">
        <v>26</v>
      </c>
      <c r="H1056" t="s">
        <v>27</v>
      </c>
      <c r="I1056" t="s">
        <v>27</v>
      </c>
      <c r="J1056">
        <v>63.617251160000002</v>
      </c>
      <c r="K1056">
        <v>5.31</v>
      </c>
      <c r="L1056" t="s">
        <v>27</v>
      </c>
      <c r="N1056" t="e">
        <f>L1056*F1056</f>
        <v>#VALUE!</v>
      </c>
      <c r="O1056" t="e">
        <f>L1056*J1056</f>
        <v>#VALUE!</v>
      </c>
      <c r="P1056" t="e">
        <f>M1056-N1056-H1056</f>
        <v>#VALUE!</v>
      </c>
      <c r="Q1056" t="e">
        <f>P1056/O1056</f>
        <v>#VALUE!</v>
      </c>
      <c r="R1056" t="e">
        <f>I1056-G1056</f>
        <v>#VALUE!</v>
      </c>
      <c r="S1056" t="e">
        <f>Q1056/R1056</f>
        <v>#VALUE!</v>
      </c>
      <c r="T1056" t="e">
        <f>S1056*10000</f>
        <v>#VALUE!</v>
      </c>
    </row>
    <row r="1057" spans="1:20" x14ac:dyDescent="0.3">
      <c r="A1057" t="s">
        <v>20</v>
      </c>
      <c r="B1057" t="s">
        <v>21</v>
      </c>
      <c r="C1057">
        <v>2</v>
      </c>
      <c r="D1057">
        <v>48</v>
      </c>
      <c r="E1057" t="s">
        <v>24</v>
      </c>
      <c r="F1057">
        <v>0.43359999999999999</v>
      </c>
      <c r="G1057" t="s">
        <v>26</v>
      </c>
      <c r="H1057" t="s">
        <v>27</v>
      </c>
      <c r="I1057" t="s">
        <v>27</v>
      </c>
      <c r="J1057">
        <v>63.617251160000002</v>
      </c>
      <c r="K1057">
        <v>5.31</v>
      </c>
      <c r="L1057" t="s">
        <v>27</v>
      </c>
      <c r="N1057" t="e">
        <f>L1057*F1057</f>
        <v>#VALUE!</v>
      </c>
      <c r="O1057" t="e">
        <f>L1057*J1057</f>
        <v>#VALUE!</v>
      </c>
      <c r="P1057" t="e">
        <f>M1057-N1057-H1057</f>
        <v>#VALUE!</v>
      </c>
      <c r="Q1057" t="e">
        <f>P1057/O1057</f>
        <v>#VALUE!</v>
      </c>
      <c r="R1057" t="e">
        <f>I1057-G1057</f>
        <v>#VALUE!</v>
      </c>
      <c r="S1057" t="e">
        <f>Q1057/R1057</f>
        <v>#VALUE!</v>
      </c>
      <c r="T1057" t="e">
        <f>S1057*10000</f>
        <v>#VALUE!</v>
      </c>
    </row>
    <row r="1058" spans="1:20" x14ac:dyDescent="0.3">
      <c r="A1058" t="s">
        <v>20</v>
      </c>
      <c r="B1058" t="s">
        <v>21</v>
      </c>
      <c r="E1058" t="s">
        <v>34</v>
      </c>
      <c r="F1058">
        <v>0.42280000000000001</v>
      </c>
      <c r="G1058" t="s">
        <v>27</v>
      </c>
      <c r="H1058" t="s">
        <v>27</v>
      </c>
      <c r="I1058" t="s">
        <v>27</v>
      </c>
      <c r="J1058">
        <v>63.617251160000002</v>
      </c>
      <c r="K1058">
        <v>5.31</v>
      </c>
      <c r="L1058" t="s">
        <v>27</v>
      </c>
      <c r="N1058" t="e">
        <f>L1058*F1058</f>
        <v>#VALUE!</v>
      </c>
      <c r="O1058" t="e">
        <f>L1058*J1058</f>
        <v>#VALUE!</v>
      </c>
      <c r="P1058" t="e">
        <f>M1058-N1058-H1058</f>
        <v>#VALUE!</v>
      </c>
      <c r="Q1058" t="e">
        <f>P1058/O1058</f>
        <v>#VALUE!</v>
      </c>
      <c r="R1058" t="e">
        <f>I1058-G1058</f>
        <v>#VALUE!</v>
      </c>
      <c r="S1058" t="e">
        <f>Q1058/R1058</f>
        <v>#VALUE!</v>
      </c>
      <c r="T1058" t="e">
        <f>S1058*10000</f>
        <v>#VALUE!</v>
      </c>
    </row>
  </sheetData>
  <sortState xmlns:xlrd2="http://schemas.microsoft.com/office/spreadsheetml/2017/richdata2" ref="A2:T1061">
    <sortCondition ref="A2:A1061"/>
    <sortCondition ref="B2:B1061"/>
    <sortCondition ref="C2:C1061"/>
    <sortCondition ref="D2:D1061"/>
    <sortCondition ref="E2:E10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master with calc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2026-03-12T20:31:16Z</dcterms:created>
  <dcterms:modified xsi:type="dcterms:W3CDTF">2026-03-12T21:23:17Z</dcterms:modified>
</cp:coreProperties>
</file>