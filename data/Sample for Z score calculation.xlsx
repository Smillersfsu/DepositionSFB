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0" documentId="8_{B97629F6-9656-45ED-B918-330CB269091F}" xr6:coauthVersionLast="47" xr6:coauthVersionMax="47" xr10:uidLastSave="{00000000-0000-0000-0000-000000000000}"/>
  <bookViews>
    <workbookView xWindow="-108" yWindow="-108" windowWidth="23256" windowHeight="13176" xr2:uid="{71569DC9-8789-471D-81AC-C4CDD4E05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1" l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<sst xmlns="http://schemas.openxmlformats.org/spreadsheetml/2006/main" count="384" uniqueCount="176">
  <si>
    <t>Location</t>
  </si>
  <si>
    <t>Transect_ID</t>
  </si>
  <si>
    <t>Point_ID</t>
  </si>
  <si>
    <t>Northing</t>
  </si>
  <si>
    <t>Easting</t>
  </si>
  <si>
    <t>Distance_AlongTransect_m</t>
  </si>
  <si>
    <t>Distance_AlongTransect_ft</t>
  </si>
  <si>
    <t>Elevation_ft</t>
  </si>
  <si>
    <t>Elevation_m</t>
  </si>
  <si>
    <t>Date</t>
  </si>
  <si>
    <t>...11</t>
  </si>
  <si>
    <t>...12</t>
  </si>
  <si>
    <t>...13</t>
  </si>
  <si>
    <t xml:space="preserve">z* ((marsh elevation − MSL)/(MHHW − MSL)) </t>
  </si>
  <si>
    <t>FID</t>
  </si>
  <si>
    <t>SanPablo</t>
  </si>
  <si>
    <t>S1</t>
  </si>
  <si>
    <t>S1-0.5a</t>
  </si>
  <si>
    <t>1.706273812547625</t>
  </si>
  <si>
    <t>NA</t>
  </si>
  <si>
    <t>S1-0.5b</t>
  </si>
  <si>
    <t>0.4872719982774074</t>
  </si>
  <si>
    <t>1.722733045466091</t>
  </si>
  <si>
    <t>S1-0.5c</t>
  </si>
  <si>
    <t>0.2752540211017836</t>
  </si>
  <si>
    <t>0.9030625675647684</t>
  </si>
  <si>
    <t>1.7230378460756919</t>
  </si>
  <si>
    <t>S1-2a</t>
  </si>
  <si>
    <t>1.5688549278331831</t>
  </si>
  <si>
    <t>5.147151542399369</t>
  </si>
  <si>
    <t>1.6913385826771654</t>
  </si>
  <si>
    <t>S1-2b</t>
  </si>
  <si>
    <t>1.5521291325319586</t>
  </si>
  <si>
    <t>5.092276995648601</t>
  </si>
  <si>
    <t>1.7202946405892812</t>
  </si>
  <si>
    <t>S1-2c</t>
  </si>
  <si>
    <t>1.6879870418766603</t>
  </si>
  <si>
    <t>5.538004153223676</t>
  </si>
  <si>
    <t>1.7550419100838202</t>
  </si>
  <si>
    <t>S1-6a</t>
  </si>
  <si>
    <t>5.501038742138109</t>
  </si>
  <si>
    <t>18.04799127316478</t>
  </si>
  <si>
    <t>1.8266700533401066</t>
  </si>
  <si>
    <t>S1-6b</t>
  </si>
  <si>
    <t>5.514160085295454</t>
  </si>
  <si>
    <t>18.091040213173503</t>
  </si>
  <si>
    <t>1.8254508509017016</t>
  </si>
  <si>
    <t>S1-6c</t>
  </si>
  <si>
    <t>5.4924523929140205</t>
  </si>
  <si>
    <t>18.01982089241875</t>
  </si>
  <si>
    <t>1.8300228600457198</t>
  </si>
  <si>
    <t>S1-12a</t>
  </si>
  <si>
    <t>11.565252352582934</t>
  </si>
  <si>
    <t>37.94366542676585</t>
  </si>
  <si>
    <t>1.877266954533909</t>
  </si>
  <si>
    <t>S1-12b</t>
  </si>
  <si>
    <t>11.580440527951605</t>
  </si>
  <si>
    <t>37.99349529878789</t>
  </si>
  <si>
    <t>1.889763779527559</t>
  </si>
  <si>
    <t>S1-12c</t>
  </si>
  <si>
    <t>11.580670079830014</t>
  </si>
  <si>
    <t>37.99424842024231</t>
  </si>
  <si>
    <t>1.8851917703835406</t>
  </si>
  <si>
    <t>S1-18a</t>
  </si>
  <si>
    <t>17.50882620134651</t>
  </si>
  <si>
    <t>57.44354062891767</t>
  </si>
  <si>
    <t>1.9778511557023113</t>
  </si>
  <si>
    <t>S1-18b</t>
  </si>
  <si>
    <t>17.50204277543799</t>
  </si>
  <si>
    <t>57.42128533908281</t>
  </si>
  <si>
    <t>1.9882143764287528</t>
  </si>
  <si>
    <t>S1-18c</t>
  </si>
  <si>
    <t>17.502487035120943</t>
  </si>
  <si>
    <t>1.9918719837439673</t>
  </si>
  <si>
    <t>S1-24a</t>
  </si>
  <si>
    <t>23.396272395891394</t>
  </si>
  <si>
    <t>76.75927035218702</t>
  </si>
  <si>
    <t>1.9751079502159004</t>
  </si>
  <si>
    <t>S1-24b</t>
  </si>
  <si>
    <t>23.356283286032912</t>
  </si>
  <si>
    <t>76.62807274759298</t>
  </si>
  <si>
    <t>1.984861569723139</t>
  </si>
  <si>
    <t>S1-24c</t>
  </si>
  <si>
    <t>23.32901306518314</t>
  </si>
  <si>
    <t>76.53860369802169</t>
  </si>
  <si>
    <t>S1-48a</t>
  </si>
  <si>
    <t>47.424806082484025</t>
  </si>
  <si>
    <t>2.013208026416053</t>
  </si>
  <si>
    <t>S1-48b</t>
  </si>
  <si>
    <t>47.46731687478312</t>
  </si>
  <si>
    <t>155.7323554466843</t>
  </si>
  <si>
    <t>2.0159512319024637</t>
  </si>
  <si>
    <t>S1-48c</t>
  </si>
  <si>
    <t>47.45821129693243</t>
  </si>
  <si>
    <t>155.7024815633525</t>
  </si>
  <si>
    <t>2.0144272288544576</t>
  </si>
  <si>
    <t>S2</t>
  </si>
  <si>
    <t>S2-0.5a</t>
  </si>
  <si>
    <t>1.727305054610109</t>
  </si>
  <si>
    <t>S2-0.5b</t>
  </si>
  <si>
    <t>0.13199133401435284</t>
  </si>
  <si>
    <t>0.4330415683454227</t>
  </si>
  <si>
    <t>1.7297434594869188</t>
  </si>
  <si>
    <t>S2-0.5c</t>
  </si>
  <si>
    <t>0.15493587921592908</t>
  </si>
  <si>
    <t>0.5083187970609273</t>
  </si>
  <si>
    <t>1.721818643637287</t>
  </si>
  <si>
    <t>S2-2a</t>
  </si>
  <si>
    <t>1.5271030701250308</t>
  </si>
  <si>
    <t>5.010170655901872</t>
  </si>
  <si>
    <t>1.7401066802133602</t>
  </si>
  <si>
    <t>S2-2b</t>
  </si>
  <si>
    <t>1.503910701590914</t>
  </si>
  <si>
    <t>1.7519939039878079</t>
  </si>
  <si>
    <t>S2-2c</t>
  </si>
  <si>
    <t>1.5109653648685641</t>
  </si>
  <si>
    <t>4.957225534572948</t>
  </si>
  <si>
    <t>1.750469900939802</t>
  </si>
  <si>
    <t>S2-6a</t>
  </si>
  <si>
    <t>5.498316605591169</t>
  </si>
  <si>
    <t>18.039060396843695</t>
  </si>
  <si>
    <t>1.8239268478536956</t>
  </si>
  <si>
    <t>S2-6b</t>
  </si>
  <si>
    <t>5.523458566936386</t>
  </si>
  <si>
    <t>18.12154698169046</t>
  </si>
  <si>
    <t>1.8135636271272542</t>
  </si>
  <si>
    <t>S2-6c</t>
  </si>
  <si>
    <t>5.501900959524727</t>
  </si>
  <si>
    <t>18.050820064707377</t>
  </si>
  <si>
    <t>1.8083820167640334</t>
  </si>
  <si>
    <t>S2-12a</t>
  </si>
  <si>
    <t>11.557136398371545</t>
  </si>
  <si>
    <t>37.91703833365732</t>
  </si>
  <si>
    <t>1.899517399034798</t>
  </si>
  <si>
    <t>S2-12b</t>
  </si>
  <si>
    <t>11.556666632063708</t>
  </si>
  <si>
    <t>37.91549710869568</t>
  </si>
  <si>
    <t>1.8912877825755652</t>
  </si>
  <si>
    <t>S2-12c</t>
  </si>
  <si>
    <t>11.553896031218052</t>
  </si>
  <si>
    <t>1.8836677673355344</t>
  </si>
  <si>
    <t>S2-18a</t>
  </si>
  <si>
    <t>17.474343327166295</t>
  </si>
  <si>
    <t>57.33040806587809</t>
  </si>
  <si>
    <t>1.9677927355854712</t>
  </si>
  <si>
    <t>S2-18b</t>
  </si>
  <si>
    <t>17.566607316986598</t>
  </si>
  <si>
    <t>57.633110839146866</t>
  </si>
  <si>
    <t>S2-18c</t>
  </si>
  <si>
    <t>17.56984471177156</t>
  </si>
  <si>
    <t>57.64373219187053</t>
  </si>
  <si>
    <t>1.9613919227838454</t>
  </si>
  <si>
    <t>S2-24a</t>
  </si>
  <si>
    <t>23.576986690955362</t>
  </si>
  <si>
    <t>77.35216383524272</t>
  </si>
  <si>
    <t>2.0001016002032004</t>
  </si>
  <si>
    <t>S2-24b</t>
  </si>
  <si>
    <t>23.60029328269982</t>
  </si>
  <si>
    <t>77.42862887832433</t>
  </si>
  <si>
    <t>1.9979679959359917</t>
  </si>
  <si>
    <t>S2-24c</t>
  </si>
  <si>
    <t>23.619412306321895</t>
  </si>
  <si>
    <t>77.49135520832442</t>
  </si>
  <si>
    <t>1.9915671831343662</t>
  </si>
  <si>
    <t>S2-48a</t>
  </si>
  <si>
    <t>47.48253328303888</t>
  </si>
  <si>
    <t>155.78227794610342</t>
  </si>
  <si>
    <t>2.0138176276352553</t>
  </si>
  <si>
    <t>S2-48b</t>
  </si>
  <si>
    <t>47.48324845388506</t>
  </si>
  <si>
    <t>155.78462430245457</t>
  </si>
  <si>
    <t>2.0229616459232918</t>
  </si>
  <si>
    <t>S2-48c</t>
  </si>
  <si>
    <t>47.53533731123392</t>
  </si>
  <si>
    <t>155.95551916193995</t>
  </si>
  <si>
    <t>2.0205232410464817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</si>
</sst>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6422-1A00-4104-9D22-1670F985F897}">
  <dimension ref="A1:O43"/>
  <sheetViews>
    <sheetView tabSelected="1" workbookViewId="0">
      <selection activeCell="Q10" sqref="Q10"/>
    </sheetView>
  </sheetViews>
  <sheetFormatPr defaultRowHeight="14.4" x14ac:dyDescent="0.3"/>
  <cols>
    <col min="14" max="14" width="29" customWidth="1"/>
  </cols>
  <sheetData>
    <row r="1" spans="1:15" s="1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2234502.4909999999</v>
      </c>
      <c r="E2">
        <v>5993852.6320000002</v>
      </c>
      <c r="F2">
        <v>0</v>
      </c>
      <c r="G2">
        <v>0</v>
      </c>
      <c r="H2">
        <v>5.5979999999999999</v>
      </c>
      <c r="I2" s="2" t="s">
        <v>18</v>
      </c>
      <c r="J2" s="3">
        <v>46087</v>
      </c>
      <c r="K2" t="s">
        <v>19</v>
      </c>
      <c r="L2" t="s">
        <v>19</v>
      </c>
      <c r="M2" t="s">
        <v>19</v>
      </c>
      <c r="N2">
        <f>(H2-3.395)/(6.25-3.395)</f>
        <v>0.7716287215411558</v>
      </c>
      <c r="O2">
        <v>152</v>
      </c>
    </row>
    <row r="3" spans="1:15" x14ac:dyDescent="0.3">
      <c r="A3" t="s">
        <v>15</v>
      </c>
      <c r="B3" t="s">
        <v>16</v>
      </c>
      <c r="C3" t="s">
        <v>20</v>
      </c>
      <c r="D3">
        <v>2234502.4440000001</v>
      </c>
      <c r="E3">
        <v>5993852.1469999999</v>
      </c>
      <c r="F3">
        <v>0.14852080211655799</v>
      </c>
      <c r="G3" s="2" t="s">
        <v>21</v>
      </c>
      <c r="H3">
        <v>5.6520000000000001</v>
      </c>
      <c r="I3" s="2" t="s">
        <v>22</v>
      </c>
      <c r="J3" s="3">
        <v>46087</v>
      </c>
      <c r="K3" t="s">
        <v>19</v>
      </c>
      <c r="L3" t="s">
        <v>19</v>
      </c>
      <c r="M3" t="s">
        <v>19</v>
      </c>
      <c r="N3">
        <f t="shared" ref="N3:N43" si="0">(H3-3.395)/(6.25-3.395)</f>
        <v>0.79054290718038533</v>
      </c>
      <c r="O3">
        <v>152</v>
      </c>
    </row>
    <row r="4" spans="1:15" x14ac:dyDescent="0.3">
      <c r="A4" t="s">
        <v>15</v>
      </c>
      <c r="B4" t="s">
        <v>16</v>
      </c>
      <c r="C4" t="s">
        <v>23</v>
      </c>
      <c r="D4">
        <v>2234502.4300000002</v>
      </c>
      <c r="E4">
        <v>5993851.7309999997</v>
      </c>
      <c r="F4" s="2" t="s">
        <v>24</v>
      </c>
      <c r="G4" s="2" t="s">
        <v>25</v>
      </c>
      <c r="H4">
        <v>5.6529999999999996</v>
      </c>
      <c r="I4" s="2" t="s">
        <v>26</v>
      </c>
      <c r="J4" s="3">
        <v>46087</v>
      </c>
      <c r="K4" t="s">
        <v>19</v>
      </c>
      <c r="L4" t="s">
        <v>19</v>
      </c>
      <c r="M4" t="s">
        <v>19</v>
      </c>
      <c r="N4">
        <f t="shared" si="0"/>
        <v>0.79089316987740788</v>
      </c>
      <c r="O4">
        <v>152</v>
      </c>
    </row>
    <row r="5" spans="1:15" x14ac:dyDescent="0.3">
      <c r="A5" t="s">
        <v>15</v>
      </c>
      <c r="B5" t="s">
        <v>16</v>
      </c>
      <c r="C5" t="s">
        <v>27</v>
      </c>
      <c r="D5">
        <v>2234507.5109999999</v>
      </c>
      <c r="E5">
        <v>5993851.4950000001</v>
      </c>
      <c r="F5" s="2" t="s">
        <v>28</v>
      </c>
      <c r="G5" s="2" t="s">
        <v>29</v>
      </c>
      <c r="H5">
        <v>5.5490000000000004</v>
      </c>
      <c r="I5" s="2" t="s">
        <v>30</v>
      </c>
      <c r="J5" s="3">
        <v>46087</v>
      </c>
      <c r="K5" t="s">
        <v>19</v>
      </c>
      <c r="L5" t="s">
        <v>19</v>
      </c>
      <c r="M5" t="s">
        <v>19</v>
      </c>
      <c r="N5">
        <f t="shared" si="0"/>
        <v>0.75446584938704042</v>
      </c>
      <c r="O5">
        <v>152</v>
      </c>
    </row>
    <row r="6" spans="1:15" x14ac:dyDescent="0.3">
      <c r="A6" t="s">
        <v>15</v>
      </c>
      <c r="B6" t="s">
        <v>16</v>
      </c>
      <c r="C6" t="s">
        <v>31</v>
      </c>
      <c r="D6">
        <v>2234507.3139999998</v>
      </c>
      <c r="E6">
        <v>5993850.9979999997</v>
      </c>
      <c r="F6" s="2" t="s">
        <v>32</v>
      </c>
      <c r="G6" s="2" t="s">
        <v>33</v>
      </c>
      <c r="H6">
        <v>5.6440000000000001</v>
      </c>
      <c r="I6" s="2" t="s">
        <v>34</v>
      </c>
      <c r="J6" s="3">
        <v>46087</v>
      </c>
      <c r="K6" t="s">
        <v>19</v>
      </c>
      <c r="L6" t="s">
        <v>19</v>
      </c>
      <c r="M6" t="s">
        <v>19</v>
      </c>
      <c r="N6">
        <f t="shared" si="0"/>
        <v>0.78774080560420323</v>
      </c>
      <c r="O6">
        <v>152</v>
      </c>
    </row>
    <row r="7" spans="1:15" x14ac:dyDescent="0.3">
      <c r="A7" t="s">
        <v>15</v>
      </c>
      <c r="B7" t="s">
        <v>16</v>
      </c>
      <c r="C7" t="s">
        <v>35</v>
      </c>
      <c r="D7">
        <v>2234507.5499999998</v>
      </c>
      <c r="E7">
        <v>5993850.3789999997</v>
      </c>
      <c r="F7" s="2" t="s">
        <v>36</v>
      </c>
      <c r="G7" s="2" t="s">
        <v>37</v>
      </c>
      <c r="H7">
        <v>5.758</v>
      </c>
      <c r="I7" s="2" t="s">
        <v>38</v>
      </c>
      <c r="J7" s="3">
        <v>46087</v>
      </c>
      <c r="K7" t="s">
        <v>19</v>
      </c>
      <c r="L7" t="s">
        <v>19</v>
      </c>
      <c r="M7" t="s">
        <v>19</v>
      </c>
      <c r="N7">
        <f t="shared" si="0"/>
        <v>0.82767075306479865</v>
      </c>
      <c r="O7">
        <v>152</v>
      </c>
    </row>
    <row r="8" spans="1:15" x14ac:dyDescent="0.3">
      <c r="A8" t="s">
        <v>15</v>
      </c>
      <c r="B8" t="s">
        <v>16</v>
      </c>
      <c r="C8" t="s">
        <v>39</v>
      </c>
      <c r="D8">
        <v>2234520.5329999998</v>
      </c>
      <c r="E8">
        <v>5993853.0970000001</v>
      </c>
      <c r="F8" s="2" t="s">
        <v>40</v>
      </c>
      <c r="G8" s="2" t="s">
        <v>41</v>
      </c>
      <c r="H8">
        <v>5.9930000000000003</v>
      </c>
      <c r="I8" s="2" t="s">
        <v>42</v>
      </c>
      <c r="J8" s="3">
        <v>46087</v>
      </c>
      <c r="K8" t="s">
        <v>19</v>
      </c>
      <c r="L8" t="s">
        <v>19</v>
      </c>
      <c r="M8" t="s">
        <v>19</v>
      </c>
      <c r="N8">
        <f t="shared" si="0"/>
        <v>0.90998248686514893</v>
      </c>
      <c r="O8">
        <v>152</v>
      </c>
    </row>
    <row r="9" spans="1:15" x14ac:dyDescent="0.3">
      <c r="A9" t="s">
        <v>15</v>
      </c>
      <c r="B9" t="s">
        <v>16</v>
      </c>
      <c r="C9" t="s">
        <v>43</v>
      </c>
      <c r="D9">
        <v>2234520.5809999998</v>
      </c>
      <c r="E9">
        <v>5993852.8260000004</v>
      </c>
      <c r="F9" s="2" t="s">
        <v>44</v>
      </c>
      <c r="G9" s="2" t="s">
        <v>45</v>
      </c>
      <c r="H9">
        <v>5.9889999999999999</v>
      </c>
      <c r="I9" s="2" t="s">
        <v>46</v>
      </c>
      <c r="J9" s="3">
        <v>46087</v>
      </c>
      <c r="K9" t="s">
        <v>19</v>
      </c>
      <c r="L9" t="s">
        <v>19</v>
      </c>
      <c r="M9" t="s">
        <v>19</v>
      </c>
      <c r="N9">
        <f t="shared" si="0"/>
        <v>0.90858143607705777</v>
      </c>
      <c r="O9">
        <v>152</v>
      </c>
    </row>
    <row r="10" spans="1:15" x14ac:dyDescent="0.3">
      <c r="A10" t="s">
        <v>15</v>
      </c>
      <c r="B10" t="s">
        <v>16</v>
      </c>
      <c r="C10" t="s">
        <v>47</v>
      </c>
      <c r="D10">
        <v>2234520.5099999998</v>
      </c>
      <c r="E10">
        <v>5993852.46</v>
      </c>
      <c r="F10" s="2" t="s">
        <v>48</v>
      </c>
      <c r="G10" s="2" t="s">
        <v>49</v>
      </c>
      <c r="H10">
        <v>6.0039999999999996</v>
      </c>
      <c r="I10" s="2" t="s">
        <v>50</v>
      </c>
      <c r="J10" s="3">
        <v>46087</v>
      </c>
      <c r="K10" t="s">
        <v>19</v>
      </c>
      <c r="L10" t="s">
        <v>19</v>
      </c>
      <c r="M10" t="s">
        <v>19</v>
      </c>
      <c r="N10">
        <f t="shared" si="0"/>
        <v>0.9138353765323991</v>
      </c>
      <c r="O10">
        <v>152</v>
      </c>
    </row>
    <row r="11" spans="1:15" x14ac:dyDescent="0.3">
      <c r="A11" t="s">
        <v>15</v>
      </c>
      <c r="B11" t="s">
        <v>16</v>
      </c>
      <c r="C11" t="s">
        <v>51</v>
      </c>
      <c r="D11">
        <v>2234540.4300000002</v>
      </c>
      <c r="E11">
        <v>5993853.227</v>
      </c>
      <c r="F11" s="2" t="s">
        <v>52</v>
      </c>
      <c r="G11" s="2" t="s">
        <v>53</v>
      </c>
      <c r="H11">
        <v>6.1589999999999998</v>
      </c>
      <c r="I11" s="2" t="s">
        <v>54</v>
      </c>
      <c r="J11" s="3">
        <v>46087</v>
      </c>
      <c r="K11" t="s">
        <v>19</v>
      </c>
      <c r="L11" t="s">
        <v>19</v>
      </c>
      <c r="M11" t="s">
        <v>19</v>
      </c>
      <c r="N11">
        <f t="shared" si="0"/>
        <v>0.96812609457092813</v>
      </c>
      <c r="O11">
        <v>152</v>
      </c>
    </row>
    <row r="12" spans="1:15" x14ac:dyDescent="0.3">
      <c r="A12" t="s">
        <v>15</v>
      </c>
      <c r="B12" t="s">
        <v>16</v>
      </c>
      <c r="C12" t="s">
        <v>55</v>
      </c>
      <c r="D12">
        <v>2234540.4840000002</v>
      </c>
      <c r="E12">
        <v>5993852.8260000004</v>
      </c>
      <c r="F12" s="2" t="s">
        <v>56</v>
      </c>
      <c r="G12" s="2" t="s">
        <v>57</v>
      </c>
      <c r="H12">
        <v>6.2</v>
      </c>
      <c r="I12" s="2" t="s">
        <v>58</v>
      </c>
      <c r="J12" s="3">
        <v>46087</v>
      </c>
      <c r="K12" t="s">
        <v>19</v>
      </c>
      <c r="L12" t="s">
        <v>19</v>
      </c>
      <c r="M12" t="s">
        <v>19</v>
      </c>
      <c r="N12">
        <f t="shared" si="0"/>
        <v>0.98248686514886174</v>
      </c>
      <c r="O12">
        <v>152</v>
      </c>
    </row>
    <row r="13" spans="1:15" x14ac:dyDescent="0.3">
      <c r="A13" t="s">
        <v>15</v>
      </c>
      <c r="B13" t="s">
        <v>16</v>
      </c>
      <c r="C13" t="s">
        <v>59</v>
      </c>
      <c r="D13">
        <v>2234540.4840000002</v>
      </c>
      <c r="E13">
        <v>5993852.324</v>
      </c>
      <c r="F13" s="2" t="s">
        <v>60</v>
      </c>
      <c r="G13" s="2" t="s">
        <v>61</v>
      </c>
      <c r="H13">
        <v>6.1849999999999996</v>
      </c>
      <c r="I13" s="2" t="s">
        <v>62</v>
      </c>
      <c r="J13" s="3">
        <v>46087</v>
      </c>
      <c r="K13" t="s">
        <v>19</v>
      </c>
      <c r="L13" t="s">
        <v>19</v>
      </c>
      <c r="M13" t="s">
        <v>19</v>
      </c>
      <c r="N13">
        <f t="shared" si="0"/>
        <v>0.97723292469351997</v>
      </c>
      <c r="O13">
        <v>152</v>
      </c>
    </row>
    <row r="14" spans="1:15" x14ac:dyDescent="0.3">
      <c r="A14" t="s">
        <v>15</v>
      </c>
      <c r="B14" t="s">
        <v>16</v>
      </c>
      <c r="C14" t="s">
        <v>63</v>
      </c>
      <c r="D14">
        <v>2234559.9049999998</v>
      </c>
      <c r="E14">
        <v>5993854.4740000004</v>
      </c>
      <c r="F14" s="2" t="s">
        <v>64</v>
      </c>
      <c r="G14" s="2" t="s">
        <v>65</v>
      </c>
      <c r="H14">
        <v>6.4889999999999999</v>
      </c>
      <c r="I14" s="2" t="s">
        <v>66</v>
      </c>
      <c r="J14" s="3">
        <v>46087</v>
      </c>
      <c r="K14" t="s">
        <v>19</v>
      </c>
      <c r="L14" t="s">
        <v>19</v>
      </c>
      <c r="M14" t="s">
        <v>19</v>
      </c>
      <c r="N14">
        <f t="shared" si="0"/>
        <v>1.0837127845884413</v>
      </c>
      <c r="O14">
        <v>152</v>
      </c>
    </row>
    <row r="15" spans="1:15" x14ac:dyDescent="0.3">
      <c r="A15" t="s">
        <v>15</v>
      </c>
      <c r="B15" t="s">
        <v>16</v>
      </c>
      <c r="C15" t="s">
        <v>67</v>
      </c>
      <c r="D15">
        <v>2234559.8939999999</v>
      </c>
      <c r="E15">
        <v>5993854.0810000002</v>
      </c>
      <c r="F15" s="2" t="s">
        <v>68</v>
      </c>
      <c r="G15" s="2" t="s">
        <v>69</v>
      </c>
      <c r="H15">
        <v>6.5229999999999997</v>
      </c>
      <c r="I15" s="2" t="s">
        <v>70</v>
      </c>
      <c r="J15" s="3">
        <v>46087</v>
      </c>
      <c r="K15" t="s">
        <v>19</v>
      </c>
      <c r="L15" t="s">
        <v>19</v>
      </c>
      <c r="M15" t="s">
        <v>19</v>
      </c>
      <c r="N15">
        <f t="shared" si="0"/>
        <v>1.0956217162872153</v>
      </c>
      <c r="O15">
        <v>152</v>
      </c>
    </row>
    <row r="16" spans="1:15" x14ac:dyDescent="0.3">
      <c r="A16" t="s">
        <v>15</v>
      </c>
      <c r="B16" t="s">
        <v>16</v>
      </c>
      <c r="C16" t="s">
        <v>71</v>
      </c>
      <c r="D16">
        <v>2234559.9049999998</v>
      </c>
      <c r="E16">
        <v>5993853.6339999996</v>
      </c>
      <c r="F16" s="2" t="s">
        <v>72</v>
      </c>
      <c r="G16">
        <v>57.4227428810593</v>
      </c>
      <c r="H16">
        <v>6.5350000000000001</v>
      </c>
      <c r="I16" s="2" t="s">
        <v>73</v>
      </c>
      <c r="J16" s="3">
        <v>46087</v>
      </c>
      <c r="K16" t="s">
        <v>19</v>
      </c>
      <c r="L16" t="s">
        <v>19</v>
      </c>
      <c r="M16" t="s">
        <v>19</v>
      </c>
      <c r="N16">
        <f t="shared" si="0"/>
        <v>1.0998248686514887</v>
      </c>
      <c r="O16">
        <v>152</v>
      </c>
    </row>
    <row r="17" spans="1:15" x14ac:dyDescent="0.3">
      <c r="A17" t="s">
        <v>15</v>
      </c>
      <c r="B17" t="s">
        <v>16</v>
      </c>
      <c r="C17" t="s">
        <v>74</v>
      </c>
      <c r="D17">
        <v>2234579.2069999999</v>
      </c>
      <c r="E17">
        <v>5993855.2089999998</v>
      </c>
      <c r="F17" s="2" t="s">
        <v>75</v>
      </c>
      <c r="G17" s="2" t="s">
        <v>76</v>
      </c>
      <c r="H17">
        <v>6.48</v>
      </c>
      <c r="I17" s="2" t="s">
        <v>77</v>
      </c>
      <c r="J17" s="3">
        <v>46087</v>
      </c>
      <c r="K17" t="s">
        <v>19</v>
      </c>
      <c r="L17" t="s">
        <v>19</v>
      </c>
      <c r="M17" t="s">
        <v>19</v>
      </c>
      <c r="N17">
        <f t="shared" si="0"/>
        <v>1.0805604203152366</v>
      </c>
      <c r="O17">
        <v>152</v>
      </c>
    </row>
    <row r="18" spans="1:15" x14ac:dyDescent="0.3">
      <c r="A18" t="s">
        <v>15</v>
      </c>
      <c r="B18" t="s">
        <v>16</v>
      </c>
      <c r="C18" t="s">
        <v>78</v>
      </c>
      <c r="D18">
        <v>2234579.088</v>
      </c>
      <c r="E18">
        <v>5993854.8140000002</v>
      </c>
      <c r="F18" s="2" t="s">
        <v>79</v>
      </c>
      <c r="G18" s="2" t="s">
        <v>80</v>
      </c>
      <c r="H18">
        <v>6.5119999999999996</v>
      </c>
      <c r="I18" s="2" t="s">
        <v>81</v>
      </c>
      <c r="J18" s="3">
        <v>46087</v>
      </c>
      <c r="K18" t="s">
        <v>19</v>
      </c>
      <c r="L18" t="s">
        <v>19</v>
      </c>
      <c r="M18" t="s">
        <v>19</v>
      </c>
      <c r="N18">
        <f t="shared" si="0"/>
        <v>1.0917688266199648</v>
      </c>
      <c r="O18">
        <v>152</v>
      </c>
    </row>
    <row r="19" spans="1:15" x14ac:dyDescent="0.3">
      <c r="A19" t="s">
        <v>15</v>
      </c>
      <c r="B19" t="s">
        <v>16</v>
      </c>
      <c r="C19" t="s">
        <v>82</v>
      </c>
      <c r="D19">
        <v>2234579.0070000002</v>
      </c>
      <c r="E19">
        <v>5993854.4919999996</v>
      </c>
      <c r="F19" s="2" t="s">
        <v>83</v>
      </c>
      <c r="G19" s="2" t="s">
        <v>84</v>
      </c>
      <c r="H19">
        <v>6.48</v>
      </c>
      <c r="I19" s="2" t="s">
        <v>77</v>
      </c>
      <c r="J19" s="3">
        <v>46087</v>
      </c>
      <c r="K19" t="s">
        <v>19</v>
      </c>
      <c r="L19" t="s">
        <v>19</v>
      </c>
      <c r="M19" t="s">
        <v>19</v>
      </c>
      <c r="N19">
        <f t="shared" si="0"/>
        <v>1.0805604203152366</v>
      </c>
      <c r="O19">
        <v>152</v>
      </c>
    </row>
    <row r="20" spans="1:15" x14ac:dyDescent="0.3">
      <c r="A20" t="s">
        <v>15</v>
      </c>
      <c r="B20" t="s">
        <v>16</v>
      </c>
      <c r="C20" t="s">
        <v>85</v>
      </c>
      <c r="D20">
        <v>2234657.9700000002</v>
      </c>
      <c r="E20">
        <v>5993858.5839999998</v>
      </c>
      <c r="F20" s="2" t="s">
        <v>86</v>
      </c>
      <c r="G20">
        <v>155.59288462228301</v>
      </c>
      <c r="H20">
        <v>6.6050000000000004</v>
      </c>
      <c r="I20" s="2" t="s">
        <v>87</v>
      </c>
      <c r="J20" s="3">
        <v>46087</v>
      </c>
      <c r="K20" t="s">
        <v>19</v>
      </c>
      <c r="L20" t="s">
        <v>19</v>
      </c>
      <c r="M20" t="s">
        <v>19</v>
      </c>
      <c r="N20">
        <f t="shared" si="0"/>
        <v>1.1243432574430825</v>
      </c>
      <c r="O20">
        <v>152</v>
      </c>
    </row>
    <row r="21" spans="1:15" x14ac:dyDescent="0.3">
      <c r="A21" t="s">
        <v>15</v>
      </c>
      <c r="B21" t="s">
        <v>16</v>
      </c>
      <c r="C21" t="s">
        <v>88</v>
      </c>
      <c r="D21">
        <v>2234658.1239999998</v>
      </c>
      <c r="E21">
        <v>5993858.1940000001</v>
      </c>
      <c r="F21" s="2" t="s">
        <v>89</v>
      </c>
      <c r="G21" s="2" t="s">
        <v>90</v>
      </c>
      <c r="H21">
        <v>6.6139999999999999</v>
      </c>
      <c r="I21" s="2" t="s">
        <v>91</v>
      </c>
      <c r="J21" s="3">
        <v>46087</v>
      </c>
      <c r="K21" t="s">
        <v>19</v>
      </c>
      <c r="L21" t="s">
        <v>19</v>
      </c>
      <c r="M21" t="s">
        <v>19</v>
      </c>
      <c r="N21">
        <f t="shared" si="0"/>
        <v>1.1274956217162873</v>
      </c>
      <c r="O21">
        <v>152</v>
      </c>
    </row>
    <row r="22" spans="1:15" x14ac:dyDescent="0.3">
      <c r="A22" t="s">
        <v>15</v>
      </c>
      <c r="B22" t="s">
        <v>16</v>
      </c>
      <c r="C22" t="s">
        <v>92</v>
      </c>
      <c r="D22">
        <v>2234658.11</v>
      </c>
      <c r="E22">
        <v>5993857.7300000004</v>
      </c>
      <c r="F22" s="2" t="s">
        <v>93</v>
      </c>
      <c r="G22" s="2" t="s">
        <v>94</v>
      </c>
      <c r="H22">
        <v>6.609</v>
      </c>
      <c r="I22" s="2" t="s">
        <v>95</v>
      </c>
      <c r="J22" s="3">
        <v>46087</v>
      </c>
      <c r="K22" t="s">
        <v>19</v>
      </c>
      <c r="L22" t="s">
        <v>19</v>
      </c>
      <c r="M22" t="s">
        <v>19</v>
      </c>
      <c r="N22">
        <f t="shared" si="0"/>
        <v>1.1257443082311733</v>
      </c>
      <c r="O22">
        <v>152</v>
      </c>
    </row>
    <row r="23" spans="1:15" x14ac:dyDescent="0.3">
      <c r="A23" t="s">
        <v>15</v>
      </c>
      <c r="B23" t="s">
        <v>96</v>
      </c>
      <c r="C23" t="s">
        <v>97</v>
      </c>
      <c r="D23">
        <v>2234492.7689999999</v>
      </c>
      <c r="E23">
        <v>5993735.3439999996</v>
      </c>
      <c r="F23">
        <v>0</v>
      </c>
      <c r="G23">
        <v>0</v>
      </c>
      <c r="H23">
        <v>5.6669999999999998</v>
      </c>
      <c r="I23" s="2" t="s">
        <v>98</v>
      </c>
      <c r="J23" s="3">
        <v>46087</v>
      </c>
      <c r="K23" t="s">
        <v>19</v>
      </c>
      <c r="L23" t="s">
        <v>19</v>
      </c>
      <c r="M23" t="s">
        <v>19</v>
      </c>
      <c r="N23">
        <f t="shared" si="0"/>
        <v>0.79579684763572678</v>
      </c>
      <c r="O23">
        <v>152</v>
      </c>
    </row>
    <row r="24" spans="1:15" x14ac:dyDescent="0.3">
      <c r="A24" t="s">
        <v>15</v>
      </c>
      <c r="B24" t="s">
        <v>96</v>
      </c>
      <c r="C24" t="s">
        <v>99</v>
      </c>
      <c r="D24">
        <v>2234492.8110000002</v>
      </c>
      <c r="E24">
        <v>5993734.9129999997</v>
      </c>
      <c r="F24" s="2" t="s">
        <v>100</v>
      </c>
      <c r="G24" s="2" t="s">
        <v>101</v>
      </c>
      <c r="H24">
        <v>5.6749999999999998</v>
      </c>
      <c r="I24" s="2" t="s">
        <v>102</v>
      </c>
      <c r="J24" s="3">
        <v>46087</v>
      </c>
      <c r="K24" t="s">
        <v>19</v>
      </c>
      <c r="L24" t="s">
        <v>19</v>
      </c>
      <c r="M24" t="s">
        <v>19</v>
      </c>
      <c r="N24">
        <f t="shared" si="0"/>
        <v>0.79859894921190888</v>
      </c>
      <c r="O24">
        <v>152</v>
      </c>
    </row>
    <row r="25" spans="1:15" x14ac:dyDescent="0.3">
      <c r="A25" t="s">
        <v>15</v>
      </c>
      <c r="B25" t="s">
        <v>96</v>
      </c>
      <c r="C25" t="s">
        <v>103</v>
      </c>
      <c r="D25">
        <v>2234492.787</v>
      </c>
      <c r="E25">
        <v>5993734.8360000001</v>
      </c>
      <c r="F25" s="2" t="s">
        <v>104</v>
      </c>
      <c r="G25" s="2" t="s">
        <v>105</v>
      </c>
      <c r="H25">
        <v>5.649</v>
      </c>
      <c r="I25" s="2" t="s">
        <v>106</v>
      </c>
      <c r="J25" s="3">
        <v>46087</v>
      </c>
      <c r="K25" t="s">
        <v>19</v>
      </c>
      <c r="L25" t="s">
        <v>19</v>
      </c>
      <c r="M25" t="s">
        <v>19</v>
      </c>
      <c r="N25">
        <f t="shared" si="0"/>
        <v>0.78949211908931705</v>
      </c>
      <c r="O25">
        <v>152</v>
      </c>
    </row>
    <row r="26" spans="1:15" x14ac:dyDescent="0.3">
      <c r="A26" t="s">
        <v>15</v>
      </c>
      <c r="B26" t="s">
        <v>96</v>
      </c>
      <c r="C26" t="s">
        <v>107</v>
      </c>
      <c r="D26">
        <v>2234497.77</v>
      </c>
      <c r="E26">
        <v>5993735.0410000002</v>
      </c>
      <c r="F26" s="2" t="s">
        <v>108</v>
      </c>
      <c r="G26" s="2" t="s">
        <v>109</v>
      </c>
      <c r="H26">
        <v>5.7089999999999996</v>
      </c>
      <c r="I26" s="2" t="s">
        <v>110</v>
      </c>
      <c r="J26" s="3">
        <v>46087</v>
      </c>
      <c r="K26" t="s">
        <v>19</v>
      </c>
      <c r="L26" t="s">
        <v>19</v>
      </c>
      <c r="M26" t="s">
        <v>19</v>
      </c>
      <c r="N26">
        <f t="shared" si="0"/>
        <v>0.81050788091068293</v>
      </c>
      <c r="O26">
        <v>152</v>
      </c>
    </row>
    <row r="27" spans="1:15" x14ac:dyDescent="0.3">
      <c r="A27" t="s">
        <v>15</v>
      </c>
      <c r="B27" t="s">
        <v>96</v>
      </c>
      <c r="C27" t="s">
        <v>111</v>
      </c>
      <c r="D27">
        <v>2234497.6189999999</v>
      </c>
      <c r="E27">
        <v>5993734.4369999999</v>
      </c>
      <c r="F27" s="2" t="s">
        <v>112</v>
      </c>
      <c r="G27">
        <v>4.93408036013619</v>
      </c>
      <c r="H27">
        <v>5.7480000000000002</v>
      </c>
      <c r="I27" s="2" t="s">
        <v>113</v>
      </c>
      <c r="J27" s="3">
        <v>46087</v>
      </c>
      <c r="K27" t="s">
        <v>19</v>
      </c>
      <c r="L27" t="s">
        <v>19</v>
      </c>
      <c r="M27" t="s">
        <v>19</v>
      </c>
      <c r="N27">
        <f t="shared" si="0"/>
        <v>0.82416812609457102</v>
      </c>
      <c r="O27">
        <v>152</v>
      </c>
    </row>
    <row r="28" spans="1:15" x14ac:dyDescent="0.3">
      <c r="A28" t="s">
        <v>15</v>
      </c>
      <c r="B28" t="s">
        <v>96</v>
      </c>
      <c r="C28" t="s">
        <v>114</v>
      </c>
      <c r="D28">
        <v>2234497.5830000001</v>
      </c>
      <c r="E28">
        <v>5993734.1610000003</v>
      </c>
      <c r="F28" s="2" t="s">
        <v>115</v>
      </c>
      <c r="G28" s="2" t="s">
        <v>116</v>
      </c>
      <c r="H28">
        <v>5.7430000000000003</v>
      </c>
      <c r="I28" s="2" t="s">
        <v>117</v>
      </c>
      <c r="J28" s="3">
        <v>46087</v>
      </c>
      <c r="K28" t="s">
        <v>19</v>
      </c>
      <c r="L28" t="s">
        <v>19</v>
      </c>
      <c r="M28" t="s">
        <v>19</v>
      </c>
      <c r="N28">
        <f t="shared" si="0"/>
        <v>0.8224168126094572</v>
      </c>
      <c r="O28">
        <v>152</v>
      </c>
    </row>
    <row r="29" spans="1:15" x14ac:dyDescent="0.3">
      <c r="A29" t="s">
        <v>15</v>
      </c>
      <c r="B29" t="s">
        <v>96</v>
      </c>
      <c r="C29" t="s">
        <v>118</v>
      </c>
      <c r="D29">
        <v>2234510.7409999999</v>
      </c>
      <c r="E29">
        <v>5993733.79</v>
      </c>
      <c r="F29" s="2" t="s">
        <v>119</v>
      </c>
      <c r="G29" s="2" t="s">
        <v>120</v>
      </c>
      <c r="H29">
        <v>5.984</v>
      </c>
      <c r="I29" s="2" t="s">
        <v>121</v>
      </c>
      <c r="J29" s="3">
        <v>46087</v>
      </c>
      <c r="K29" t="s">
        <v>19</v>
      </c>
      <c r="L29" t="s">
        <v>19</v>
      </c>
      <c r="M29" t="s">
        <v>19</v>
      </c>
      <c r="N29">
        <f t="shared" si="0"/>
        <v>0.90683012259194395</v>
      </c>
      <c r="O29">
        <v>152</v>
      </c>
    </row>
    <row r="30" spans="1:15" x14ac:dyDescent="0.3">
      <c r="A30" t="s">
        <v>15</v>
      </c>
      <c r="B30" t="s">
        <v>96</v>
      </c>
      <c r="C30" t="s">
        <v>122</v>
      </c>
      <c r="D30">
        <v>2234510.7850000001</v>
      </c>
      <c r="E30">
        <v>5993733.3909999998</v>
      </c>
      <c r="F30" s="2" t="s">
        <v>123</v>
      </c>
      <c r="G30" s="2" t="s">
        <v>124</v>
      </c>
      <c r="H30">
        <v>5.95</v>
      </c>
      <c r="I30" s="2" t="s">
        <v>125</v>
      </c>
      <c r="J30" s="3">
        <v>46087</v>
      </c>
      <c r="K30" t="s">
        <v>19</v>
      </c>
      <c r="L30" t="s">
        <v>19</v>
      </c>
      <c r="M30" t="s">
        <v>19</v>
      </c>
      <c r="N30">
        <f t="shared" si="0"/>
        <v>0.8949211908931699</v>
      </c>
      <c r="O30">
        <v>152</v>
      </c>
    </row>
    <row r="31" spans="1:15" x14ac:dyDescent="0.3">
      <c r="A31" t="s">
        <v>15</v>
      </c>
      <c r="B31" t="s">
        <v>96</v>
      </c>
      <c r="C31" t="s">
        <v>126</v>
      </c>
      <c r="D31">
        <v>2234510.6570000001</v>
      </c>
      <c r="E31">
        <v>5993732.9249999998</v>
      </c>
      <c r="F31" s="2" t="s">
        <v>127</v>
      </c>
      <c r="G31" s="2" t="s">
        <v>128</v>
      </c>
      <c r="H31">
        <v>5.9329999999999998</v>
      </c>
      <c r="I31" s="2" t="s">
        <v>129</v>
      </c>
      <c r="J31" s="3">
        <v>46087</v>
      </c>
      <c r="K31" t="s">
        <v>19</v>
      </c>
      <c r="L31" t="s">
        <v>19</v>
      </c>
      <c r="M31" t="s">
        <v>19</v>
      </c>
      <c r="N31">
        <f t="shared" si="0"/>
        <v>0.88896672504378282</v>
      </c>
      <c r="O31">
        <v>152</v>
      </c>
    </row>
    <row r="32" spans="1:15" x14ac:dyDescent="0.3">
      <c r="A32" t="s">
        <v>15</v>
      </c>
      <c r="B32" t="s">
        <v>96</v>
      </c>
      <c r="C32" t="s">
        <v>130</v>
      </c>
      <c r="D32">
        <v>2234530.5389999999</v>
      </c>
      <c r="E32">
        <v>5993732.0080000004</v>
      </c>
      <c r="F32" s="2" t="s">
        <v>131</v>
      </c>
      <c r="G32" s="2" t="s">
        <v>132</v>
      </c>
      <c r="H32">
        <v>6.2320000000000002</v>
      </c>
      <c r="I32" s="2" t="s">
        <v>133</v>
      </c>
      <c r="J32" s="3">
        <v>46087</v>
      </c>
      <c r="K32" t="s">
        <v>19</v>
      </c>
      <c r="L32" t="s">
        <v>19</v>
      </c>
      <c r="M32" t="s">
        <v>19</v>
      </c>
      <c r="N32">
        <f t="shared" si="0"/>
        <v>0.99369527145359027</v>
      </c>
      <c r="O32">
        <v>152</v>
      </c>
    </row>
    <row r="33" spans="1:15" x14ac:dyDescent="0.3">
      <c r="A33" t="s">
        <v>15</v>
      </c>
      <c r="B33" t="s">
        <v>96</v>
      </c>
      <c r="C33" t="s">
        <v>134</v>
      </c>
      <c r="D33">
        <v>2234530.5049999999</v>
      </c>
      <c r="E33">
        <v>5993731.659</v>
      </c>
      <c r="F33" s="2" t="s">
        <v>135</v>
      </c>
      <c r="G33" s="2" t="s">
        <v>136</v>
      </c>
      <c r="H33">
        <v>6.2050000000000001</v>
      </c>
      <c r="I33" s="2" t="s">
        <v>137</v>
      </c>
      <c r="J33" s="3">
        <v>46087</v>
      </c>
      <c r="K33" t="s">
        <v>19</v>
      </c>
      <c r="L33" t="s">
        <v>19</v>
      </c>
      <c r="M33" t="s">
        <v>19</v>
      </c>
      <c r="N33">
        <f t="shared" si="0"/>
        <v>0.98423817863397556</v>
      </c>
      <c r="O33">
        <v>152</v>
      </c>
    </row>
    <row r="34" spans="1:15" x14ac:dyDescent="0.3">
      <c r="A34" t="s">
        <v>15</v>
      </c>
      <c r="B34" t="s">
        <v>96</v>
      </c>
      <c r="C34" t="s">
        <v>138</v>
      </c>
      <c r="D34">
        <v>2234530.4470000002</v>
      </c>
      <c r="E34">
        <v>5993731.1890000002</v>
      </c>
      <c r="F34" s="2" t="s">
        <v>139</v>
      </c>
      <c r="G34">
        <v>37.906407229087897</v>
      </c>
      <c r="H34">
        <v>6.18</v>
      </c>
      <c r="I34" s="2" t="s">
        <v>140</v>
      </c>
      <c r="J34" s="3">
        <v>46087</v>
      </c>
      <c r="K34" t="s">
        <v>19</v>
      </c>
      <c r="L34" t="s">
        <v>19</v>
      </c>
      <c r="M34" t="s">
        <v>19</v>
      </c>
      <c r="N34">
        <f t="shared" si="0"/>
        <v>0.97548161120840615</v>
      </c>
      <c r="O34">
        <v>152</v>
      </c>
    </row>
    <row r="35" spans="1:15" x14ac:dyDescent="0.3">
      <c r="A35" t="s">
        <v>15</v>
      </c>
      <c r="B35" t="s">
        <v>96</v>
      </c>
      <c r="C35" t="s">
        <v>141</v>
      </c>
      <c r="D35">
        <v>2234549.8769999999</v>
      </c>
      <c r="E35">
        <v>5993730.2989999996</v>
      </c>
      <c r="F35" s="2" t="s">
        <v>142</v>
      </c>
      <c r="G35" s="2" t="s">
        <v>143</v>
      </c>
      <c r="H35">
        <v>6.4560000000000004</v>
      </c>
      <c r="I35" s="2" t="s">
        <v>144</v>
      </c>
      <c r="J35" s="3">
        <v>46087</v>
      </c>
      <c r="K35" t="s">
        <v>19</v>
      </c>
      <c r="L35" t="s">
        <v>19</v>
      </c>
      <c r="M35" t="s">
        <v>19</v>
      </c>
      <c r="N35">
        <f t="shared" si="0"/>
        <v>1.0721541155866903</v>
      </c>
      <c r="O35">
        <v>152</v>
      </c>
    </row>
    <row r="36" spans="1:15" x14ac:dyDescent="0.3">
      <c r="A36" t="s">
        <v>15</v>
      </c>
      <c r="B36" t="s">
        <v>96</v>
      </c>
      <c r="C36" t="s">
        <v>145</v>
      </c>
      <c r="D36">
        <v>2234550.1329999999</v>
      </c>
      <c r="E36">
        <v>5993729.7810000004</v>
      </c>
      <c r="F36" s="2" t="s">
        <v>146</v>
      </c>
      <c r="G36" s="2" t="s">
        <v>147</v>
      </c>
      <c r="H36">
        <v>6.4560000000000004</v>
      </c>
      <c r="I36" s="2" t="s">
        <v>144</v>
      </c>
      <c r="J36" s="3">
        <v>46087</v>
      </c>
      <c r="K36" t="s">
        <v>19</v>
      </c>
      <c r="L36" t="s">
        <v>19</v>
      </c>
      <c r="M36" t="s">
        <v>19</v>
      </c>
      <c r="N36">
        <f t="shared" si="0"/>
        <v>1.0721541155866903</v>
      </c>
      <c r="O36">
        <v>152</v>
      </c>
    </row>
    <row r="37" spans="1:15" x14ac:dyDescent="0.3">
      <c r="A37" t="s">
        <v>15</v>
      </c>
      <c r="B37" t="s">
        <v>96</v>
      </c>
      <c r="C37" t="s">
        <v>148</v>
      </c>
      <c r="D37">
        <v>2234550.088</v>
      </c>
      <c r="E37">
        <v>5993729.2340000002</v>
      </c>
      <c r="F37" s="2" t="s">
        <v>149</v>
      </c>
      <c r="G37" s="2" t="s">
        <v>150</v>
      </c>
      <c r="H37">
        <v>6.4349999999999996</v>
      </c>
      <c r="I37" s="2" t="s">
        <v>151</v>
      </c>
      <c r="J37" s="3">
        <v>46087</v>
      </c>
      <c r="K37" t="s">
        <v>19</v>
      </c>
      <c r="L37" t="s">
        <v>19</v>
      </c>
      <c r="M37" t="s">
        <v>19</v>
      </c>
      <c r="N37">
        <f>(H37-3.395)/(6.25-3.395)</f>
        <v>1.0647985989492117</v>
      </c>
      <c r="O37">
        <v>152</v>
      </c>
    </row>
    <row r="38" spans="1:15" x14ac:dyDescent="0.3">
      <c r="A38" t="s">
        <v>15</v>
      </c>
      <c r="B38" t="s">
        <v>96</v>
      </c>
      <c r="C38" t="s">
        <v>152</v>
      </c>
      <c r="D38">
        <v>2234569.8259999999</v>
      </c>
      <c r="E38">
        <v>5993728.5930000003</v>
      </c>
      <c r="F38" s="2" t="s">
        <v>153</v>
      </c>
      <c r="G38" s="2" t="s">
        <v>154</v>
      </c>
      <c r="H38">
        <v>6.5620000000000003</v>
      </c>
      <c r="I38" s="2" t="s">
        <v>155</v>
      </c>
      <c r="J38" s="3">
        <v>46087</v>
      </c>
      <c r="K38" t="s">
        <v>19</v>
      </c>
      <c r="L38" t="s">
        <v>19</v>
      </c>
      <c r="M38" t="s">
        <v>19</v>
      </c>
      <c r="N38">
        <f>(H38-3.395)/(6.25-3.395)</f>
        <v>1.1092819614711034</v>
      </c>
      <c r="O38">
        <v>152</v>
      </c>
    </row>
    <row r="39" spans="1:15" x14ac:dyDescent="0.3">
      <c r="A39" t="s">
        <v>15</v>
      </c>
      <c r="B39" t="s">
        <v>96</v>
      </c>
      <c r="C39" t="s">
        <v>156</v>
      </c>
      <c r="D39">
        <v>2234569.8679999998</v>
      </c>
      <c r="E39">
        <v>5993728.2070000004</v>
      </c>
      <c r="F39" s="2" t="s">
        <v>157</v>
      </c>
      <c r="G39" s="2" t="s">
        <v>158</v>
      </c>
      <c r="H39">
        <v>6.5549999999999997</v>
      </c>
      <c r="I39" s="2" t="s">
        <v>159</v>
      </c>
      <c r="J39" s="3">
        <v>46087</v>
      </c>
      <c r="K39" t="s">
        <v>19</v>
      </c>
      <c r="L39" t="s">
        <v>19</v>
      </c>
      <c r="M39" t="s">
        <v>19</v>
      </c>
      <c r="N39">
        <f>(H39-3.395)/(6.25-3.395)</f>
        <v>1.1068301225919439</v>
      </c>
      <c r="O39">
        <v>152</v>
      </c>
    </row>
    <row r="40" spans="1:15" x14ac:dyDescent="0.3">
      <c r="A40" t="s">
        <v>15</v>
      </c>
      <c r="B40" t="s">
        <v>96</v>
      </c>
      <c r="C40" t="s">
        <v>160</v>
      </c>
      <c r="D40">
        <v>2234569.895</v>
      </c>
      <c r="E40">
        <v>5993727.8279999997</v>
      </c>
      <c r="F40" s="2" t="s">
        <v>161</v>
      </c>
      <c r="G40" s="2" t="s">
        <v>162</v>
      </c>
      <c r="H40">
        <v>6.5339999999999998</v>
      </c>
      <c r="I40" s="2" t="s">
        <v>163</v>
      </c>
      <c r="J40" s="3">
        <v>46087</v>
      </c>
      <c r="K40" t="s">
        <v>19</v>
      </c>
      <c r="L40" t="s">
        <v>19</v>
      </c>
      <c r="M40" t="s">
        <v>19</v>
      </c>
      <c r="N40">
        <f t="shared" si="0"/>
        <v>1.0994746059544658</v>
      </c>
      <c r="O40">
        <v>152</v>
      </c>
    </row>
    <row r="41" spans="1:15" x14ac:dyDescent="0.3">
      <c r="A41" t="s">
        <v>15</v>
      </c>
      <c r="B41" t="s">
        <v>96</v>
      </c>
      <c r="C41" t="s">
        <v>164</v>
      </c>
      <c r="D41">
        <v>2234647.9300000002</v>
      </c>
      <c r="E41">
        <v>5993721.4450000003</v>
      </c>
      <c r="F41" s="2" t="s">
        <v>165</v>
      </c>
      <c r="G41" s="2" t="s">
        <v>166</v>
      </c>
      <c r="H41">
        <v>6.6070000000000002</v>
      </c>
      <c r="I41" s="2" t="s">
        <v>167</v>
      </c>
      <c r="J41" s="3">
        <v>46087</v>
      </c>
      <c r="K41" t="s">
        <v>19</v>
      </c>
      <c r="L41" t="s">
        <v>19</v>
      </c>
      <c r="M41" t="s">
        <v>19</v>
      </c>
      <c r="N41">
        <f t="shared" si="0"/>
        <v>1.125043782837128</v>
      </c>
      <c r="O41">
        <v>152</v>
      </c>
    </row>
    <row r="42" spans="1:15" x14ac:dyDescent="0.3">
      <c r="A42" t="s">
        <v>15</v>
      </c>
      <c r="B42" t="s">
        <v>96</v>
      </c>
      <c r="C42" t="s">
        <v>168</v>
      </c>
      <c r="D42">
        <v>2234647.9040000001</v>
      </c>
      <c r="E42">
        <v>5993721.1320000002</v>
      </c>
      <c r="F42" s="2" t="s">
        <v>169</v>
      </c>
      <c r="G42" s="2" t="s">
        <v>170</v>
      </c>
      <c r="H42">
        <v>6.6369999999999996</v>
      </c>
      <c r="I42" s="2" t="s">
        <v>171</v>
      </c>
      <c r="J42" s="3">
        <v>46087</v>
      </c>
      <c r="K42" t="s">
        <v>19</v>
      </c>
      <c r="L42" t="s">
        <v>19</v>
      </c>
      <c r="M42" t="s">
        <v>19</v>
      </c>
      <c r="N42">
        <f t="shared" si="0"/>
        <v>1.1355516637478107</v>
      </c>
      <c r="O42">
        <v>152</v>
      </c>
    </row>
    <row r="43" spans="1:15" x14ac:dyDescent="0.3">
      <c r="A43" t="s">
        <v>15</v>
      </c>
      <c r="B43" t="s">
        <v>96</v>
      </c>
      <c r="C43" t="s">
        <v>172</v>
      </c>
      <c r="D43">
        <v>2234648.0350000001</v>
      </c>
      <c r="E43">
        <v>5993720.6950000003</v>
      </c>
      <c r="F43" s="2" t="s">
        <v>173</v>
      </c>
      <c r="G43" s="2" t="s">
        <v>174</v>
      </c>
      <c r="H43">
        <v>6.6289999999999996</v>
      </c>
      <c r="I43" s="2" t="s">
        <v>175</v>
      </c>
      <c r="J43" s="3">
        <v>46087</v>
      </c>
      <c r="K43" t="s">
        <v>19</v>
      </c>
      <c r="L43" t="s">
        <v>19</v>
      </c>
      <c r="M43" t="s">
        <v>19</v>
      </c>
      <c r="N43">
        <f t="shared" si="0"/>
        <v>1.1327495621716286</v>
      </c>
      <c r="O43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Karin Miller</dc:creator>
  <cp:lastModifiedBy>Savannah Karin Miller</cp:lastModifiedBy>
  <dcterms:created xsi:type="dcterms:W3CDTF">2026-05-06T20:47:00Z</dcterms:created>
  <dcterms:modified xsi:type="dcterms:W3CDTF">2026-05-06T20:48:24Z</dcterms:modified>
</cp:coreProperties>
</file>