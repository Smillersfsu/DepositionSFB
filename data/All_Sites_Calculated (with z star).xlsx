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ilsfsu-my.sharepoint.com/personal/924318106_sfsu_edu/Documents/ProjectData/GitHub/DepositionSFB/data/"/>
    </mc:Choice>
  </mc:AlternateContent>
  <xr:revisionPtr revIDLastSave="21" documentId="8_{4274A576-6E2E-4B05-A1BB-A686EE3EC67E}" xr6:coauthVersionLast="47" xr6:coauthVersionMax="47" xr10:uidLastSave="{D9A7CE96-C753-42A1-BF50-4526C44F1DDC}"/>
  <bookViews>
    <workbookView xWindow="-108" yWindow="-108" windowWidth="23256" windowHeight="13176" xr2:uid="{A73E911E-D0AA-46A2-B8CD-3070576D2DAB}"/>
  </bookViews>
  <sheets>
    <sheet name="All_Sites_Calculated (with z st" sheetId="1" r:id="rId1"/>
    <sheet name="Sheet1" sheetId="2" r:id="rId2"/>
  </sheets>
  <calcPr calcId="0"/>
</workbook>
</file>

<file path=xl/calcChain.xml><?xml version="1.0" encoding="utf-8"?>
<calcChain xmlns="http://schemas.openxmlformats.org/spreadsheetml/2006/main">
  <c r="Q45" i="1" l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44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2" i="1"/>
</calcChain>
</file>

<file path=xl/sharedStrings.xml><?xml version="1.0" encoding="utf-8"?>
<sst xmlns="http://schemas.openxmlformats.org/spreadsheetml/2006/main" count="1523" uniqueCount="674">
  <si>
    <t>Location</t>
  </si>
  <si>
    <t>Transect_ID</t>
  </si>
  <si>
    <t>Point_ID</t>
  </si>
  <si>
    <t>Northing</t>
  </si>
  <si>
    <t>Easting</t>
  </si>
  <si>
    <t>Distance_AlongTransect_m</t>
  </si>
  <si>
    <t>Distance_AlongTransect_ft</t>
  </si>
  <si>
    <t>Elevation_ft</t>
  </si>
  <si>
    <t>Elevation_m</t>
  </si>
  <si>
    <t>Date</t>
  </si>
  <si>
    <t>...11</t>
  </si>
  <si>
    <t>...12</t>
  </si>
  <si>
    <t>...13</t>
  </si>
  <si>
    <t>FID</t>
  </si>
  <si>
    <t>MSL</t>
  </si>
  <si>
    <t>MHHW</t>
  </si>
  <si>
    <t>z_star</t>
  </si>
  <si>
    <t>SanPablo</t>
  </si>
  <si>
    <t>S1</t>
  </si>
  <si>
    <t>S1-0.5a</t>
  </si>
  <si>
    <t>1.706273812547625</t>
  </si>
  <si>
    <t>NA</t>
  </si>
  <si>
    <t>S1-0.5b</t>
  </si>
  <si>
    <t>0.4872719982774074</t>
  </si>
  <si>
    <t>1.722733045466091</t>
  </si>
  <si>
    <t>S1-0.5c</t>
  </si>
  <si>
    <t>0.2752540211017836</t>
  </si>
  <si>
    <t>0.9030625675647684</t>
  </si>
  <si>
    <t>1.7230378460756919</t>
  </si>
  <si>
    <t>S1-2a</t>
  </si>
  <si>
    <t>1.5688549278331831</t>
  </si>
  <si>
    <t>5.147151542399369</t>
  </si>
  <si>
    <t>1.6913385826771654</t>
  </si>
  <si>
    <t>S1-2b</t>
  </si>
  <si>
    <t>1.5521291325319586</t>
  </si>
  <si>
    <t>5.092276995648601</t>
  </si>
  <si>
    <t>1.7202946405892812</t>
  </si>
  <si>
    <t>S1-2c</t>
  </si>
  <si>
    <t>1.6879870418766603</t>
  </si>
  <si>
    <t>5.538004153223676</t>
  </si>
  <si>
    <t>1.7550419100838202</t>
  </si>
  <si>
    <t>S1-6a</t>
  </si>
  <si>
    <t>5.501038742138109</t>
  </si>
  <si>
    <t>18.04799127316478</t>
  </si>
  <si>
    <t>1.8266700533401066</t>
  </si>
  <si>
    <t>S1-6b</t>
  </si>
  <si>
    <t>5.514160085295454</t>
  </si>
  <si>
    <t>18.091040213173503</t>
  </si>
  <si>
    <t>1.8254508509017016</t>
  </si>
  <si>
    <t>S1-6c</t>
  </si>
  <si>
    <t>5.4924523929140205</t>
  </si>
  <si>
    <t>18.01982089241875</t>
  </si>
  <si>
    <t>1.8300228600457198</t>
  </si>
  <si>
    <t>S1-12a</t>
  </si>
  <si>
    <t>11.565252352582934</t>
  </si>
  <si>
    <t>37.94366542676585</t>
  </si>
  <si>
    <t>1.877266954533909</t>
  </si>
  <si>
    <t>S1-12b</t>
  </si>
  <si>
    <t>11.580440527951605</t>
  </si>
  <si>
    <t>37.99349529878789</t>
  </si>
  <si>
    <t>1.889763779527559</t>
  </si>
  <si>
    <t>S1-12c</t>
  </si>
  <si>
    <t>11.580670079830014</t>
  </si>
  <si>
    <t>37.99424842024231</t>
  </si>
  <si>
    <t>1.8851917703835406</t>
  </si>
  <si>
    <t>S1-18a</t>
  </si>
  <si>
    <t>17.50882620134651</t>
  </si>
  <si>
    <t>57.44354062891767</t>
  </si>
  <si>
    <t>1.9778511557023113</t>
  </si>
  <si>
    <t>S1-18b</t>
  </si>
  <si>
    <t>17.50204277543799</t>
  </si>
  <si>
    <t>57.42128533908281</t>
  </si>
  <si>
    <t>1.9882143764287528</t>
  </si>
  <si>
    <t>S1-18c</t>
  </si>
  <si>
    <t>17.502487035120943</t>
  </si>
  <si>
    <t>1.9918719837439673</t>
  </si>
  <si>
    <t>S1-24a</t>
  </si>
  <si>
    <t>23.396272395891394</t>
  </si>
  <si>
    <t>76.75927035218702</t>
  </si>
  <si>
    <t>1.9751079502159004</t>
  </si>
  <si>
    <t>S1-24b</t>
  </si>
  <si>
    <t>23.356283286032912</t>
  </si>
  <si>
    <t>76.62807274759298</t>
  </si>
  <si>
    <t>1.984861569723139</t>
  </si>
  <si>
    <t>S1-24c</t>
  </si>
  <si>
    <t>23.32901306518314</t>
  </si>
  <si>
    <t>76.53860369802169</t>
  </si>
  <si>
    <t>S1-48a</t>
  </si>
  <si>
    <t>47.424806082484025</t>
  </si>
  <si>
    <t>2.013208026416053</t>
  </si>
  <si>
    <t>S1-48b</t>
  </si>
  <si>
    <t>47.46731687478312</t>
  </si>
  <si>
    <t>155.7323554466843</t>
  </si>
  <si>
    <t>2.0159512319024637</t>
  </si>
  <si>
    <t>S1-48c</t>
  </si>
  <si>
    <t>47.45821129693243</t>
  </si>
  <si>
    <t>155.7024815633525</t>
  </si>
  <si>
    <t>2.0144272288544576</t>
  </si>
  <si>
    <t>S2</t>
  </si>
  <si>
    <t>S2-0.5a</t>
  </si>
  <si>
    <t>1.727305054610109</t>
  </si>
  <si>
    <t>S2-0.5b</t>
  </si>
  <si>
    <t>0.13199133401435284</t>
  </si>
  <si>
    <t>0.4330415683454227</t>
  </si>
  <si>
    <t>1.7297434594869188</t>
  </si>
  <si>
    <t>S2-0.5c</t>
  </si>
  <si>
    <t>0.15493587921592908</t>
  </si>
  <si>
    <t>0.5083187970609273</t>
  </si>
  <si>
    <t>1.721818643637287</t>
  </si>
  <si>
    <t>S2-2a</t>
  </si>
  <si>
    <t>1.5271030701250308</t>
  </si>
  <si>
    <t>5.010170655901872</t>
  </si>
  <si>
    <t>1.7401066802133602</t>
  </si>
  <si>
    <t>S2-2b</t>
  </si>
  <si>
    <t>1.503910701590914</t>
  </si>
  <si>
    <t>1.7519939039878079</t>
  </si>
  <si>
    <t>S2-2c</t>
  </si>
  <si>
    <t>1.5109653648685641</t>
  </si>
  <si>
    <t>4.957225534572948</t>
  </si>
  <si>
    <t>1.750469900939802</t>
  </si>
  <si>
    <t>S2-6a</t>
  </si>
  <si>
    <t>5.498316605591169</t>
  </si>
  <si>
    <t>18.039060396843695</t>
  </si>
  <si>
    <t>1.8239268478536956</t>
  </si>
  <si>
    <t>S2-6b</t>
  </si>
  <si>
    <t>5.523458566936386</t>
  </si>
  <si>
    <t>18.12154698169046</t>
  </si>
  <si>
    <t>1.8135636271272542</t>
  </si>
  <si>
    <t>S2-6c</t>
  </si>
  <si>
    <t>5.501900959524727</t>
  </si>
  <si>
    <t>18.050820064707377</t>
  </si>
  <si>
    <t>1.8083820167640334</t>
  </si>
  <si>
    <t>S2-12a</t>
  </si>
  <si>
    <t>11.557136398371545</t>
  </si>
  <si>
    <t>37.91703833365732</t>
  </si>
  <si>
    <t>1.899517399034798</t>
  </si>
  <si>
    <t>S2-12b</t>
  </si>
  <si>
    <t>11.556666632063708</t>
  </si>
  <si>
    <t>37.91549710869568</t>
  </si>
  <si>
    <t>1.8912877825755652</t>
  </si>
  <si>
    <t>S2-12c</t>
  </si>
  <si>
    <t>11.553896031218052</t>
  </si>
  <si>
    <t>1.8836677673355344</t>
  </si>
  <si>
    <t>S2-18a</t>
  </si>
  <si>
    <t>17.474343327166295</t>
  </si>
  <si>
    <t>57.33040806587809</t>
  </si>
  <si>
    <t>1.9677927355854712</t>
  </si>
  <si>
    <t>S2-18b</t>
  </si>
  <si>
    <t>17.566607316986598</t>
  </si>
  <si>
    <t>57.633110839146866</t>
  </si>
  <si>
    <t>S2-18c</t>
  </si>
  <si>
    <t>17.56984471177156</t>
  </si>
  <si>
    <t>57.64373219187053</t>
  </si>
  <si>
    <t>1.9613919227838454</t>
  </si>
  <si>
    <t>S2-24a</t>
  </si>
  <si>
    <t>23.576986690955362</t>
  </si>
  <si>
    <t>77.35216383524272</t>
  </si>
  <si>
    <t>2.0001016002032004</t>
  </si>
  <si>
    <t>S2-24b</t>
  </si>
  <si>
    <t>23.60029328269982</t>
  </si>
  <si>
    <t>77.42862887832433</t>
  </si>
  <si>
    <t>1.9979679959359917</t>
  </si>
  <si>
    <t>S2-24c</t>
  </si>
  <si>
    <t>23.619412306321895</t>
  </si>
  <si>
    <t>77.49135520832442</t>
  </si>
  <si>
    <t>1.9915671831343662</t>
  </si>
  <si>
    <t>S2-48a</t>
  </si>
  <si>
    <t>47.48253328303888</t>
  </si>
  <si>
    <t>155.78227794610342</t>
  </si>
  <si>
    <t>2.0138176276352553</t>
  </si>
  <si>
    <t>S2-48b</t>
  </si>
  <si>
    <t>47.48324845388506</t>
  </si>
  <si>
    <t>155.78462430245457</t>
  </si>
  <si>
    <t>2.0229616459232918</t>
  </si>
  <si>
    <t>S2-48c</t>
  </si>
  <si>
    <t>47.53533731123392</t>
  </si>
  <si>
    <t>155.95551916193995</t>
  </si>
  <si>
    <t>2.0205232410464817</t>
  </si>
  <si>
    <t>CorteMadera</t>
  </si>
  <si>
    <t>C1</t>
  </si>
  <si>
    <t>C1-48a</t>
  </si>
  <si>
    <t>46.30276642223178</t>
  </si>
  <si>
    <t>151.91165950360542</t>
  </si>
  <si>
    <t>Version:24.00</t>
  </si>
  <si>
    <t>Units:USSurveyFeet</t>
  </si>
  <si>
    <t>C1-48b</t>
  </si>
  <si>
    <t>46.32273832210246</t>
  </si>
  <si>
    <t>151.97718397843116</t>
  </si>
  <si>
    <t>1.7108458216916433</t>
  </si>
  <si>
    <t>C1-48c</t>
  </si>
  <si>
    <t>46.31874655801015</t>
  </si>
  <si>
    <t>151.9640876657383</t>
  </si>
  <si>
    <t>1.7065786131572263</t>
  </si>
  <si>
    <t>C1-24a</t>
  </si>
  <si>
    <t>23.39004689109885</t>
  </si>
  <si>
    <t>76.73884550854682</t>
  </si>
  <si>
    <t>1.7199898399796798</t>
  </si>
  <si>
    <t>C1-24b</t>
  </si>
  <si>
    <t>23.376171195834385</t>
  </si>
  <si>
    <t>76.69332166499998</t>
  </si>
  <si>
    <t>1.7184658369316737</t>
  </si>
  <si>
    <t>C1-24c</t>
  </si>
  <si>
    <t>76.77920596061823</t>
  </si>
  <si>
    <t>1.7141986283972566</t>
  </si>
  <si>
    <t>C1-18a</t>
  </si>
  <si>
    <t>17.353123871164257</t>
  </si>
  <si>
    <t>56.93270723397807</t>
  </si>
  <si>
    <t>1.679756159512319</t>
  </si>
  <si>
    <t>C1-18b</t>
  </si>
  <si>
    <t>17.30264199674981</t>
  </si>
  <si>
    <t>56.76708461767001</t>
  </si>
  <si>
    <t>1.6696977393954786</t>
  </si>
  <si>
    <t>C1-18c</t>
  </si>
  <si>
    <t>17.153134112600497</t>
  </si>
  <si>
    <t>56.276574167756806</t>
  </si>
  <si>
    <t>1.671526543053086</t>
  </si>
  <si>
    <t>C1-12a</t>
  </si>
  <si>
    <t>11.327720595429964</t>
  </si>
  <si>
    <t>37.164363320173145</t>
  </si>
  <si>
    <t>1.6413512827025651</t>
  </si>
  <si>
    <t>C1-12b</t>
  </si>
  <si>
    <t>11.306017661710014</t>
  </si>
  <si>
    <t>1.6447040894081788</t>
  </si>
  <si>
    <t>C1-12c</t>
  </si>
  <si>
    <t>11.314522679839325</t>
  </si>
  <si>
    <t>37.121063158772856</t>
  </si>
  <si>
    <t>1.659029718059436</t>
  </si>
  <si>
    <t>C1-6a</t>
  </si>
  <si>
    <t>5.450466165104332</t>
  </si>
  <si>
    <t>17.882071076679797</t>
  </si>
  <si>
    <t>1.664516129032258</t>
  </si>
  <si>
    <t>C1-6b</t>
  </si>
  <si>
    <t>5.613382875222721</t>
  </si>
  <si>
    <t>18.41657364979321</t>
  </si>
  <si>
    <t>1.6620777241554483</t>
  </si>
  <si>
    <t>C1-6c</t>
  </si>
  <si>
    <t>18.438699656404722</t>
  </si>
  <si>
    <t>1.6529337058674116</t>
  </si>
  <si>
    <t>C1-2a</t>
  </si>
  <si>
    <t>1.4439228787427056</t>
  </si>
  <si>
    <t>4.737270311341693</t>
  </si>
  <si>
    <t>1.6462280924561847</t>
  </si>
  <si>
    <t>C1-2b</t>
  </si>
  <si>
    <t>1.4453620802990452</t>
  </si>
  <si>
    <t>4.741992091781118</t>
  </si>
  <si>
    <t>1.6480568961137922</t>
  </si>
  <si>
    <t>C1-2c</t>
  </si>
  <si>
    <t>1.5085086876118006</t>
  </si>
  <si>
    <t>4.949165585939716</t>
  </si>
  <si>
    <t>C1-0.5a</t>
  </si>
  <si>
    <t>1.6593345186690371</t>
  </si>
  <si>
    <t>C1-0.5b</t>
  </si>
  <si>
    <t>0.2082430689532448</t>
  </si>
  <si>
    <t>0.6832108020574373</t>
  </si>
  <si>
    <t>1.6684785369570738</t>
  </si>
  <si>
    <t>C1-0.5c</t>
  </si>
  <si>
    <t>0.3783243562938479</t>
  </si>
  <si>
    <t>1.2412191589407329</t>
  </si>
  <si>
    <t>1.6614681229362456</t>
  </si>
  <si>
    <t>C2</t>
  </si>
  <si>
    <t>C2-0.5a</t>
  </si>
  <si>
    <t>1.621234442468885</t>
  </si>
  <si>
    <t>C2-0.5b</t>
  </si>
  <si>
    <t>0.1307054531381059</t>
  </si>
  <si>
    <t>0.42882280750393575</t>
  </si>
  <si>
    <t>1.6392176784353567</t>
  </si>
  <si>
    <t>C2-0.5c</t>
  </si>
  <si>
    <t>0.2516569763633934</t>
  </si>
  <si>
    <t>0.8256445966188999</t>
  </si>
  <si>
    <t>1.6495808991617982</t>
  </si>
  <si>
    <t>C2-2a</t>
  </si>
  <si>
    <t>1.3258832473238216</t>
  </si>
  <si>
    <t>4.350001953928238</t>
  </si>
  <si>
    <t>1.656286512573025</t>
  </si>
  <si>
    <t>C2-2b</t>
  </si>
  <si>
    <t>1.3562998676319462</t>
  </si>
  <si>
    <t>4.449793815722477</t>
  </si>
  <si>
    <t>1.6544577089154178</t>
  </si>
  <si>
    <t>C2-2c</t>
  </si>
  <si>
    <t>1.4037341161924148</t>
  </si>
  <si>
    <t>4.605417679541281</t>
  </si>
  <si>
    <t>1.6556769113538228</t>
  </si>
  <si>
    <t>C2-6a</t>
  </si>
  <si>
    <t>5.314023699613622</t>
  </si>
  <si>
    <t>17.43442608781569</t>
  </si>
  <si>
    <t>1.6623825247650494</t>
  </si>
  <si>
    <t>C2-6b</t>
  </si>
  <si>
    <t>5.370770630302889</t>
  </si>
  <si>
    <t>17.620603309585398</t>
  </si>
  <si>
    <t>1.6727457454914911</t>
  </si>
  <si>
    <t>C2-6c</t>
  </si>
  <si>
    <t>5.380425150573233</t>
  </si>
  <si>
    <t>17.652278181505682</t>
  </si>
  <si>
    <t>1.6675641351282702</t>
  </si>
  <si>
    <t>C2-12a</t>
  </si>
  <si>
    <t>11.273077309249924</t>
  </si>
  <si>
    <t>36.985087805430794</t>
  </si>
  <si>
    <t>1.664820929641859</t>
  </si>
  <si>
    <t>C2-12b</t>
  </si>
  <si>
    <t>11.273200604835235</t>
  </si>
  <si>
    <t>36.98549231769694</t>
  </si>
  <si>
    <t>1.6651257302514604</t>
  </si>
  <si>
    <t>C2-12c</t>
  </si>
  <si>
    <t>11.272950662390391</t>
  </si>
  <si>
    <t>36.98467229819248</t>
  </si>
  <si>
    <t>1.6657353314706629</t>
  </si>
  <si>
    <t>C2-18a</t>
  </si>
  <si>
    <t>17.370653972052764</t>
  </si>
  <si>
    <t>56.990220573309784</t>
  </si>
  <si>
    <t>C2-18b</t>
  </si>
  <si>
    <t>17.356170766269233</t>
  </si>
  <si>
    <t>56.942703589001646</t>
  </si>
  <si>
    <t>1.6672593345186688</t>
  </si>
  <si>
    <t>C2-18c</t>
  </si>
  <si>
    <t>17.305367745351415</t>
  </si>
  <si>
    <t>56.77602734454044</t>
  </si>
  <si>
    <t>1.6773177546355091</t>
  </si>
  <si>
    <t>C2-24a</t>
  </si>
  <si>
    <t>23.26071840445717</t>
  </si>
  <si>
    <t>76.31454029862323</t>
  </si>
  <si>
    <t>1.6794513589027176</t>
  </si>
  <si>
    <t>C2-24b</t>
  </si>
  <si>
    <t>23.25613401189764</t>
  </si>
  <si>
    <t>76.29949967070084</t>
  </si>
  <si>
    <t>1.6843281686563372</t>
  </si>
  <si>
    <t>C2-24c</t>
  </si>
  <si>
    <t>23.257538458470485</t>
  </si>
  <si>
    <t>76.30410742583192</t>
  </si>
  <si>
    <t>1.6751841503683007</t>
  </si>
  <si>
    <t>C2-48a</t>
  </si>
  <si>
    <t>47.26322798016171</t>
  </si>
  <si>
    <t>155.0627737982472</t>
  </si>
  <si>
    <t>C2-48b</t>
  </si>
  <si>
    <t>47.27087557636883</t>
  </si>
  <si>
    <t>155.0878642868034</t>
  </si>
  <si>
    <t>1.6821945643891287</t>
  </si>
  <si>
    <t>C2-48c</t>
  </si>
  <si>
    <t>47.28255987275515</t>
  </si>
  <si>
    <t>155.1261985158642</t>
  </si>
  <si>
    <t>1.673050546101092</t>
  </si>
  <si>
    <t>BucksLanding</t>
  </si>
  <si>
    <t>B1</t>
  </si>
  <si>
    <t>B1-48a</t>
  </si>
  <si>
    <t>47.35309875857647</t>
  </si>
  <si>
    <t>155.35762484376298</t>
  </si>
  <si>
    <t>1.856845313690627</t>
  </si>
  <si>
    <t>B1-48b</t>
  </si>
  <si>
    <t>47.40055872326602</t>
  </si>
  <si>
    <t>155.5133330779153</t>
  </si>
  <si>
    <t>1.850749301498603</t>
  </si>
  <si>
    <t>B1-48c</t>
  </si>
  <si>
    <t>47.41150747959574</t>
  </si>
  <si>
    <t>155.54925412264038</t>
  </si>
  <si>
    <t>1.8516637033274066</t>
  </si>
  <si>
    <t>B1-24a</t>
  </si>
  <si>
    <t>23.35247706690908</t>
  </si>
  <si>
    <t>76.61558517701755</t>
  </si>
  <si>
    <t>1.8641605283210565</t>
  </si>
  <si>
    <t>B1-24b</t>
  </si>
  <si>
    <t>23.388003677656858</t>
  </si>
  <si>
    <t>76.73214206577921</t>
  </si>
  <si>
    <t>1.8690373380746759</t>
  </si>
  <si>
    <t>B1-24c</t>
  </si>
  <si>
    <t>23.40282127426747</t>
  </si>
  <si>
    <t>1.8714757429514857</t>
  </si>
  <si>
    <t>B1-18a</t>
  </si>
  <si>
    <t>17.40300393742748</t>
  </si>
  <si>
    <t>57.09635541804333</t>
  </si>
  <si>
    <t>1.8736093472186943</t>
  </si>
  <si>
    <t>B1-18b</t>
  </si>
  <si>
    <t>17.41291147951008</t>
  </si>
  <si>
    <t>57.128860412359316</t>
  </si>
  <si>
    <t>1.8745237490474982</t>
  </si>
  <si>
    <t>B1-18c</t>
  </si>
  <si>
    <t>17.41795164612685</t>
  </si>
  <si>
    <t>57.145396359001175</t>
  </si>
  <si>
    <t>1.8806197612395223</t>
  </si>
  <si>
    <t>B1-12a</t>
  </si>
  <si>
    <t>11.458999255656481</t>
  </si>
  <si>
    <t>37.59506672459964</t>
  </si>
  <si>
    <t>1.8483108966217932</t>
  </si>
  <si>
    <t>B1-12b</t>
  </si>
  <si>
    <t>11.447789173455208</t>
  </si>
  <si>
    <t>1.8461772923545847</t>
  </si>
  <si>
    <t>B1-12c</t>
  </si>
  <si>
    <t>11.45363743997083</t>
  </si>
  <si>
    <t>37.57747550097097</t>
  </si>
  <si>
    <t>1.8428244856489713</t>
  </si>
  <si>
    <t>B1-6a</t>
  </si>
  <si>
    <t>5.446597630845158</t>
  </si>
  <si>
    <t>17.869379060531156</t>
  </si>
  <si>
    <t>1.8138684277368553</t>
  </si>
  <si>
    <t>B1-6b</t>
  </si>
  <si>
    <t>5.439495914705515</t>
  </si>
  <si>
    <t>17.846079513496345</t>
  </si>
  <si>
    <t>1.806248412496825</t>
  </si>
  <si>
    <t>B1-6c</t>
  </si>
  <si>
    <t>5.4511586868185775</t>
  </si>
  <si>
    <t>17.88434312500395</t>
  </si>
  <si>
    <t>1.8053340106680213</t>
  </si>
  <si>
    <t>B1-2a</t>
  </si>
  <si>
    <t>1.5366250291255132</t>
  </si>
  <si>
    <t>5.041410616389288</t>
  </si>
  <si>
    <t>1.7718059436118871</t>
  </si>
  <si>
    <t>B1-2b</t>
  </si>
  <si>
    <t>1.5411840382636526</t>
  </si>
  <si>
    <t>5.056367965536667</t>
  </si>
  <si>
    <t>1.7794259588519177</t>
  </si>
  <si>
    <t>B1-2c</t>
  </si>
  <si>
    <t>1.598253785614908</t>
  </si>
  <si>
    <t>5.243604294971577</t>
  </si>
  <si>
    <t>1.7669291338582676</t>
  </si>
  <si>
    <t>B1-0.5a</t>
  </si>
  <si>
    <t>B1-0.5b</t>
  </si>
  <si>
    <t>0.1722770686783111</t>
  </si>
  <si>
    <t>0.5652123494887591</t>
  </si>
  <si>
    <t>1.6599441198882396</t>
  </si>
  <si>
    <t>B1-0.5c</t>
  </si>
  <si>
    <t>0.3366004920234876</t>
  </si>
  <si>
    <t>1.104330114247059</t>
  </si>
  <si>
    <t>1.6611633223266447</t>
  </si>
  <si>
    <t>B2</t>
  </si>
  <si>
    <t>B2-0.5</t>
  </si>
  <si>
    <t>1.6325120650241298</t>
  </si>
  <si>
    <t>B2-0.5a</t>
  </si>
  <si>
    <t>1.635255270510541</t>
  </si>
  <si>
    <t>B2-0.5b</t>
  </si>
  <si>
    <t>0.16956915629705338</t>
  </si>
  <si>
    <t>0.5563281402845827</t>
  </si>
  <si>
    <t>1.6431800863601727</t>
  </si>
  <si>
    <t>B2-0.5c</t>
  </si>
  <si>
    <t>0.16801592758129075</t>
  </si>
  <si>
    <t>0.5512322557396181</t>
  </si>
  <si>
    <t>1.6407416814833629</t>
  </si>
  <si>
    <t>B2-0.5d</t>
  </si>
  <si>
    <t>0.30892184609636847</t>
  </si>
  <si>
    <t>1.0135210900678355</t>
  </si>
  <si>
    <t>1.6376936753873508</t>
  </si>
  <si>
    <t>B2-2a</t>
  </si>
  <si>
    <t>1.4077492921158692</t>
  </si>
  <si>
    <t>4.618590802550147</t>
  </si>
  <si>
    <t>1.773329946659893</t>
  </si>
  <si>
    <t>B2-2b</t>
  </si>
  <si>
    <t>1.4482725652929223</t>
  </si>
  <si>
    <t>4.751540907965196</t>
  </si>
  <si>
    <t>1.7654051308102614</t>
  </si>
  <si>
    <t>B2-2c</t>
  </si>
  <si>
    <t>1.4680717486029424</t>
  </si>
  <si>
    <t>4.816498728541487</t>
  </si>
  <si>
    <t>1.7696723393446787</t>
  </si>
  <si>
    <t>B2-6a</t>
  </si>
  <si>
    <t>5.458706488259692</t>
  </si>
  <si>
    <t>17.90910620356534</t>
  </si>
  <si>
    <t>1.843738887477775</t>
  </si>
  <si>
    <t>B2-6b</t>
  </si>
  <si>
    <t>5.469607397469177</t>
  </si>
  <si>
    <t>17.944870269863458</t>
  </si>
  <si>
    <t>1.8394716789433578</t>
  </si>
  <si>
    <t>B2-6c</t>
  </si>
  <si>
    <t>5.477086149013466</t>
  </si>
  <si>
    <t>17.96940680722168</t>
  </si>
  <si>
    <t>1.8376428752857505</t>
  </si>
  <si>
    <t>B2-12a</t>
  </si>
  <si>
    <t>11.477480580176964</t>
  </si>
  <si>
    <t>37.655700870130595</t>
  </si>
  <si>
    <t>1.8400812801625601</t>
  </si>
  <si>
    <t>B2-12b</t>
  </si>
  <si>
    <t>11.475340789767694</t>
  </si>
  <si>
    <t>37.64868057442951</t>
  </si>
  <si>
    <t>1.835814071628143</t>
  </si>
  <si>
    <t>B2-12c</t>
  </si>
  <si>
    <t>11.473185357051605</t>
  </si>
  <si>
    <t>37.64160895892681</t>
  </si>
  <si>
    <t>1.8220980441960881</t>
  </si>
  <si>
    <t>B2-18a</t>
  </si>
  <si>
    <t>17.441475027593697</t>
  </si>
  <si>
    <t>57.222572653030326</t>
  </si>
  <si>
    <t>1.8312420624841248</t>
  </si>
  <si>
    <t>B2-18b</t>
  </si>
  <si>
    <t>17.460829445971267</t>
  </si>
  <si>
    <t>57.286071273990736</t>
  </si>
  <si>
    <t>1.8269748539497077</t>
  </si>
  <si>
    <t>B2-18c</t>
  </si>
  <si>
    <t>17.465674839752513</t>
  </si>
  <si>
    <t>57.301968203421374</t>
  </si>
  <si>
    <t>1.8403860807721615</t>
  </si>
  <si>
    <t>B2-24a</t>
  </si>
  <si>
    <t>23.393020906131618</t>
  </si>
  <si>
    <t>76.74860275620016</t>
  </si>
  <si>
    <t>B2-24b</t>
  </si>
  <si>
    <t>23.454031717833026</t>
  </si>
  <si>
    <t>76.94876906092385</t>
  </si>
  <si>
    <t>1.8294132588265175</t>
  </si>
  <si>
    <t>B2-24c</t>
  </si>
  <si>
    <t>23.436077861569853</t>
  </si>
  <si>
    <t>76.88986545083377</t>
  </si>
  <si>
    <t>1.8446532893065783</t>
  </si>
  <si>
    <t>B2-48a</t>
  </si>
  <si>
    <t>47.40358175842642</t>
  </si>
  <si>
    <t>155.52325115243735</t>
  </si>
  <si>
    <t>1.8416052832105663</t>
  </si>
  <si>
    <t>B2-48b</t>
  </si>
  <si>
    <t>47.436600265984275</t>
  </si>
  <si>
    <t>155.6315793726501</t>
  </si>
  <si>
    <t>1.8525781051562102</t>
  </si>
  <si>
    <t>B2-48c</t>
  </si>
  <si>
    <t>47.44809446460967</t>
  </si>
  <si>
    <t>155.66928992264022</t>
  </si>
  <si>
    <t>1.849530099060198</t>
  </si>
  <si>
    <t>GiantMarsh</t>
  </si>
  <si>
    <t>GM2</t>
  </si>
  <si>
    <t>Gm2-48a</t>
  </si>
  <si>
    <t>155.17804768688234</t>
  </si>
  <si>
    <t>1.8733045466090932</t>
  </si>
  <si>
    <t>Gm2-48b</t>
  </si>
  <si>
    <t>47.28494288407532</t>
  </si>
  <si>
    <t>155.13401677883712</t>
  </si>
  <si>
    <t>1.8970789941579882</t>
  </si>
  <si>
    <t>Gm2-48c</t>
  </si>
  <si>
    <t>47.27076120202496</t>
  </si>
  <si>
    <t>155.08748904364356</t>
  </si>
  <si>
    <t>Gm2-24a</t>
  </si>
  <si>
    <t>23.414425164105342</t>
  </si>
  <si>
    <t>76.81882655923562</t>
  </si>
  <si>
    <t>1.9357886715773431</t>
  </si>
  <si>
    <t>Gm2-24b</t>
  </si>
  <si>
    <t>23.41023589145738</t>
  </si>
  <si>
    <t>76.80508225388975</t>
  </si>
  <si>
    <t>1.9406654813309625</t>
  </si>
  <si>
    <t>Gm2-24c</t>
  </si>
  <si>
    <t>23.426542850842104</t>
  </si>
  <si>
    <t>76.85858266980448</t>
  </si>
  <si>
    <t>1.9354838709677418</t>
  </si>
  <si>
    <t>Gm2-18a</t>
  </si>
  <si>
    <t>17.600759213408857</t>
  </si>
  <si>
    <t>57.74515751932556</t>
  </si>
  <si>
    <t>1.9610871221742443</t>
  </si>
  <si>
    <t>Gm2-18b</t>
  </si>
  <si>
    <t>17.579509458178237</t>
  </si>
  <si>
    <t>57.675440614039765</t>
  </si>
  <si>
    <t>1.9516383032766063</t>
  </si>
  <si>
    <t>Gm2-18c</t>
  </si>
  <si>
    <t>17.529120131320038</t>
  </si>
  <si>
    <t>57.51012163083916</t>
  </si>
  <si>
    <t>1.9586487172974345</t>
  </si>
  <si>
    <t>Gm2-12a</t>
  </si>
  <si>
    <t>11.399261017939777</t>
  </si>
  <si>
    <t>37.39907552302409</t>
  </si>
  <si>
    <t>1.9333502667005333</t>
  </si>
  <si>
    <t>Gm2-12b</t>
  </si>
  <si>
    <t>11.43104924018463</t>
  </si>
  <si>
    <t>37.50336738217241</t>
  </si>
  <si>
    <t>Gm2-12c</t>
  </si>
  <si>
    <t>11.449372699316172</t>
  </si>
  <si>
    <t>37.56348359767314</t>
  </si>
  <si>
    <t>1.9318262636525272</t>
  </si>
  <si>
    <t>Gm2-6a</t>
  </si>
  <si>
    <t>5.356749416341912</t>
  </si>
  <si>
    <t>17.574602043448422</t>
  </si>
  <si>
    <t>Gm2-6b</t>
  </si>
  <si>
    <t>5.3929680761710905</t>
  </si>
  <si>
    <t>17.693429429904654</t>
  </si>
  <si>
    <t>1.9434086868173737</t>
  </si>
  <si>
    <t>Gm2-6c</t>
  </si>
  <si>
    <t>5.384395251829661</t>
  </si>
  <si>
    <t>17.66530342204448</t>
  </si>
  <si>
    <t>1.9473710947421894</t>
  </si>
  <si>
    <t>Gm2-2a</t>
  </si>
  <si>
    <t>1.5906818443337452</t>
  </si>
  <si>
    <t>5.218762017618296</t>
  </si>
  <si>
    <t>2.0616713233426465</t>
  </si>
  <si>
    <t>Gm2-2b</t>
  </si>
  <si>
    <t>1.6036699918616482</t>
  </si>
  <si>
    <t>5.261373964966091</t>
  </si>
  <si>
    <t>2.054051308102616</t>
  </si>
  <si>
    <t>Gm2-2c</t>
  </si>
  <si>
    <t>1.6662771358466497</t>
  </si>
  <si>
    <t>5.466777569856884</t>
  </si>
  <si>
    <t>2.0564897129794257</t>
  </si>
  <si>
    <t>Gm2-0.5a</t>
  </si>
  <si>
    <t>2.0357632715265432</t>
  </si>
  <si>
    <t>Gm2-0.5b</t>
  </si>
  <si>
    <t>0.13612341991840468</t>
  </si>
  <si>
    <t>0.44659825351563276</t>
  </si>
  <si>
    <t>2.041249682499365</t>
  </si>
  <si>
    <t>Gm2-0.5c</t>
  </si>
  <si>
    <t>0.25609527868615534</t>
  </si>
  <si>
    <t>2.0519177038354077</t>
  </si>
  <si>
    <t>GM1</t>
  </si>
  <si>
    <t>Gm1-0.5a</t>
  </si>
  <si>
    <t>Gm1-0.5b</t>
  </si>
  <si>
    <t>0.10778268472705585</t>
  </si>
  <si>
    <t>0.3536170248086824</t>
  </si>
  <si>
    <t>2.066243332486665</t>
  </si>
  <si>
    <t>Gm1-0.5c</t>
  </si>
  <si>
    <t>0.25021883863678374</t>
  </si>
  <si>
    <t>0.8209263064275146</t>
  </si>
  <si>
    <t>2.0574041148082296</t>
  </si>
  <si>
    <t>Gm1-2a</t>
  </si>
  <si>
    <t>1.4179062928825865</t>
  </si>
  <si>
    <t>4.651914229232286</t>
  </si>
  <si>
    <t>2.0183896367792733</t>
  </si>
  <si>
    <t>Gm1-2b</t>
  </si>
  <si>
    <t>1.4060863095769378</t>
  </si>
  <si>
    <t>2.019304038608077</t>
  </si>
  <si>
    <t>Gm1-2c</t>
  </si>
  <si>
    <t>1.498214430969085</t>
  </si>
  <si>
    <t>4.915391845604407</t>
  </si>
  <si>
    <t>2.0189992379984756</t>
  </si>
  <si>
    <t>Gm1-6a</t>
  </si>
  <si>
    <t>5.456929893806435</t>
  </si>
  <si>
    <t>17.90327749326328</t>
  </si>
  <si>
    <t>1.9723647447294894</t>
  </si>
  <si>
    <t>Gm1-6b</t>
  </si>
  <si>
    <t>5.507688155148302</t>
  </si>
  <si>
    <t>18.069806889015723</t>
  </si>
  <si>
    <t>1.9793751587503172</t>
  </si>
  <si>
    <t>Gm1-6c</t>
  </si>
  <si>
    <t>5.547957561996354</t>
  </si>
  <si>
    <t>18.201924101316372</t>
  </si>
  <si>
    <t>1.9763271526543051</t>
  </si>
  <si>
    <t>Gm1-12a</t>
  </si>
  <si>
    <t>11.49913082140036</t>
  </si>
  <si>
    <t>37.726731703211016</t>
  </si>
  <si>
    <t>1.9418846837693675</t>
  </si>
  <si>
    <t>Gm1-12b</t>
  </si>
  <si>
    <t>11.494379385616833</t>
  </si>
  <si>
    <t>37.71114303431123</t>
  </si>
  <si>
    <t>1.9495046990093978</t>
  </si>
  <si>
    <t>Gm1-12c</t>
  </si>
  <si>
    <t>11.511888268762116</t>
  </si>
  <si>
    <t>37.76858676176371</t>
  </si>
  <si>
    <t>1.9577343154686309</t>
  </si>
  <si>
    <t>Gm1-18a</t>
  </si>
  <si>
    <t>17.535593592754687</t>
  </si>
  <si>
    <t>1.9580391160782322</t>
  </si>
  <si>
    <t>Gm1-18b</t>
  </si>
  <si>
    <t>17.553243030189297</t>
  </si>
  <si>
    <t>57.589264841546054</t>
  </si>
  <si>
    <t>1.9400558801117602</t>
  </si>
  <si>
    <t>Gm1-18c</t>
  </si>
  <si>
    <t>17.62891423170634</t>
  </si>
  <si>
    <t>57.83752944185655</t>
  </si>
  <si>
    <t>1.9348742697485393</t>
  </si>
  <si>
    <t>Gm1-24a</t>
  </si>
  <si>
    <t>23.45073479402216</t>
  </si>
  <si>
    <t>76.93795240338771</t>
  </si>
  <si>
    <t>Gm1-24b</t>
  </si>
  <si>
    <t>23.44980436212452</t>
  </si>
  <si>
    <t>76.93489981140354</t>
  </si>
  <si>
    <t>1.9467614935229869</t>
  </si>
  <si>
    <t>Gm1-24c</t>
  </si>
  <si>
    <t>23.466319230634426</t>
  </si>
  <si>
    <t>76.98908234250645</t>
  </si>
  <si>
    <t>1.952247904495809</t>
  </si>
  <si>
    <t>Gm1-48a</t>
  </si>
  <si>
    <t>47.53360189869639</t>
  </si>
  <si>
    <t>155.94982556263975</t>
  </si>
  <si>
    <t>Gm1-48b</t>
  </si>
  <si>
    <t>47.50350282071231</t>
  </si>
  <si>
    <t>1.8595885191770383</t>
  </si>
  <si>
    <t>Gm1-48c</t>
  </si>
  <si>
    <t>47.48116587162983</t>
  </si>
  <si>
    <t>155.7777916971722</t>
  </si>
  <si>
    <t>1.8861061722123442</t>
  </si>
  <si>
    <t>Site</t>
  </si>
  <si>
    <t>Midpoint x coordinate</t>
  </si>
  <si>
    <t xml:space="preserve">midpoint y coordinate </t>
  </si>
  <si>
    <t>Nearest Station ID</t>
  </si>
  <si>
    <t>B</t>
  </si>
  <si>
    <t>S</t>
  </si>
  <si>
    <t xml:space="preserve">Nearest Distance (m) </t>
  </si>
  <si>
    <t>C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</si>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</sst>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717EC-0FD1-4CE8-ACCA-2E2875DEEDD7}">
  <dimension ref="A1:Q171"/>
  <sheetViews>
    <sheetView tabSelected="1" workbookViewId="0">
      <selection activeCell="S13" sqref="S13"/>
    </sheetView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 t="s">
        <v>19</v>
      </c>
      <c r="D2">
        <v>2234502.4909999999</v>
      </c>
      <c r="E2">
        <v>5993852.6320000002</v>
      </c>
      <c r="F2">
        <v>0</v>
      </c>
      <c r="G2">
        <v>0</v>
      </c>
      <c r="H2">
        <v>5.5979999999999999</v>
      </c>
      <c r="I2" s="1" t="s">
        <v>20</v>
      </c>
      <c r="J2" s="2">
        <v>46087</v>
      </c>
      <c r="K2" t="s">
        <v>21</v>
      </c>
      <c r="L2" t="s">
        <v>21</v>
      </c>
      <c r="M2" t="s">
        <v>21</v>
      </c>
      <c r="N2">
        <v>145</v>
      </c>
      <c r="O2">
        <v>3.3950650000000002</v>
      </c>
      <c r="P2">
        <v>6.2503799999999998</v>
      </c>
      <c r="Q2">
        <f>(H2-O2)/(P2-O2)</f>
        <v>0.77152083045128117</v>
      </c>
    </row>
    <row r="3" spans="1:17" x14ac:dyDescent="0.3">
      <c r="A3" t="s">
        <v>17</v>
      </c>
      <c r="B3" t="s">
        <v>18</v>
      </c>
      <c r="C3" t="s">
        <v>22</v>
      </c>
      <c r="D3">
        <v>2234502.4440000001</v>
      </c>
      <c r="E3">
        <v>5993852.1469999999</v>
      </c>
      <c r="F3">
        <v>0.14852080200000001</v>
      </c>
      <c r="G3" s="1" t="s">
        <v>23</v>
      </c>
      <c r="H3">
        <v>5.6520000000000001</v>
      </c>
      <c r="I3" s="1" t="s">
        <v>24</v>
      </c>
      <c r="J3" s="2">
        <v>46087</v>
      </c>
      <c r="K3" t="s">
        <v>21</v>
      </c>
      <c r="L3" t="s">
        <v>21</v>
      </c>
      <c r="M3" t="s">
        <v>21</v>
      </c>
      <c r="N3">
        <v>145</v>
      </c>
      <c r="O3">
        <v>3.3950650000000002</v>
      </c>
      <c r="P3">
        <v>6.2503799999999998</v>
      </c>
      <c r="Q3">
        <f t="shared" ref="Q3:Q43" si="0">(H3-O3)/(P3-O3)</f>
        <v>0.79043292946662636</v>
      </c>
    </row>
    <row r="4" spans="1:17" x14ac:dyDescent="0.3">
      <c r="A4" t="s">
        <v>17</v>
      </c>
      <c r="B4" t="s">
        <v>18</v>
      </c>
      <c r="C4" t="s">
        <v>25</v>
      </c>
      <c r="D4">
        <v>2234502.4300000002</v>
      </c>
      <c r="E4">
        <v>5993851.7309999997</v>
      </c>
      <c r="F4" s="1" t="s">
        <v>26</v>
      </c>
      <c r="G4" s="1" t="s">
        <v>27</v>
      </c>
      <c r="H4">
        <v>5.6529999999999996</v>
      </c>
      <c r="I4" s="1" t="s">
        <v>28</v>
      </c>
      <c r="J4" s="2">
        <v>46087</v>
      </c>
      <c r="K4" t="s">
        <v>21</v>
      </c>
      <c r="L4" t="s">
        <v>21</v>
      </c>
      <c r="M4" t="s">
        <v>21</v>
      </c>
      <c r="N4">
        <v>145</v>
      </c>
      <c r="O4">
        <v>3.3950650000000002</v>
      </c>
      <c r="P4">
        <v>6.2503799999999998</v>
      </c>
      <c r="Q4">
        <f t="shared" si="0"/>
        <v>0.79078315352246586</v>
      </c>
    </row>
    <row r="5" spans="1:17" x14ac:dyDescent="0.3">
      <c r="A5" t="s">
        <v>17</v>
      </c>
      <c r="B5" t="s">
        <v>18</v>
      </c>
      <c r="C5" t="s">
        <v>29</v>
      </c>
      <c r="D5">
        <v>2234507.5109999999</v>
      </c>
      <c r="E5">
        <v>5993851.4950000001</v>
      </c>
      <c r="F5" s="1" t="s">
        <v>30</v>
      </c>
      <c r="G5" s="1" t="s">
        <v>31</v>
      </c>
      <c r="H5">
        <v>5.5490000000000004</v>
      </c>
      <c r="I5" s="1" t="s">
        <v>32</v>
      </c>
      <c r="J5" s="2">
        <v>46087</v>
      </c>
      <c r="K5" t="s">
        <v>21</v>
      </c>
      <c r="L5" t="s">
        <v>21</v>
      </c>
      <c r="M5" t="s">
        <v>21</v>
      </c>
      <c r="N5">
        <v>145</v>
      </c>
      <c r="O5">
        <v>3.3950650000000002</v>
      </c>
      <c r="P5">
        <v>6.2503799999999998</v>
      </c>
      <c r="Q5">
        <f t="shared" si="0"/>
        <v>0.75435985171513487</v>
      </c>
    </row>
    <row r="6" spans="1:17" x14ac:dyDescent="0.3">
      <c r="A6" t="s">
        <v>17</v>
      </c>
      <c r="B6" t="s">
        <v>18</v>
      </c>
      <c r="C6" t="s">
        <v>33</v>
      </c>
      <c r="D6">
        <v>2234507.3139999998</v>
      </c>
      <c r="E6">
        <v>5993850.9979999997</v>
      </c>
      <c r="F6" s="1" t="s">
        <v>34</v>
      </c>
      <c r="G6" s="1" t="s">
        <v>35</v>
      </c>
      <c r="H6">
        <v>5.6440000000000001</v>
      </c>
      <c r="I6" s="1" t="s">
        <v>36</v>
      </c>
      <c r="J6" s="2">
        <v>46087</v>
      </c>
      <c r="K6" t="s">
        <v>21</v>
      </c>
      <c r="L6" t="s">
        <v>21</v>
      </c>
      <c r="M6" t="s">
        <v>21</v>
      </c>
      <c r="N6">
        <v>145</v>
      </c>
      <c r="O6">
        <v>3.3950650000000002</v>
      </c>
      <c r="P6">
        <v>6.2503799999999998</v>
      </c>
      <c r="Q6">
        <f t="shared" si="0"/>
        <v>0.78763113701990861</v>
      </c>
    </row>
    <row r="7" spans="1:17" x14ac:dyDescent="0.3">
      <c r="A7" t="s">
        <v>17</v>
      </c>
      <c r="B7" t="s">
        <v>18</v>
      </c>
      <c r="C7" t="s">
        <v>37</v>
      </c>
      <c r="D7">
        <v>2234507.5499999998</v>
      </c>
      <c r="E7">
        <v>5993850.3789999997</v>
      </c>
      <c r="F7" s="1" t="s">
        <v>38</v>
      </c>
      <c r="G7" s="1" t="s">
        <v>39</v>
      </c>
      <c r="H7">
        <v>5.758</v>
      </c>
      <c r="I7" s="1" t="s">
        <v>40</v>
      </c>
      <c r="J7" s="2">
        <v>46087</v>
      </c>
      <c r="K7" t="s">
        <v>21</v>
      </c>
      <c r="L7" t="s">
        <v>21</v>
      </c>
      <c r="M7" t="s">
        <v>21</v>
      </c>
      <c r="N7">
        <v>145</v>
      </c>
      <c r="O7">
        <v>3.3950650000000002</v>
      </c>
      <c r="P7">
        <v>6.2503799999999998</v>
      </c>
      <c r="Q7">
        <f t="shared" si="0"/>
        <v>0.82755667938563704</v>
      </c>
    </row>
    <row r="8" spans="1:17" x14ac:dyDescent="0.3">
      <c r="A8" t="s">
        <v>17</v>
      </c>
      <c r="B8" t="s">
        <v>18</v>
      </c>
      <c r="C8" t="s">
        <v>41</v>
      </c>
      <c r="D8">
        <v>2234520.5329999998</v>
      </c>
      <c r="E8">
        <v>5993853.0970000001</v>
      </c>
      <c r="F8" s="1" t="s">
        <v>42</v>
      </c>
      <c r="G8" s="1" t="s">
        <v>43</v>
      </c>
      <c r="H8">
        <v>5.9930000000000003</v>
      </c>
      <c r="I8" s="1" t="s">
        <v>44</v>
      </c>
      <c r="J8" s="2">
        <v>46087</v>
      </c>
      <c r="K8" t="s">
        <v>21</v>
      </c>
      <c r="L8" t="s">
        <v>21</v>
      </c>
      <c r="M8" t="s">
        <v>21</v>
      </c>
      <c r="N8">
        <v>145</v>
      </c>
      <c r="O8">
        <v>3.3950650000000002</v>
      </c>
      <c r="P8">
        <v>6.2503799999999998</v>
      </c>
      <c r="Q8">
        <f t="shared" si="0"/>
        <v>0.90985933250797213</v>
      </c>
    </row>
    <row r="9" spans="1:17" x14ac:dyDescent="0.3">
      <c r="A9" t="s">
        <v>17</v>
      </c>
      <c r="B9" t="s">
        <v>18</v>
      </c>
      <c r="C9" t="s">
        <v>45</v>
      </c>
      <c r="D9">
        <v>2234520.5809999998</v>
      </c>
      <c r="E9">
        <v>5993852.8260000004</v>
      </c>
      <c r="F9" s="1" t="s">
        <v>46</v>
      </c>
      <c r="G9" s="1" t="s">
        <v>47</v>
      </c>
      <c r="H9">
        <v>5.9889999999999999</v>
      </c>
      <c r="I9" s="1" t="s">
        <v>48</v>
      </c>
      <c r="J9" s="2">
        <v>46087</v>
      </c>
      <c r="K9" t="s">
        <v>21</v>
      </c>
      <c r="L9" t="s">
        <v>21</v>
      </c>
      <c r="M9" t="s">
        <v>21</v>
      </c>
      <c r="N9">
        <v>145</v>
      </c>
      <c r="O9">
        <v>3.3950650000000002</v>
      </c>
      <c r="P9">
        <v>6.2503799999999998</v>
      </c>
      <c r="Q9">
        <f t="shared" si="0"/>
        <v>0.90845843628461309</v>
      </c>
    </row>
    <row r="10" spans="1:17" x14ac:dyDescent="0.3">
      <c r="A10" t="s">
        <v>17</v>
      </c>
      <c r="B10" t="s">
        <v>18</v>
      </c>
      <c r="C10" t="s">
        <v>49</v>
      </c>
      <c r="D10">
        <v>2234520.5099999998</v>
      </c>
      <c r="E10">
        <v>5993852.46</v>
      </c>
      <c r="F10" s="1" t="s">
        <v>50</v>
      </c>
      <c r="G10" s="1" t="s">
        <v>51</v>
      </c>
      <c r="H10">
        <v>6.0039999999999996</v>
      </c>
      <c r="I10" s="1" t="s">
        <v>52</v>
      </c>
      <c r="J10" s="2">
        <v>46087</v>
      </c>
      <c r="K10" t="s">
        <v>21</v>
      </c>
      <c r="L10" t="s">
        <v>21</v>
      </c>
      <c r="M10" t="s">
        <v>21</v>
      </c>
      <c r="N10">
        <v>145</v>
      </c>
      <c r="O10">
        <v>3.3950650000000002</v>
      </c>
      <c r="P10">
        <v>6.2503799999999998</v>
      </c>
      <c r="Q10">
        <f t="shared" si="0"/>
        <v>0.91371179712220885</v>
      </c>
    </row>
    <row r="11" spans="1:17" x14ac:dyDescent="0.3">
      <c r="A11" t="s">
        <v>17</v>
      </c>
      <c r="B11" t="s">
        <v>18</v>
      </c>
      <c r="C11" t="s">
        <v>53</v>
      </c>
      <c r="D11">
        <v>2234540.4300000002</v>
      </c>
      <c r="E11">
        <v>5993853.227</v>
      </c>
      <c r="F11" s="1" t="s">
        <v>54</v>
      </c>
      <c r="G11" s="1" t="s">
        <v>55</v>
      </c>
      <c r="H11">
        <v>6.1589999999999998</v>
      </c>
      <c r="I11" s="1" t="s">
        <v>56</v>
      </c>
      <c r="J11" s="2">
        <v>46087</v>
      </c>
      <c r="K11" t="s">
        <v>21</v>
      </c>
      <c r="L11" t="s">
        <v>21</v>
      </c>
      <c r="M11" t="s">
        <v>21</v>
      </c>
      <c r="N11">
        <v>145</v>
      </c>
      <c r="O11">
        <v>3.3950650000000002</v>
      </c>
      <c r="P11">
        <v>6.2503799999999998</v>
      </c>
      <c r="Q11">
        <f t="shared" si="0"/>
        <v>0.96799652577736606</v>
      </c>
    </row>
    <row r="12" spans="1:17" x14ac:dyDescent="0.3">
      <c r="A12" t="s">
        <v>17</v>
      </c>
      <c r="B12" t="s">
        <v>18</v>
      </c>
      <c r="C12" t="s">
        <v>57</v>
      </c>
      <c r="D12">
        <v>2234540.4840000002</v>
      </c>
      <c r="E12">
        <v>5993852.8260000004</v>
      </c>
      <c r="F12" s="1" t="s">
        <v>58</v>
      </c>
      <c r="G12" s="1" t="s">
        <v>59</v>
      </c>
      <c r="H12">
        <v>6.2</v>
      </c>
      <c r="I12" s="1" t="s">
        <v>60</v>
      </c>
      <c r="J12" s="2">
        <v>46087</v>
      </c>
      <c r="K12" t="s">
        <v>21</v>
      </c>
      <c r="L12" t="s">
        <v>21</v>
      </c>
      <c r="M12" t="s">
        <v>21</v>
      </c>
      <c r="N12">
        <v>145</v>
      </c>
      <c r="O12">
        <v>3.3950650000000002</v>
      </c>
      <c r="P12">
        <v>6.2503799999999998</v>
      </c>
      <c r="Q12">
        <f t="shared" si="0"/>
        <v>0.98235571206679484</v>
      </c>
    </row>
    <row r="13" spans="1:17" x14ac:dyDescent="0.3">
      <c r="A13" t="s">
        <v>17</v>
      </c>
      <c r="B13" t="s">
        <v>18</v>
      </c>
      <c r="C13" t="s">
        <v>61</v>
      </c>
      <c r="D13">
        <v>2234540.4840000002</v>
      </c>
      <c r="E13">
        <v>5993852.324</v>
      </c>
      <c r="F13" s="1" t="s">
        <v>62</v>
      </c>
      <c r="G13" s="1" t="s">
        <v>63</v>
      </c>
      <c r="H13">
        <v>6.1849999999999996</v>
      </c>
      <c r="I13" s="1" t="s">
        <v>64</v>
      </c>
      <c r="J13" s="2">
        <v>46087</v>
      </c>
      <c r="K13" t="s">
        <v>21</v>
      </c>
      <c r="L13" t="s">
        <v>21</v>
      </c>
      <c r="M13" t="s">
        <v>21</v>
      </c>
      <c r="N13">
        <v>145</v>
      </c>
      <c r="O13">
        <v>3.3950650000000002</v>
      </c>
      <c r="P13">
        <v>6.2503799999999998</v>
      </c>
      <c r="Q13">
        <f t="shared" si="0"/>
        <v>0.97710235122919875</v>
      </c>
    </row>
    <row r="14" spans="1:17" x14ac:dyDescent="0.3">
      <c r="A14" t="s">
        <v>17</v>
      </c>
      <c r="B14" t="s">
        <v>18</v>
      </c>
      <c r="C14" t="s">
        <v>65</v>
      </c>
      <c r="D14">
        <v>2234559.9049999998</v>
      </c>
      <c r="E14">
        <v>5993854.4740000004</v>
      </c>
      <c r="F14" s="1" t="s">
        <v>66</v>
      </c>
      <c r="G14" s="1" t="s">
        <v>67</v>
      </c>
      <c r="H14">
        <v>6.4889999999999999</v>
      </c>
      <c r="I14" s="1" t="s">
        <v>68</v>
      </c>
      <c r="J14" s="2">
        <v>46087</v>
      </c>
      <c r="K14" t="s">
        <v>21</v>
      </c>
      <c r="L14" t="s">
        <v>21</v>
      </c>
      <c r="M14" t="s">
        <v>21</v>
      </c>
      <c r="N14">
        <v>145</v>
      </c>
      <c r="O14">
        <v>3.3950650000000002</v>
      </c>
      <c r="P14">
        <v>6.2503799999999998</v>
      </c>
      <c r="Q14">
        <f t="shared" si="0"/>
        <v>1.0835704642044748</v>
      </c>
    </row>
    <row r="15" spans="1:17" x14ac:dyDescent="0.3">
      <c r="A15" t="s">
        <v>17</v>
      </c>
      <c r="B15" t="s">
        <v>18</v>
      </c>
      <c r="C15" t="s">
        <v>69</v>
      </c>
      <c r="D15">
        <v>2234559.8939999999</v>
      </c>
      <c r="E15">
        <v>5993854.0810000002</v>
      </c>
      <c r="F15" s="1" t="s">
        <v>70</v>
      </c>
      <c r="G15" s="1" t="s">
        <v>71</v>
      </c>
      <c r="H15">
        <v>6.5229999999999997</v>
      </c>
      <c r="I15" s="1" t="s">
        <v>72</v>
      </c>
      <c r="J15" s="2">
        <v>46087</v>
      </c>
      <c r="K15" t="s">
        <v>21</v>
      </c>
      <c r="L15" t="s">
        <v>21</v>
      </c>
      <c r="M15" t="s">
        <v>21</v>
      </c>
      <c r="N15">
        <v>145</v>
      </c>
      <c r="O15">
        <v>3.3950650000000002</v>
      </c>
      <c r="P15">
        <v>6.2503799999999998</v>
      </c>
      <c r="Q15">
        <f t="shared" si="0"/>
        <v>1.0954780821030254</v>
      </c>
    </row>
    <row r="16" spans="1:17" x14ac:dyDescent="0.3">
      <c r="A16" t="s">
        <v>17</v>
      </c>
      <c r="B16" t="s">
        <v>18</v>
      </c>
      <c r="C16" t="s">
        <v>73</v>
      </c>
      <c r="D16">
        <v>2234559.9049999998</v>
      </c>
      <c r="E16">
        <v>5993853.6339999996</v>
      </c>
      <c r="F16" s="1" t="s">
        <v>74</v>
      </c>
      <c r="G16">
        <v>57.422742880000001</v>
      </c>
      <c r="H16">
        <v>6.5350000000000001</v>
      </c>
      <c r="I16" s="1" t="s">
        <v>75</v>
      </c>
      <c r="J16" s="2">
        <v>46087</v>
      </c>
      <c r="K16" t="s">
        <v>21</v>
      </c>
      <c r="L16" t="s">
        <v>21</v>
      </c>
      <c r="M16" t="s">
        <v>21</v>
      </c>
      <c r="N16">
        <v>145</v>
      </c>
      <c r="O16">
        <v>3.3950650000000002</v>
      </c>
      <c r="P16">
        <v>6.2503799999999998</v>
      </c>
      <c r="Q16">
        <f t="shared" si="0"/>
        <v>1.0996807707731022</v>
      </c>
    </row>
    <row r="17" spans="1:17" x14ac:dyDescent="0.3">
      <c r="A17" t="s">
        <v>17</v>
      </c>
      <c r="B17" t="s">
        <v>18</v>
      </c>
      <c r="C17" t="s">
        <v>76</v>
      </c>
      <c r="D17">
        <v>2234579.2069999999</v>
      </c>
      <c r="E17">
        <v>5993855.2089999998</v>
      </c>
      <c r="F17" s="1" t="s">
        <v>77</v>
      </c>
      <c r="G17" s="1" t="s">
        <v>78</v>
      </c>
      <c r="H17">
        <v>6.48</v>
      </c>
      <c r="I17" s="1" t="s">
        <v>79</v>
      </c>
      <c r="J17" s="2">
        <v>46087</v>
      </c>
      <c r="K17" t="s">
        <v>21</v>
      </c>
      <c r="L17" t="s">
        <v>21</v>
      </c>
      <c r="M17" t="s">
        <v>21</v>
      </c>
      <c r="N17">
        <v>145</v>
      </c>
      <c r="O17">
        <v>3.3950650000000002</v>
      </c>
      <c r="P17">
        <v>6.2503799999999998</v>
      </c>
      <c r="Q17">
        <f t="shared" si="0"/>
        <v>1.0804184477019174</v>
      </c>
    </row>
    <row r="18" spans="1:17" x14ac:dyDescent="0.3">
      <c r="A18" t="s">
        <v>17</v>
      </c>
      <c r="B18" t="s">
        <v>18</v>
      </c>
      <c r="C18" t="s">
        <v>80</v>
      </c>
      <c r="D18">
        <v>2234579.088</v>
      </c>
      <c r="E18">
        <v>5993854.8140000002</v>
      </c>
      <c r="F18" s="1" t="s">
        <v>81</v>
      </c>
      <c r="G18" s="1" t="s">
        <v>82</v>
      </c>
      <c r="H18">
        <v>6.5119999999999996</v>
      </c>
      <c r="I18" s="1" t="s">
        <v>83</v>
      </c>
      <c r="J18" s="2">
        <v>46087</v>
      </c>
      <c r="K18" t="s">
        <v>21</v>
      </c>
      <c r="L18" t="s">
        <v>21</v>
      </c>
      <c r="M18" t="s">
        <v>21</v>
      </c>
      <c r="N18">
        <v>145</v>
      </c>
      <c r="O18">
        <v>3.3950650000000002</v>
      </c>
      <c r="P18">
        <v>6.2503799999999998</v>
      </c>
      <c r="Q18">
        <f t="shared" si="0"/>
        <v>1.0916256174887884</v>
      </c>
    </row>
    <row r="19" spans="1:17" x14ac:dyDescent="0.3">
      <c r="A19" t="s">
        <v>17</v>
      </c>
      <c r="B19" t="s">
        <v>18</v>
      </c>
      <c r="C19" t="s">
        <v>84</v>
      </c>
      <c r="D19">
        <v>2234579.0070000002</v>
      </c>
      <c r="E19">
        <v>5993854.4919999996</v>
      </c>
      <c r="F19" s="1" t="s">
        <v>85</v>
      </c>
      <c r="G19" s="1" t="s">
        <v>86</v>
      </c>
      <c r="H19">
        <v>6.48</v>
      </c>
      <c r="I19" s="1" t="s">
        <v>79</v>
      </c>
      <c r="J19" s="2">
        <v>46087</v>
      </c>
      <c r="K19" t="s">
        <v>21</v>
      </c>
      <c r="L19" t="s">
        <v>21</v>
      </c>
      <c r="M19" t="s">
        <v>21</v>
      </c>
      <c r="N19">
        <v>145</v>
      </c>
      <c r="O19">
        <v>3.3950650000000002</v>
      </c>
      <c r="P19">
        <v>6.2503799999999998</v>
      </c>
      <c r="Q19">
        <f t="shared" si="0"/>
        <v>1.0804184477019174</v>
      </c>
    </row>
    <row r="20" spans="1:17" x14ac:dyDescent="0.3">
      <c r="A20" t="s">
        <v>17</v>
      </c>
      <c r="B20" t="s">
        <v>18</v>
      </c>
      <c r="C20" t="s">
        <v>87</v>
      </c>
      <c r="D20">
        <v>2234657.9700000002</v>
      </c>
      <c r="E20">
        <v>5993858.5839999998</v>
      </c>
      <c r="F20" s="1" t="s">
        <v>88</v>
      </c>
      <c r="G20">
        <v>155.59288459999999</v>
      </c>
      <c r="H20">
        <v>6.6050000000000004</v>
      </c>
      <c r="I20" s="1" t="s">
        <v>89</v>
      </c>
      <c r="J20" s="2">
        <v>46087</v>
      </c>
      <c r="K20" t="s">
        <v>21</v>
      </c>
      <c r="L20" t="s">
        <v>21</v>
      </c>
      <c r="M20" t="s">
        <v>21</v>
      </c>
      <c r="N20">
        <v>145</v>
      </c>
      <c r="O20">
        <v>3.3950650000000002</v>
      </c>
      <c r="P20">
        <v>6.2503799999999998</v>
      </c>
      <c r="Q20">
        <f t="shared" si="0"/>
        <v>1.124196454681883</v>
      </c>
    </row>
    <row r="21" spans="1:17" x14ac:dyDescent="0.3">
      <c r="A21" t="s">
        <v>17</v>
      </c>
      <c r="B21" t="s">
        <v>18</v>
      </c>
      <c r="C21" t="s">
        <v>90</v>
      </c>
      <c r="D21">
        <v>2234658.1239999998</v>
      </c>
      <c r="E21">
        <v>5993858.1940000001</v>
      </c>
      <c r="F21" s="1" t="s">
        <v>91</v>
      </c>
      <c r="G21" s="1" t="s">
        <v>92</v>
      </c>
      <c r="H21">
        <v>6.6139999999999999</v>
      </c>
      <c r="I21" s="1" t="s">
        <v>93</v>
      </c>
      <c r="J21" s="2">
        <v>46087</v>
      </c>
      <c r="K21" t="s">
        <v>21</v>
      </c>
      <c r="L21" t="s">
        <v>21</v>
      </c>
      <c r="M21" t="s">
        <v>21</v>
      </c>
      <c r="N21">
        <v>145</v>
      </c>
      <c r="O21">
        <v>3.3950650000000002</v>
      </c>
      <c r="P21">
        <v>6.2503799999999998</v>
      </c>
      <c r="Q21">
        <f t="shared" si="0"/>
        <v>1.1273484711844404</v>
      </c>
    </row>
    <row r="22" spans="1:17" x14ac:dyDescent="0.3">
      <c r="A22" t="s">
        <v>17</v>
      </c>
      <c r="B22" t="s">
        <v>18</v>
      </c>
      <c r="C22" t="s">
        <v>94</v>
      </c>
      <c r="D22">
        <v>2234658.11</v>
      </c>
      <c r="E22">
        <v>5993857.7300000004</v>
      </c>
      <c r="F22" s="1" t="s">
        <v>95</v>
      </c>
      <c r="G22" s="1" t="s">
        <v>96</v>
      </c>
      <c r="H22">
        <v>6.609</v>
      </c>
      <c r="I22" s="1" t="s">
        <v>97</v>
      </c>
      <c r="J22" s="2">
        <v>46087</v>
      </c>
      <c r="K22" t="s">
        <v>21</v>
      </c>
      <c r="L22" t="s">
        <v>21</v>
      </c>
      <c r="M22" t="s">
        <v>21</v>
      </c>
      <c r="N22">
        <v>145</v>
      </c>
      <c r="O22">
        <v>3.3950650000000002</v>
      </c>
      <c r="P22">
        <v>6.2503799999999998</v>
      </c>
      <c r="Q22">
        <f t="shared" si="0"/>
        <v>1.1255973509052417</v>
      </c>
    </row>
    <row r="23" spans="1:17" x14ac:dyDescent="0.3">
      <c r="A23" t="s">
        <v>17</v>
      </c>
      <c r="B23" t="s">
        <v>98</v>
      </c>
      <c r="C23" t="s">
        <v>99</v>
      </c>
      <c r="D23">
        <v>2234492.7689999999</v>
      </c>
      <c r="E23">
        <v>5993735.3439999996</v>
      </c>
      <c r="F23">
        <v>0</v>
      </c>
      <c r="G23">
        <v>0</v>
      </c>
      <c r="H23">
        <v>5.6669999999999998</v>
      </c>
      <c r="I23" s="1" t="s">
        <v>100</v>
      </c>
      <c r="J23" s="2">
        <v>46087</v>
      </c>
      <c r="K23" t="s">
        <v>21</v>
      </c>
      <c r="L23" t="s">
        <v>21</v>
      </c>
      <c r="M23" t="s">
        <v>21</v>
      </c>
      <c r="N23">
        <v>145</v>
      </c>
      <c r="O23">
        <v>3.3950650000000002</v>
      </c>
      <c r="P23">
        <v>6.2503799999999998</v>
      </c>
      <c r="Q23">
        <f t="shared" si="0"/>
        <v>0.79568629030422211</v>
      </c>
    </row>
    <row r="24" spans="1:17" x14ac:dyDescent="0.3">
      <c r="A24" t="s">
        <v>17</v>
      </c>
      <c r="B24" t="s">
        <v>98</v>
      </c>
      <c r="C24" t="s">
        <v>101</v>
      </c>
      <c r="D24">
        <v>2234492.8110000002</v>
      </c>
      <c r="E24">
        <v>5993734.9129999997</v>
      </c>
      <c r="F24" s="1" t="s">
        <v>102</v>
      </c>
      <c r="G24" s="1" t="s">
        <v>103</v>
      </c>
      <c r="H24">
        <v>5.6749999999999998</v>
      </c>
      <c r="I24" s="1" t="s">
        <v>104</v>
      </c>
      <c r="J24" s="2">
        <v>46087</v>
      </c>
      <c r="K24" t="s">
        <v>21</v>
      </c>
      <c r="L24" t="s">
        <v>21</v>
      </c>
      <c r="M24" t="s">
        <v>21</v>
      </c>
      <c r="N24">
        <v>145</v>
      </c>
      <c r="O24">
        <v>3.3950650000000002</v>
      </c>
      <c r="P24">
        <v>6.2503799999999998</v>
      </c>
      <c r="Q24">
        <f t="shared" si="0"/>
        <v>0.79848808275093985</v>
      </c>
    </row>
    <row r="25" spans="1:17" x14ac:dyDescent="0.3">
      <c r="A25" t="s">
        <v>17</v>
      </c>
      <c r="B25" t="s">
        <v>98</v>
      </c>
      <c r="C25" t="s">
        <v>105</v>
      </c>
      <c r="D25">
        <v>2234492.787</v>
      </c>
      <c r="E25">
        <v>5993734.8360000001</v>
      </c>
      <c r="F25" s="1" t="s">
        <v>106</v>
      </c>
      <c r="G25" s="1" t="s">
        <v>107</v>
      </c>
      <c r="H25">
        <v>5.649</v>
      </c>
      <c r="I25" s="1" t="s">
        <v>108</v>
      </c>
      <c r="J25" s="2">
        <v>46087</v>
      </c>
      <c r="K25" t="s">
        <v>21</v>
      </c>
      <c r="L25" t="s">
        <v>21</v>
      </c>
      <c r="M25" t="s">
        <v>21</v>
      </c>
      <c r="N25">
        <v>145</v>
      </c>
      <c r="O25">
        <v>3.3950650000000002</v>
      </c>
      <c r="P25">
        <v>6.2503799999999998</v>
      </c>
      <c r="Q25">
        <f t="shared" si="0"/>
        <v>0.78938225729910716</v>
      </c>
    </row>
    <row r="26" spans="1:17" x14ac:dyDescent="0.3">
      <c r="A26" t="s">
        <v>17</v>
      </c>
      <c r="B26" t="s">
        <v>98</v>
      </c>
      <c r="C26" t="s">
        <v>109</v>
      </c>
      <c r="D26">
        <v>2234497.77</v>
      </c>
      <c r="E26">
        <v>5993735.0410000002</v>
      </c>
      <c r="F26" s="1" t="s">
        <v>110</v>
      </c>
      <c r="G26" s="1" t="s">
        <v>111</v>
      </c>
      <c r="H26">
        <v>5.7089999999999996</v>
      </c>
      <c r="I26" s="1" t="s">
        <v>112</v>
      </c>
      <c r="J26" s="2">
        <v>46087</v>
      </c>
      <c r="K26" t="s">
        <v>21</v>
      </c>
      <c r="L26" t="s">
        <v>21</v>
      </c>
      <c r="M26" t="s">
        <v>21</v>
      </c>
      <c r="N26">
        <v>145</v>
      </c>
      <c r="O26">
        <v>3.3950650000000002</v>
      </c>
      <c r="P26">
        <v>6.2503799999999998</v>
      </c>
      <c r="Q26">
        <f t="shared" si="0"/>
        <v>0.8103957006494904</v>
      </c>
    </row>
    <row r="27" spans="1:17" x14ac:dyDescent="0.3">
      <c r="A27" t="s">
        <v>17</v>
      </c>
      <c r="B27" t="s">
        <v>98</v>
      </c>
      <c r="C27" t="s">
        <v>113</v>
      </c>
      <c r="D27">
        <v>2234497.6189999999</v>
      </c>
      <c r="E27">
        <v>5993734.4369999999</v>
      </c>
      <c r="F27" s="1" t="s">
        <v>114</v>
      </c>
      <c r="G27">
        <v>4.9340803600000003</v>
      </c>
      <c r="H27">
        <v>5.7480000000000002</v>
      </c>
      <c r="I27" s="1" t="s">
        <v>115</v>
      </c>
      <c r="J27" s="2">
        <v>46087</v>
      </c>
      <c r="K27" t="s">
        <v>21</v>
      </c>
      <c r="L27" t="s">
        <v>21</v>
      </c>
      <c r="M27" t="s">
        <v>21</v>
      </c>
      <c r="N27">
        <v>145</v>
      </c>
      <c r="O27">
        <v>3.3950650000000002</v>
      </c>
      <c r="P27">
        <v>6.2503799999999998</v>
      </c>
      <c r="Q27">
        <f t="shared" si="0"/>
        <v>0.82405443882723983</v>
      </c>
    </row>
    <row r="28" spans="1:17" x14ac:dyDescent="0.3">
      <c r="A28" t="s">
        <v>17</v>
      </c>
      <c r="B28" t="s">
        <v>98</v>
      </c>
      <c r="C28" t="s">
        <v>116</v>
      </c>
      <c r="D28">
        <v>2234497.5830000001</v>
      </c>
      <c r="E28">
        <v>5993734.1610000003</v>
      </c>
      <c r="F28" s="1" t="s">
        <v>117</v>
      </c>
      <c r="G28" s="1" t="s">
        <v>118</v>
      </c>
      <c r="H28">
        <v>5.7430000000000003</v>
      </c>
      <c r="I28" s="1" t="s">
        <v>119</v>
      </c>
      <c r="J28" s="2">
        <v>46087</v>
      </c>
      <c r="K28" t="s">
        <v>21</v>
      </c>
      <c r="L28" t="s">
        <v>21</v>
      </c>
      <c r="M28" t="s">
        <v>21</v>
      </c>
      <c r="N28">
        <v>145</v>
      </c>
      <c r="O28">
        <v>3.3950650000000002</v>
      </c>
      <c r="P28">
        <v>6.2503799999999998</v>
      </c>
      <c r="Q28">
        <f t="shared" si="0"/>
        <v>0.82230331854804128</v>
      </c>
    </row>
    <row r="29" spans="1:17" x14ac:dyDescent="0.3">
      <c r="A29" t="s">
        <v>17</v>
      </c>
      <c r="B29" t="s">
        <v>98</v>
      </c>
      <c r="C29" t="s">
        <v>120</v>
      </c>
      <c r="D29">
        <v>2234510.7409999999</v>
      </c>
      <c r="E29">
        <v>5993733.79</v>
      </c>
      <c r="F29" s="1" t="s">
        <v>121</v>
      </c>
      <c r="G29" s="1" t="s">
        <v>122</v>
      </c>
      <c r="H29">
        <v>5.984</v>
      </c>
      <c r="I29" s="1" t="s">
        <v>123</v>
      </c>
      <c r="J29" s="2">
        <v>46087</v>
      </c>
      <c r="K29" t="s">
        <v>21</v>
      </c>
      <c r="L29" t="s">
        <v>21</v>
      </c>
      <c r="M29" t="s">
        <v>21</v>
      </c>
      <c r="N29">
        <v>145</v>
      </c>
      <c r="O29">
        <v>3.3950650000000002</v>
      </c>
      <c r="P29">
        <v>6.2503799999999998</v>
      </c>
      <c r="Q29">
        <f t="shared" si="0"/>
        <v>0.90670731600541454</v>
      </c>
    </row>
    <row r="30" spans="1:17" x14ac:dyDescent="0.3">
      <c r="A30" t="s">
        <v>17</v>
      </c>
      <c r="B30" t="s">
        <v>98</v>
      </c>
      <c r="C30" t="s">
        <v>124</v>
      </c>
      <c r="D30">
        <v>2234510.7850000001</v>
      </c>
      <c r="E30">
        <v>5993733.3909999998</v>
      </c>
      <c r="F30" s="1" t="s">
        <v>125</v>
      </c>
      <c r="G30" s="1" t="s">
        <v>126</v>
      </c>
      <c r="H30">
        <v>5.95</v>
      </c>
      <c r="I30" s="1" t="s">
        <v>127</v>
      </c>
      <c r="J30" s="2">
        <v>46087</v>
      </c>
      <c r="K30" t="s">
        <v>21</v>
      </c>
      <c r="L30" t="s">
        <v>21</v>
      </c>
      <c r="M30" t="s">
        <v>21</v>
      </c>
      <c r="N30">
        <v>145</v>
      </c>
      <c r="O30">
        <v>3.3950650000000002</v>
      </c>
      <c r="P30">
        <v>6.2503799999999998</v>
      </c>
      <c r="Q30">
        <f t="shared" si="0"/>
        <v>0.89479969810686399</v>
      </c>
    </row>
    <row r="31" spans="1:17" x14ac:dyDescent="0.3">
      <c r="A31" t="s">
        <v>17</v>
      </c>
      <c r="B31" t="s">
        <v>98</v>
      </c>
      <c r="C31" t="s">
        <v>128</v>
      </c>
      <c r="D31">
        <v>2234510.6570000001</v>
      </c>
      <c r="E31">
        <v>5993732.9249999998</v>
      </c>
      <c r="F31" s="1" t="s">
        <v>129</v>
      </c>
      <c r="G31" s="1" t="s">
        <v>130</v>
      </c>
      <c r="H31">
        <v>5.9329999999999998</v>
      </c>
      <c r="I31" s="1" t="s">
        <v>131</v>
      </c>
      <c r="J31" s="2">
        <v>46087</v>
      </c>
      <c r="K31" t="s">
        <v>21</v>
      </c>
      <c r="L31" t="s">
        <v>21</v>
      </c>
      <c r="M31" t="s">
        <v>21</v>
      </c>
      <c r="N31">
        <v>145</v>
      </c>
      <c r="O31">
        <v>3.3950650000000002</v>
      </c>
      <c r="P31">
        <v>6.2503799999999998</v>
      </c>
      <c r="Q31">
        <f t="shared" si="0"/>
        <v>0.88884588915758855</v>
      </c>
    </row>
    <row r="32" spans="1:17" x14ac:dyDescent="0.3">
      <c r="A32" t="s">
        <v>17</v>
      </c>
      <c r="B32" t="s">
        <v>98</v>
      </c>
      <c r="C32" t="s">
        <v>132</v>
      </c>
      <c r="D32">
        <v>2234530.5389999999</v>
      </c>
      <c r="E32">
        <v>5993732.0080000004</v>
      </c>
      <c r="F32" s="1" t="s">
        <v>133</v>
      </c>
      <c r="G32" s="1" t="s">
        <v>134</v>
      </c>
      <c r="H32">
        <v>6.2320000000000002</v>
      </c>
      <c r="I32" s="1" t="s">
        <v>135</v>
      </c>
      <c r="J32" s="2">
        <v>46087</v>
      </c>
      <c r="K32" t="s">
        <v>21</v>
      </c>
      <c r="L32" t="s">
        <v>21</v>
      </c>
      <c r="M32" t="s">
        <v>21</v>
      </c>
      <c r="N32">
        <v>145</v>
      </c>
      <c r="O32">
        <v>3.3950650000000002</v>
      </c>
      <c r="P32">
        <v>6.2503799999999998</v>
      </c>
      <c r="Q32">
        <f t="shared" si="0"/>
        <v>0.99356288185366604</v>
      </c>
    </row>
    <row r="33" spans="1:17" x14ac:dyDescent="0.3">
      <c r="A33" t="s">
        <v>17</v>
      </c>
      <c r="B33" t="s">
        <v>98</v>
      </c>
      <c r="C33" t="s">
        <v>136</v>
      </c>
      <c r="D33">
        <v>2234530.5049999999</v>
      </c>
      <c r="E33">
        <v>5993731.659</v>
      </c>
      <c r="F33" s="1" t="s">
        <v>137</v>
      </c>
      <c r="G33" s="1" t="s">
        <v>138</v>
      </c>
      <c r="H33">
        <v>6.2050000000000001</v>
      </c>
      <c r="I33" s="1" t="s">
        <v>139</v>
      </c>
      <c r="J33" s="2">
        <v>46087</v>
      </c>
      <c r="K33" t="s">
        <v>21</v>
      </c>
      <c r="L33" t="s">
        <v>21</v>
      </c>
      <c r="M33" t="s">
        <v>21</v>
      </c>
      <c r="N33">
        <v>145</v>
      </c>
      <c r="O33">
        <v>3.3950650000000002</v>
      </c>
      <c r="P33">
        <v>6.2503799999999998</v>
      </c>
      <c r="Q33">
        <f t="shared" si="0"/>
        <v>0.98410683234599339</v>
      </c>
    </row>
    <row r="34" spans="1:17" x14ac:dyDescent="0.3">
      <c r="A34" t="s">
        <v>17</v>
      </c>
      <c r="B34" t="s">
        <v>98</v>
      </c>
      <c r="C34" t="s">
        <v>140</v>
      </c>
      <c r="D34">
        <v>2234530.4470000002</v>
      </c>
      <c r="E34">
        <v>5993731.1890000002</v>
      </c>
      <c r="F34" s="1" t="s">
        <v>141</v>
      </c>
      <c r="G34">
        <v>37.906407229999999</v>
      </c>
      <c r="H34">
        <v>6.18</v>
      </c>
      <c r="I34" s="1" t="s">
        <v>142</v>
      </c>
      <c r="J34" s="2">
        <v>46087</v>
      </c>
      <c r="K34" t="s">
        <v>21</v>
      </c>
      <c r="L34" t="s">
        <v>21</v>
      </c>
      <c r="M34" t="s">
        <v>21</v>
      </c>
      <c r="N34">
        <v>145</v>
      </c>
      <c r="O34">
        <v>3.3950650000000002</v>
      </c>
      <c r="P34">
        <v>6.2503799999999998</v>
      </c>
      <c r="Q34">
        <f t="shared" si="0"/>
        <v>0.9753512309500002</v>
      </c>
    </row>
    <row r="35" spans="1:17" x14ac:dyDescent="0.3">
      <c r="A35" t="s">
        <v>17</v>
      </c>
      <c r="B35" t="s">
        <v>98</v>
      </c>
      <c r="C35" t="s">
        <v>143</v>
      </c>
      <c r="D35">
        <v>2234549.8769999999</v>
      </c>
      <c r="E35">
        <v>5993730.2989999996</v>
      </c>
      <c r="F35" s="1" t="s">
        <v>144</v>
      </c>
      <c r="G35" s="1" t="s">
        <v>145</v>
      </c>
      <c r="H35">
        <v>6.4560000000000004</v>
      </c>
      <c r="I35" s="1" t="s">
        <v>146</v>
      </c>
      <c r="J35" s="2">
        <v>46087</v>
      </c>
      <c r="K35" t="s">
        <v>21</v>
      </c>
      <c r="L35" t="s">
        <v>21</v>
      </c>
      <c r="M35" t="s">
        <v>21</v>
      </c>
      <c r="N35">
        <v>145</v>
      </c>
      <c r="O35">
        <v>3.3950650000000002</v>
      </c>
      <c r="P35">
        <v>6.2503799999999998</v>
      </c>
      <c r="Q35">
        <f t="shared" si="0"/>
        <v>1.0720130703617641</v>
      </c>
    </row>
    <row r="36" spans="1:17" x14ac:dyDescent="0.3">
      <c r="A36" t="s">
        <v>17</v>
      </c>
      <c r="B36" t="s">
        <v>98</v>
      </c>
      <c r="C36" t="s">
        <v>147</v>
      </c>
      <c r="D36">
        <v>2234550.1329999999</v>
      </c>
      <c r="E36">
        <v>5993729.7810000004</v>
      </c>
      <c r="F36" s="1" t="s">
        <v>148</v>
      </c>
      <c r="G36" s="1" t="s">
        <v>149</v>
      </c>
      <c r="H36">
        <v>6.4560000000000004</v>
      </c>
      <c r="I36" s="1" t="s">
        <v>146</v>
      </c>
      <c r="J36" s="2">
        <v>46087</v>
      </c>
      <c r="K36" t="s">
        <v>21</v>
      </c>
      <c r="L36" t="s">
        <v>21</v>
      </c>
      <c r="M36" t="s">
        <v>21</v>
      </c>
      <c r="N36">
        <v>145</v>
      </c>
      <c r="O36">
        <v>3.3950650000000002</v>
      </c>
      <c r="P36">
        <v>6.2503799999999998</v>
      </c>
      <c r="Q36">
        <f t="shared" si="0"/>
        <v>1.0720130703617641</v>
      </c>
    </row>
    <row r="37" spans="1:17" x14ac:dyDescent="0.3">
      <c r="A37" t="s">
        <v>17</v>
      </c>
      <c r="B37" t="s">
        <v>98</v>
      </c>
      <c r="C37" t="s">
        <v>150</v>
      </c>
      <c r="D37">
        <v>2234550.088</v>
      </c>
      <c r="E37">
        <v>5993729.2340000002</v>
      </c>
      <c r="F37" s="1" t="s">
        <v>151</v>
      </c>
      <c r="G37" s="1" t="s">
        <v>152</v>
      </c>
      <c r="H37">
        <v>6.4349999999999996</v>
      </c>
      <c r="I37" s="1" t="s">
        <v>153</v>
      </c>
      <c r="J37" s="2">
        <v>46087</v>
      </c>
      <c r="K37" t="s">
        <v>21</v>
      </c>
      <c r="L37" t="s">
        <v>21</v>
      </c>
      <c r="M37" t="s">
        <v>21</v>
      </c>
      <c r="N37">
        <v>145</v>
      </c>
      <c r="O37">
        <v>3.3950650000000002</v>
      </c>
      <c r="P37">
        <v>6.2503799999999998</v>
      </c>
      <c r="Q37">
        <f t="shared" si="0"/>
        <v>1.0646583651891297</v>
      </c>
    </row>
    <row r="38" spans="1:17" x14ac:dyDescent="0.3">
      <c r="A38" t="s">
        <v>17</v>
      </c>
      <c r="B38" t="s">
        <v>98</v>
      </c>
      <c r="C38" t="s">
        <v>154</v>
      </c>
      <c r="D38">
        <v>2234569.8259999999</v>
      </c>
      <c r="E38">
        <v>5993728.5930000003</v>
      </c>
      <c r="F38" s="1" t="s">
        <v>155</v>
      </c>
      <c r="G38" s="1" t="s">
        <v>156</v>
      </c>
      <c r="H38">
        <v>6.5620000000000003</v>
      </c>
      <c r="I38" s="1" t="s">
        <v>157</v>
      </c>
      <c r="J38" s="2">
        <v>46087</v>
      </c>
      <c r="K38" t="s">
        <v>21</v>
      </c>
      <c r="L38" t="s">
        <v>21</v>
      </c>
      <c r="M38" t="s">
        <v>21</v>
      </c>
      <c r="N38">
        <v>145</v>
      </c>
      <c r="O38">
        <v>3.3950650000000002</v>
      </c>
      <c r="P38">
        <v>6.2503799999999998</v>
      </c>
      <c r="Q38">
        <f t="shared" si="0"/>
        <v>1.1091368202807748</v>
      </c>
    </row>
    <row r="39" spans="1:17" x14ac:dyDescent="0.3">
      <c r="A39" t="s">
        <v>17</v>
      </c>
      <c r="B39" t="s">
        <v>98</v>
      </c>
      <c r="C39" t="s">
        <v>158</v>
      </c>
      <c r="D39">
        <v>2234569.8679999998</v>
      </c>
      <c r="E39">
        <v>5993728.2070000004</v>
      </c>
      <c r="F39" s="1" t="s">
        <v>159</v>
      </c>
      <c r="G39" s="1" t="s">
        <v>160</v>
      </c>
      <c r="H39">
        <v>6.5549999999999997</v>
      </c>
      <c r="I39" s="1" t="s">
        <v>161</v>
      </c>
      <c r="J39" s="2">
        <v>46087</v>
      </c>
      <c r="K39" t="s">
        <v>21</v>
      </c>
      <c r="L39" t="s">
        <v>21</v>
      </c>
      <c r="M39" t="s">
        <v>21</v>
      </c>
      <c r="N39">
        <v>145</v>
      </c>
      <c r="O39">
        <v>3.3950650000000002</v>
      </c>
      <c r="P39">
        <v>6.2503799999999998</v>
      </c>
      <c r="Q39">
        <f t="shared" si="0"/>
        <v>1.1066852518898966</v>
      </c>
    </row>
    <row r="40" spans="1:17" x14ac:dyDescent="0.3">
      <c r="A40" t="s">
        <v>17</v>
      </c>
      <c r="B40" t="s">
        <v>98</v>
      </c>
      <c r="C40" t="s">
        <v>162</v>
      </c>
      <c r="D40">
        <v>2234569.895</v>
      </c>
      <c r="E40">
        <v>5993727.8279999997</v>
      </c>
      <c r="F40" s="1" t="s">
        <v>163</v>
      </c>
      <c r="G40" s="1" t="s">
        <v>164</v>
      </c>
      <c r="H40">
        <v>6.5339999999999998</v>
      </c>
      <c r="I40" s="1" t="s">
        <v>165</v>
      </c>
      <c r="J40" s="2">
        <v>46087</v>
      </c>
      <c r="K40" t="s">
        <v>21</v>
      </c>
      <c r="L40" t="s">
        <v>21</v>
      </c>
      <c r="M40" t="s">
        <v>21</v>
      </c>
      <c r="N40">
        <v>145</v>
      </c>
      <c r="O40">
        <v>3.3950650000000002</v>
      </c>
      <c r="P40">
        <v>6.2503799999999998</v>
      </c>
      <c r="Q40">
        <f t="shared" si="0"/>
        <v>1.0993305467172623</v>
      </c>
    </row>
    <row r="41" spans="1:17" x14ac:dyDescent="0.3">
      <c r="A41" t="s">
        <v>17</v>
      </c>
      <c r="B41" t="s">
        <v>98</v>
      </c>
      <c r="C41" t="s">
        <v>166</v>
      </c>
      <c r="D41">
        <v>2234647.9300000002</v>
      </c>
      <c r="E41">
        <v>5993721.4450000003</v>
      </c>
      <c r="F41" s="1" t="s">
        <v>167</v>
      </c>
      <c r="G41" s="1" t="s">
        <v>168</v>
      </c>
      <c r="H41">
        <v>6.6070000000000002</v>
      </c>
      <c r="I41" s="1" t="s">
        <v>169</v>
      </c>
      <c r="J41" s="2">
        <v>46087</v>
      </c>
      <c r="K41" t="s">
        <v>21</v>
      </c>
      <c r="L41" t="s">
        <v>21</v>
      </c>
      <c r="M41" t="s">
        <v>21</v>
      </c>
      <c r="N41">
        <v>145</v>
      </c>
      <c r="O41">
        <v>3.3950650000000002</v>
      </c>
      <c r="P41">
        <v>6.2503799999999998</v>
      </c>
      <c r="Q41">
        <f t="shared" si="0"/>
        <v>1.1248969027935622</v>
      </c>
    </row>
    <row r="42" spans="1:17" x14ac:dyDescent="0.3">
      <c r="A42" t="s">
        <v>17</v>
      </c>
      <c r="B42" t="s">
        <v>98</v>
      </c>
      <c r="C42" t="s">
        <v>170</v>
      </c>
      <c r="D42">
        <v>2234647.9040000001</v>
      </c>
      <c r="E42">
        <v>5993721.1320000002</v>
      </c>
      <c r="F42" s="1" t="s">
        <v>171</v>
      </c>
      <c r="G42" s="1" t="s">
        <v>172</v>
      </c>
      <c r="H42">
        <v>6.6369999999999996</v>
      </c>
      <c r="I42" s="1" t="s">
        <v>173</v>
      </c>
      <c r="J42" s="2">
        <v>46087</v>
      </c>
      <c r="K42" t="s">
        <v>21</v>
      </c>
      <c r="L42" t="s">
        <v>21</v>
      </c>
      <c r="M42" t="s">
        <v>21</v>
      </c>
      <c r="N42">
        <v>145</v>
      </c>
      <c r="O42">
        <v>3.3950650000000002</v>
      </c>
      <c r="P42">
        <v>6.2503799999999998</v>
      </c>
      <c r="Q42">
        <f t="shared" si="0"/>
        <v>1.1354036244687538</v>
      </c>
    </row>
    <row r="43" spans="1:17" x14ac:dyDescent="0.3">
      <c r="A43" t="s">
        <v>17</v>
      </c>
      <c r="B43" t="s">
        <v>98</v>
      </c>
      <c r="C43" t="s">
        <v>174</v>
      </c>
      <c r="D43">
        <v>2234648.0350000001</v>
      </c>
      <c r="E43">
        <v>5993720.6950000003</v>
      </c>
      <c r="F43" s="1" t="s">
        <v>175</v>
      </c>
      <c r="G43" s="1" t="s">
        <v>176</v>
      </c>
      <c r="H43">
        <v>6.6289999999999996</v>
      </c>
      <c r="I43" s="1" t="s">
        <v>177</v>
      </c>
      <c r="J43" s="2">
        <v>46087</v>
      </c>
      <c r="K43" t="s">
        <v>21</v>
      </c>
      <c r="L43" t="s">
        <v>21</v>
      </c>
      <c r="M43" t="s">
        <v>21</v>
      </c>
      <c r="N43">
        <v>145</v>
      </c>
      <c r="O43">
        <v>3.3950650000000002</v>
      </c>
      <c r="P43">
        <v>6.2503799999999998</v>
      </c>
      <c r="Q43">
        <f t="shared" si="0"/>
        <v>1.1326018320220361</v>
      </c>
    </row>
    <row r="44" spans="1:17" x14ac:dyDescent="0.3">
      <c r="A44" t="s">
        <v>178</v>
      </c>
      <c r="B44" t="s">
        <v>179</v>
      </c>
      <c r="C44" t="s">
        <v>180</v>
      </c>
      <c r="D44">
        <v>2167132.639</v>
      </c>
      <c r="E44">
        <v>5983689.5999999996</v>
      </c>
      <c r="F44" s="1" t="s">
        <v>181</v>
      </c>
      <c r="G44" s="1" t="s">
        <v>182</v>
      </c>
      <c r="H44">
        <v>5.6840000000000002</v>
      </c>
      <c r="I44">
        <v>1.7324866649999999</v>
      </c>
      <c r="J44" s="2">
        <v>46087</v>
      </c>
      <c r="K44" t="s">
        <v>21</v>
      </c>
      <c r="L44" t="s">
        <v>183</v>
      </c>
      <c r="M44" t="s">
        <v>184</v>
      </c>
      <c r="N44">
        <v>335</v>
      </c>
      <c r="O44">
        <v>3.3196479999999999</v>
      </c>
      <c r="P44">
        <v>6.069566</v>
      </c>
      <c r="Q44">
        <f>(H44-O44)/(P44-O44)</f>
        <v>0.85979000101093928</v>
      </c>
    </row>
    <row r="45" spans="1:17" x14ac:dyDescent="0.3">
      <c r="A45" t="s">
        <v>178</v>
      </c>
      <c r="B45" t="s">
        <v>179</v>
      </c>
      <c r="C45" t="s">
        <v>185</v>
      </c>
      <c r="D45">
        <v>2167132.173</v>
      </c>
      <c r="E45">
        <v>5983689.7050000001</v>
      </c>
      <c r="F45" s="1" t="s">
        <v>186</v>
      </c>
      <c r="G45" s="1" t="s">
        <v>187</v>
      </c>
      <c r="H45">
        <v>5.6130000000000004</v>
      </c>
      <c r="I45" s="1" t="s">
        <v>188</v>
      </c>
      <c r="J45" s="2">
        <v>46087</v>
      </c>
      <c r="K45" t="s">
        <v>21</v>
      </c>
      <c r="L45" t="s">
        <v>21</v>
      </c>
      <c r="M45" t="s">
        <v>21</v>
      </c>
      <c r="N45">
        <v>335</v>
      </c>
      <c r="O45">
        <v>3.3196479999999999</v>
      </c>
      <c r="P45">
        <v>6.069566</v>
      </c>
      <c r="Q45">
        <f t="shared" ref="Q45:Q108" si="1">(H45-O45)/(P45-O45)</f>
        <v>0.8339710493185617</v>
      </c>
    </row>
    <row r="46" spans="1:17" x14ac:dyDescent="0.3">
      <c r="A46" t="s">
        <v>178</v>
      </c>
      <c r="B46" t="s">
        <v>179</v>
      </c>
      <c r="C46" t="s">
        <v>189</v>
      </c>
      <c r="D46">
        <v>2167131.764</v>
      </c>
      <c r="E46">
        <v>5983689.8739999998</v>
      </c>
      <c r="F46" s="1" t="s">
        <v>190</v>
      </c>
      <c r="G46" s="1" t="s">
        <v>191</v>
      </c>
      <c r="H46">
        <v>5.5990000000000002</v>
      </c>
      <c r="I46" s="1" t="s">
        <v>192</v>
      </c>
      <c r="J46" s="2">
        <v>46087</v>
      </c>
      <c r="K46" t="s">
        <v>21</v>
      </c>
      <c r="L46" t="s">
        <v>21</v>
      </c>
      <c r="M46" t="s">
        <v>21</v>
      </c>
      <c r="N46">
        <v>335</v>
      </c>
      <c r="O46">
        <v>3.3196479999999999</v>
      </c>
      <c r="P46">
        <v>6.069566</v>
      </c>
      <c r="Q46">
        <f t="shared" si="1"/>
        <v>0.82887998842147304</v>
      </c>
    </row>
    <row r="47" spans="1:17" x14ac:dyDescent="0.3">
      <c r="A47" t="s">
        <v>178</v>
      </c>
      <c r="B47" t="s">
        <v>179</v>
      </c>
      <c r="C47" t="s">
        <v>193</v>
      </c>
      <c r="D47">
        <v>2167159.4389999998</v>
      </c>
      <c r="E47">
        <v>5983759.8370000003</v>
      </c>
      <c r="F47" s="1" t="s">
        <v>194</v>
      </c>
      <c r="G47" s="1" t="s">
        <v>195</v>
      </c>
      <c r="H47">
        <v>5.6429999999999998</v>
      </c>
      <c r="I47" s="1" t="s">
        <v>196</v>
      </c>
      <c r="J47" s="2">
        <v>46087</v>
      </c>
      <c r="K47" t="s">
        <v>21</v>
      </c>
      <c r="L47" t="s">
        <v>21</v>
      </c>
      <c r="M47" t="s">
        <v>21</v>
      </c>
      <c r="N47">
        <v>335</v>
      </c>
      <c r="O47">
        <v>3.3196479999999999</v>
      </c>
      <c r="P47">
        <v>6.069566</v>
      </c>
      <c r="Q47">
        <f t="shared" si="1"/>
        <v>0.84488046552660834</v>
      </c>
    </row>
    <row r="48" spans="1:17" x14ac:dyDescent="0.3">
      <c r="A48" t="s">
        <v>178</v>
      </c>
      <c r="B48" t="s">
        <v>179</v>
      </c>
      <c r="C48" t="s">
        <v>197</v>
      </c>
      <c r="D48">
        <v>2167158.9139999999</v>
      </c>
      <c r="E48">
        <v>5983760.0800000001</v>
      </c>
      <c r="F48" s="1" t="s">
        <v>198</v>
      </c>
      <c r="G48" s="1" t="s">
        <v>199</v>
      </c>
      <c r="H48">
        <v>5.6379999999999999</v>
      </c>
      <c r="I48" s="1" t="s">
        <v>200</v>
      </c>
      <c r="J48" s="2">
        <v>46087</v>
      </c>
      <c r="K48" t="s">
        <v>21</v>
      </c>
      <c r="L48" t="s">
        <v>21</v>
      </c>
      <c r="M48" t="s">
        <v>21</v>
      </c>
      <c r="N48">
        <v>335</v>
      </c>
      <c r="O48">
        <v>3.3196479999999999</v>
      </c>
      <c r="P48">
        <v>6.069566</v>
      </c>
      <c r="Q48">
        <f t="shared" si="1"/>
        <v>0.84306222949193388</v>
      </c>
    </row>
    <row r="49" spans="1:17" x14ac:dyDescent="0.3">
      <c r="A49" t="s">
        <v>178</v>
      </c>
      <c r="B49" t="s">
        <v>179</v>
      </c>
      <c r="C49" t="s">
        <v>201</v>
      </c>
      <c r="D49">
        <v>2167158.4700000002</v>
      </c>
      <c r="E49">
        <v>5983760.1560000004</v>
      </c>
      <c r="F49">
        <v>23.402348780000001</v>
      </c>
      <c r="G49" s="1" t="s">
        <v>202</v>
      </c>
      <c r="H49">
        <v>5.6239999999999997</v>
      </c>
      <c r="I49" s="1" t="s">
        <v>203</v>
      </c>
      <c r="J49" s="2">
        <v>46087</v>
      </c>
      <c r="K49" t="s">
        <v>21</v>
      </c>
      <c r="L49" t="s">
        <v>21</v>
      </c>
      <c r="M49" t="s">
        <v>21</v>
      </c>
      <c r="N49">
        <v>335</v>
      </c>
      <c r="O49">
        <v>3.3196479999999999</v>
      </c>
      <c r="P49">
        <v>6.069566</v>
      </c>
      <c r="Q49">
        <f t="shared" si="1"/>
        <v>0.83797116859484522</v>
      </c>
    </row>
    <row r="50" spans="1:17" x14ac:dyDescent="0.3">
      <c r="A50" t="s">
        <v>178</v>
      </c>
      <c r="B50" t="s">
        <v>179</v>
      </c>
      <c r="C50" t="s">
        <v>204</v>
      </c>
      <c r="D50">
        <v>2167166.3190000001</v>
      </c>
      <c r="E50">
        <v>5983778.4100000001</v>
      </c>
      <c r="F50" s="1" t="s">
        <v>205</v>
      </c>
      <c r="G50" s="1" t="s">
        <v>206</v>
      </c>
      <c r="H50">
        <v>5.5110000000000001</v>
      </c>
      <c r="I50" s="1" t="s">
        <v>207</v>
      </c>
      <c r="J50" s="2">
        <v>46087</v>
      </c>
      <c r="K50" t="s">
        <v>21</v>
      </c>
      <c r="L50" t="s">
        <v>21</v>
      </c>
      <c r="M50" t="s">
        <v>21</v>
      </c>
      <c r="N50">
        <v>335</v>
      </c>
      <c r="O50">
        <v>3.3196479999999999</v>
      </c>
      <c r="P50">
        <v>6.069566</v>
      </c>
      <c r="Q50">
        <f t="shared" si="1"/>
        <v>0.79687903421120199</v>
      </c>
    </row>
    <row r="51" spans="1:17" x14ac:dyDescent="0.3">
      <c r="A51" t="s">
        <v>178</v>
      </c>
      <c r="B51" t="s">
        <v>179</v>
      </c>
      <c r="C51" t="s">
        <v>208</v>
      </c>
      <c r="D51">
        <v>2167165.9360000002</v>
      </c>
      <c r="E51">
        <v>5983778.7280000001</v>
      </c>
      <c r="F51" s="1" t="s">
        <v>209</v>
      </c>
      <c r="G51" s="1" t="s">
        <v>210</v>
      </c>
      <c r="H51">
        <v>5.4779999999999998</v>
      </c>
      <c r="I51" s="1" t="s">
        <v>211</v>
      </c>
      <c r="J51" s="2">
        <v>46087</v>
      </c>
      <c r="K51" t="s">
        <v>21</v>
      </c>
      <c r="L51" t="s">
        <v>21</v>
      </c>
      <c r="M51" t="s">
        <v>21</v>
      </c>
      <c r="N51">
        <v>335</v>
      </c>
      <c r="O51">
        <v>3.3196479999999999</v>
      </c>
      <c r="P51">
        <v>6.069566</v>
      </c>
      <c r="Q51">
        <f t="shared" si="1"/>
        <v>0.7848786763823502</v>
      </c>
    </row>
    <row r="52" spans="1:17" x14ac:dyDescent="0.3">
      <c r="A52" t="s">
        <v>178</v>
      </c>
      <c r="B52" t="s">
        <v>179</v>
      </c>
      <c r="C52" t="s">
        <v>212</v>
      </c>
      <c r="D52">
        <v>2167165.5019999999</v>
      </c>
      <c r="E52">
        <v>5983779.4179999996</v>
      </c>
      <c r="F52" s="1" t="s">
        <v>213</v>
      </c>
      <c r="G52" s="1" t="s">
        <v>214</v>
      </c>
      <c r="H52">
        <v>5.484</v>
      </c>
      <c r="I52" s="1" t="s">
        <v>215</v>
      </c>
      <c r="J52" s="2">
        <v>46087</v>
      </c>
      <c r="K52" t="s">
        <v>21</v>
      </c>
      <c r="L52" t="s">
        <v>21</v>
      </c>
      <c r="M52" t="s">
        <v>21</v>
      </c>
      <c r="N52">
        <v>335</v>
      </c>
      <c r="O52">
        <v>3.3196479999999999</v>
      </c>
      <c r="P52">
        <v>6.069566</v>
      </c>
      <c r="Q52">
        <f t="shared" si="1"/>
        <v>0.78706055962395971</v>
      </c>
    </row>
    <row r="53" spans="1:17" x14ac:dyDescent="0.3">
      <c r="A53" t="s">
        <v>178</v>
      </c>
      <c r="B53" t="s">
        <v>179</v>
      </c>
      <c r="C53" t="s">
        <v>216</v>
      </c>
      <c r="D53">
        <v>2167172.977</v>
      </c>
      <c r="E53">
        <v>5983797.0240000002</v>
      </c>
      <c r="F53" s="1" t="s">
        <v>217</v>
      </c>
      <c r="G53" s="1" t="s">
        <v>218</v>
      </c>
      <c r="H53">
        <v>5.3849999999999998</v>
      </c>
      <c r="I53" s="1" t="s">
        <v>219</v>
      </c>
      <c r="J53" s="2">
        <v>46087</v>
      </c>
      <c r="K53" t="s">
        <v>21</v>
      </c>
      <c r="L53" t="s">
        <v>21</v>
      </c>
      <c r="M53" t="s">
        <v>21</v>
      </c>
      <c r="N53">
        <v>335</v>
      </c>
      <c r="O53">
        <v>3.3196479999999999</v>
      </c>
      <c r="P53">
        <v>6.069566</v>
      </c>
      <c r="Q53">
        <f t="shared" si="1"/>
        <v>0.7510594861374047</v>
      </c>
    </row>
    <row r="54" spans="1:17" x14ac:dyDescent="0.3">
      <c r="A54" t="s">
        <v>178</v>
      </c>
      <c r="B54" t="s">
        <v>179</v>
      </c>
      <c r="C54" t="s">
        <v>220</v>
      </c>
      <c r="D54">
        <v>2167172.6009999998</v>
      </c>
      <c r="E54">
        <v>5983797.2410000004</v>
      </c>
      <c r="F54" s="1" t="s">
        <v>221</v>
      </c>
      <c r="G54">
        <v>37.093159610000001</v>
      </c>
      <c r="H54">
        <v>5.3959999999999999</v>
      </c>
      <c r="I54" s="1" t="s">
        <v>222</v>
      </c>
      <c r="J54" s="2">
        <v>46087</v>
      </c>
      <c r="K54" t="s">
        <v>21</v>
      </c>
      <c r="L54" t="s">
        <v>21</v>
      </c>
      <c r="M54" t="s">
        <v>21</v>
      </c>
      <c r="N54">
        <v>335</v>
      </c>
      <c r="O54">
        <v>3.3196479999999999</v>
      </c>
      <c r="P54">
        <v>6.069566</v>
      </c>
      <c r="Q54">
        <f t="shared" si="1"/>
        <v>0.75505960541368866</v>
      </c>
    </row>
    <row r="55" spans="1:17" x14ac:dyDescent="0.3">
      <c r="A55" t="s">
        <v>178</v>
      </c>
      <c r="B55" t="s">
        <v>179</v>
      </c>
      <c r="C55" t="s">
        <v>223</v>
      </c>
      <c r="D55">
        <v>2167172.0129999998</v>
      </c>
      <c r="E55">
        <v>5983797.4409999996</v>
      </c>
      <c r="F55" s="1" t="s">
        <v>224</v>
      </c>
      <c r="G55" s="1" t="s">
        <v>225</v>
      </c>
      <c r="H55">
        <v>5.4429999999999996</v>
      </c>
      <c r="I55" s="1" t="s">
        <v>226</v>
      </c>
      <c r="J55" s="2">
        <v>46087</v>
      </c>
      <c r="K55" t="s">
        <v>21</v>
      </c>
      <c r="L55" t="s">
        <v>21</v>
      </c>
      <c r="M55" t="s">
        <v>21</v>
      </c>
      <c r="N55">
        <v>335</v>
      </c>
      <c r="O55">
        <v>3.3196479999999999</v>
      </c>
      <c r="P55">
        <v>6.069566</v>
      </c>
      <c r="Q55">
        <f t="shared" si="1"/>
        <v>0.77215102413962877</v>
      </c>
    </row>
    <row r="56" spans="1:17" x14ac:dyDescent="0.3">
      <c r="A56" t="s">
        <v>178</v>
      </c>
      <c r="B56" t="s">
        <v>179</v>
      </c>
      <c r="C56" t="s">
        <v>227</v>
      </c>
      <c r="D56">
        <v>2167179.6170000001</v>
      </c>
      <c r="E56">
        <v>5983815.1270000003</v>
      </c>
      <c r="F56" s="1" t="s">
        <v>228</v>
      </c>
      <c r="G56" s="1" t="s">
        <v>229</v>
      </c>
      <c r="H56">
        <v>5.4610000000000003</v>
      </c>
      <c r="I56" s="1" t="s">
        <v>230</v>
      </c>
      <c r="J56" s="2">
        <v>46087</v>
      </c>
      <c r="K56" t="s">
        <v>21</v>
      </c>
      <c r="L56" t="s">
        <v>21</v>
      </c>
      <c r="M56" t="s">
        <v>21</v>
      </c>
      <c r="N56">
        <v>335</v>
      </c>
      <c r="O56">
        <v>3.3196479999999999</v>
      </c>
      <c r="P56">
        <v>6.069566</v>
      </c>
      <c r="Q56">
        <f t="shared" si="1"/>
        <v>0.77869667386445718</v>
      </c>
    </row>
    <row r="57" spans="1:17" x14ac:dyDescent="0.3">
      <c r="A57" t="s">
        <v>178</v>
      </c>
      <c r="B57" t="s">
        <v>179</v>
      </c>
      <c r="C57" t="s">
        <v>231</v>
      </c>
      <c r="D57">
        <v>2167179.19</v>
      </c>
      <c r="E57">
        <v>5983814.7170000002</v>
      </c>
      <c r="F57" s="1" t="s">
        <v>232</v>
      </c>
      <c r="G57" s="1" t="s">
        <v>233</v>
      </c>
      <c r="H57">
        <v>5.4530000000000003</v>
      </c>
      <c r="I57" s="1" t="s">
        <v>234</v>
      </c>
      <c r="J57" s="2">
        <v>46087</v>
      </c>
      <c r="K57" t="s">
        <v>21</v>
      </c>
      <c r="L57" t="s">
        <v>21</v>
      </c>
      <c r="M57" t="s">
        <v>21</v>
      </c>
      <c r="N57">
        <v>335</v>
      </c>
      <c r="O57">
        <v>3.3196479999999999</v>
      </c>
      <c r="P57">
        <v>6.069566</v>
      </c>
      <c r="Q57">
        <f t="shared" si="1"/>
        <v>0.77578749620897802</v>
      </c>
    </row>
    <row r="58" spans="1:17" x14ac:dyDescent="0.3">
      <c r="A58" t="s">
        <v>178</v>
      </c>
      <c r="B58" t="s">
        <v>179</v>
      </c>
      <c r="C58" t="s">
        <v>235</v>
      </c>
      <c r="D58">
        <v>2167178.7149999999</v>
      </c>
      <c r="E58">
        <v>5983814.8839999996</v>
      </c>
      <c r="F58">
        <v>5.6201268960000004</v>
      </c>
      <c r="G58" s="1" t="s">
        <v>236</v>
      </c>
      <c r="H58">
        <v>5.423</v>
      </c>
      <c r="I58" s="1" t="s">
        <v>237</v>
      </c>
      <c r="J58" s="2">
        <v>46087</v>
      </c>
      <c r="K58" t="s">
        <v>21</v>
      </c>
      <c r="L58" t="s">
        <v>21</v>
      </c>
      <c r="M58" t="s">
        <v>21</v>
      </c>
      <c r="N58">
        <v>335</v>
      </c>
      <c r="O58">
        <v>3.3196479999999999</v>
      </c>
      <c r="P58">
        <v>6.069566</v>
      </c>
      <c r="Q58">
        <f t="shared" si="1"/>
        <v>0.76487808000093094</v>
      </c>
    </row>
    <row r="59" spans="1:17" x14ac:dyDescent="0.3">
      <c r="A59" t="s">
        <v>178</v>
      </c>
      <c r="B59" t="s">
        <v>179</v>
      </c>
      <c r="C59" t="s">
        <v>238</v>
      </c>
      <c r="D59">
        <v>2167184.3629999999</v>
      </c>
      <c r="E59">
        <v>5983827.3909999998</v>
      </c>
      <c r="F59" s="1" t="s">
        <v>239</v>
      </c>
      <c r="G59" s="1" t="s">
        <v>240</v>
      </c>
      <c r="H59">
        <v>5.4009999999999998</v>
      </c>
      <c r="I59" s="1" t="s">
        <v>241</v>
      </c>
      <c r="J59" s="2">
        <v>46087</v>
      </c>
      <c r="K59" t="s">
        <v>21</v>
      </c>
      <c r="L59" t="s">
        <v>21</v>
      </c>
      <c r="M59" t="s">
        <v>21</v>
      </c>
      <c r="N59">
        <v>335</v>
      </c>
      <c r="O59">
        <v>3.3196479999999999</v>
      </c>
      <c r="P59">
        <v>6.069566</v>
      </c>
      <c r="Q59">
        <f t="shared" si="1"/>
        <v>0.75687784144836312</v>
      </c>
    </row>
    <row r="60" spans="1:17" x14ac:dyDescent="0.3">
      <c r="A60" t="s">
        <v>178</v>
      </c>
      <c r="B60" t="s">
        <v>179</v>
      </c>
      <c r="C60" t="s">
        <v>242</v>
      </c>
      <c r="D60">
        <v>2167183.7390000001</v>
      </c>
      <c r="E60">
        <v>5983827.6380000003</v>
      </c>
      <c r="F60" s="1" t="s">
        <v>243</v>
      </c>
      <c r="G60" s="1" t="s">
        <v>244</v>
      </c>
      <c r="H60">
        <v>5.407</v>
      </c>
      <c r="I60" s="1" t="s">
        <v>245</v>
      </c>
      <c r="J60" s="2">
        <v>46087</v>
      </c>
      <c r="K60" t="s">
        <v>21</v>
      </c>
      <c r="L60" t="s">
        <v>21</v>
      </c>
      <c r="M60" t="s">
        <v>21</v>
      </c>
      <c r="N60">
        <v>335</v>
      </c>
      <c r="O60">
        <v>3.3196479999999999</v>
      </c>
      <c r="P60">
        <v>6.069566</v>
      </c>
      <c r="Q60">
        <f t="shared" si="1"/>
        <v>0.75905972468997263</v>
      </c>
    </row>
    <row r="61" spans="1:17" x14ac:dyDescent="0.3">
      <c r="A61" t="s">
        <v>178</v>
      </c>
      <c r="B61" t="s">
        <v>179</v>
      </c>
      <c r="C61" t="s">
        <v>246</v>
      </c>
      <c r="D61">
        <v>2167183.33</v>
      </c>
      <c r="E61">
        <v>5983827.6220000004</v>
      </c>
      <c r="F61" s="1" t="s">
        <v>247</v>
      </c>
      <c r="G61" s="1" t="s">
        <v>248</v>
      </c>
      <c r="H61">
        <v>5.4009999999999998</v>
      </c>
      <c r="I61" s="1" t="s">
        <v>241</v>
      </c>
      <c r="J61" s="2">
        <v>46087</v>
      </c>
      <c r="K61" t="s">
        <v>21</v>
      </c>
      <c r="L61" t="s">
        <v>21</v>
      </c>
      <c r="M61" t="s">
        <v>21</v>
      </c>
      <c r="N61">
        <v>335</v>
      </c>
      <c r="O61">
        <v>3.3196479999999999</v>
      </c>
      <c r="P61">
        <v>6.069566</v>
      </c>
      <c r="Q61">
        <f t="shared" si="1"/>
        <v>0.75687784144836312</v>
      </c>
    </row>
    <row r="62" spans="1:17" x14ac:dyDescent="0.3">
      <c r="A62" t="s">
        <v>178</v>
      </c>
      <c r="B62" t="s">
        <v>179</v>
      </c>
      <c r="C62" t="s">
        <v>249</v>
      </c>
      <c r="D62">
        <v>2167185.8220000002</v>
      </c>
      <c r="E62">
        <v>5983831.898</v>
      </c>
      <c r="F62">
        <v>0</v>
      </c>
      <c r="G62">
        <v>0</v>
      </c>
      <c r="H62">
        <v>5.444</v>
      </c>
      <c r="I62" s="1" t="s">
        <v>250</v>
      </c>
      <c r="J62" s="2">
        <v>46087</v>
      </c>
      <c r="K62" t="s">
        <v>21</v>
      </c>
      <c r="L62" t="s">
        <v>21</v>
      </c>
      <c r="M62" t="s">
        <v>21</v>
      </c>
      <c r="N62">
        <v>335</v>
      </c>
      <c r="O62">
        <v>3.3196479999999999</v>
      </c>
      <c r="P62">
        <v>6.069566</v>
      </c>
      <c r="Q62">
        <f t="shared" si="1"/>
        <v>0.77251467134656382</v>
      </c>
    </row>
    <row r="63" spans="1:17" x14ac:dyDescent="0.3">
      <c r="A63" t="s">
        <v>178</v>
      </c>
      <c r="B63" t="s">
        <v>179</v>
      </c>
      <c r="C63" t="s">
        <v>251</v>
      </c>
      <c r="D63">
        <v>2167185.1460000002</v>
      </c>
      <c r="E63">
        <v>5983831.9970000004</v>
      </c>
      <c r="F63" s="1" t="s">
        <v>252</v>
      </c>
      <c r="G63" s="1" t="s">
        <v>253</v>
      </c>
      <c r="H63">
        <v>5.4740000000000002</v>
      </c>
      <c r="I63" s="1" t="s">
        <v>254</v>
      </c>
      <c r="J63" s="2">
        <v>46087</v>
      </c>
      <c r="K63" t="s">
        <v>21</v>
      </c>
      <c r="L63" t="s">
        <v>21</v>
      </c>
      <c r="M63" t="s">
        <v>21</v>
      </c>
      <c r="N63">
        <v>335</v>
      </c>
      <c r="O63">
        <v>3.3196479999999999</v>
      </c>
      <c r="P63">
        <v>6.069566</v>
      </c>
      <c r="Q63">
        <f t="shared" si="1"/>
        <v>0.78342408755461079</v>
      </c>
    </row>
    <row r="64" spans="1:17" x14ac:dyDescent="0.3">
      <c r="A64" t="s">
        <v>178</v>
      </c>
      <c r="B64" t="s">
        <v>179</v>
      </c>
      <c r="C64" t="s">
        <v>255</v>
      </c>
      <c r="D64">
        <v>2167184.5819999999</v>
      </c>
      <c r="E64">
        <v>5983831.9529999997</v>
      </c>
      <c r="F64" s="1" t="s">
        <v>256</v>
      </c>
      <c r="G64" s="1" t="s">
        <v>257</v>
      </c>
      <c r="H64">
        <v>5.4509999999999996</v>
      </c>
      <c r="I64" s="1" t="s">
        <v>258</v>
      </c>
      <c r="J64" s="2">
        <v>46087</v>
      </c>
      <c r="K64" t="s">
        <v>21</v>
      </c>
      <c r="L64" t="s">
        <v>21</v>
      </c>
      <c r="M64" t="s">
        <v>21</v>
      </c>
      <c r="N64">
        <v>335</v>
      </c>
      <c r="O64">
        <v>3.3196479999999999</v>
      </c>
      <c r="P64">
        <v>6.069566</v>
      </c>
      <c r="Q64">
        <f t="shared" si="1"/>
        <v>0.77506020179510793</v>
      </c>
    </row>
    <row r="65" spans="1:17" x14ac:dyDescent="0.3">
      <c r="A65" t="s">
        <v>178</v>
      </c>
      <c r="B65" t="s">
        <v>259</v>
      </c>
      <c r="C65" t="s">
        <v>260</v>
      </c>
      <c r="D65">
        <v>2167077.9190000002</v>
      </c>
      <c r="E65">
        <v>5983895.2549999999</v>
      </c>
      <c r="F65">
        <v>0</v>
      </c>
      <c r="G65">
        <v>0</v>
      </c>
      <c r="H65">
        <v>5.319</v>
      </c>
      <c r="I65" s="1" t="s">
        <v>261</v>
      </c>
      <c r="J65" s="2">
        <v>46087</v>
      </c>
      <c r="K65" t="s">
        <v>21</v>
      </c>
      <c r="L65" t="s">
        <v>21</v>
      </c>
      <c r="M65" t="s">
        <v>21</v>
      </c>
      <c r="N65">
        <v>335</v>
      </c>
      <c r="O65">
        <v>3.3196479999999999</v>
      </c>
      <c r="P65">
        <v>6.069566</v>
      </c>
      <c r="Q65">
        <f t="shared" si="1"/>
        <v>0.72705877047970158</v>
      </c>
    </row>
    <row r="66" spans="1:17" x14ac:dyDescent="0.3">
      <c r="A66" t="s">
        <v>178</v>
      </c>
      <c r="B66" t="s">
        <v>259</v>
      </c>
      <c r="C66" t="s">
        <v>262</v>
      </c>
      <c r="D66">
        <v>2167077.5440000002</v>
      </c>
      <c r="E66">
        <v>5983895.4630000005</v>
      </c>
      <c r="F66" s="1" t="s">
        <v>263</v>
      </c>
      <c r="G66" s="1" t="s">
        <v>264</v>
      </c>
      <c r="H66">
        <v>5.3780000000000001</v>
      </c>
      <c r="I66" s="1" t="s">
        <v>265</v>
      </c>
      <c r="J66" s="2">
        <v>46087</v>
      </c>
      <c r="K66" t="s">
        <v>21</v>
      </c>
      <c r="L66" t="s">
        <v>21</v>
      </c>
      <c r="M66" t="s">
        <v>21</v>
      </c>
      <c r="N66">
        <v>335</v>
      </c>
      <c r="O66">
        <v>3.3196479999999999</v>
      </c>
      <c r="P66">
        <v>6.069566</v>
      </c>
      <c r="Q66">
        <f t="shared" si="1"/>
        <v>0.74851395568886059</v>
      </c>
    </row>
    <row r="67" spans="1:17" x14ac:dyDescent="0.3">
      <c r="A67" t="s">
        <v>178</v>
      </c>
      <c r="B67" t="s">
        <v>259</v>
      </c>
      <c r="C67" t="s">
        <v>266</v>
      </c>
      <c r="D67">
        <v>2167077.1860000002</v>
      </c>
      <c r="E67">
        <v>5983895.6349999998</v>
      </c>
      <c r="F67" s="1" t="s">
        <v>267</v>
      </c>
      <c r="G67" s="1" t="s">
        <v>268</v>
      </c>
      <c r="H67">
        <v>5.4119999999999999</v>
      </c>
      <c r="I67" s="1" t="s">
        <v>269</v>
      </c>
      <c r="J67" s="2">
        <v>46087</v>
      </c>
      <c r="K67" t="s">
        <v>21</v>
      </c>
      <c r="L67" t="s">
        <v>21</v>
      </c>
      <c r="M67" t="s">
        <v>21</v>
      </c>
      <c r="N67">
        <v>335</v>
      </c>
      <c r="O67">
        <v>3.3196479999999999</v>
      </c>
      <c r="P67">
        <v>6.069566</v>
      </c>
      <c r="Q67">
        <f t="shared" si="1"/>
        <v>0.76087796072464708</v>
      </c>
    </row>
    <row r="68" spans="1:17" x14ac:dyDescent="0.3">
      <c r="A68" t="s">
        <v>178</v>
      </c>
      <c r="B68" t="s">
        <v>259</v>
      </c>
      <c r="C68" t="s">
        <v>270</v>
      </c>
      <c r="D68">
        <v>2167075.59</v>
      </c>
      <c r="E68">
        <v>5983891.5810000002</v>
      </c>
      <c r="F68" s="1" t="s">
        <v>271</v>
      </c>
      <c r="G68" s="1" t="s">
        <v>272</v>
      </c>
      <c r="H68">
        <v>5.4340000000000002</v>
      </c>
      <c r="I68" s="1" t="s">
        <v>273</v>
      </c>
      <c r="J68" s="2">
        <v>46087</v>
      </c>
      <c r="K68" t="s">
        <v>21</v>
      </c>
      <c r="L68" t="s">
        <v>21</v>
      </c>
      <c r="M68" t="s">
        <v>21</v>
      </c>
      <c r="N68">
        <v>335</v>
      </c>
      <c r="O68">
        <v>3.3196479999999999</v>
      </c>
      <c r="P68">
        <v>6.069566</v>
      </c>
      <c r="Q68">
        <f t="shared" si="1"/>
        <v>0.7688781992772149</v>
      </c>
    </row>
    <row r="69" spans="1:17" x14ac:dyDescent="0.3">
      <c r="A69" t="s">
        <v>178</v>
      </c>
      <c r="B69" t="s">
        <v>259</v>
      </c>
      <c r="C69" t="s">
        <v>274</v>
      </c>
      <c r="D69">
        <v>2167075.202</v>
      </c>
      <c r="E69">
        <v>5983891.7309999997</v>
      </c>
      <c r="F69" s="1" t="s">
        <v>275</v>
      </c>
      <c r="G69" s="1" t="s">
        <v>276</v>
      </c>
      <c r="H69">
        <v>5.4279999999999999</v>
      </c>
      <c r="I69" s="1" t="s">
        <v>277</v>
      </c>
      <c r="J69" s="2">
        <v>46087</v>
      </c>
      <c r="K69" t="s">
        <v>21</v>
      </c>
      <c r="L69" t="s">
        <v>21</v>
      </c>
      <c r="M69" t="s">
        <v>21</v>
      </c>
      <c r="N69">
        <v>335</v>
      </c>
      <c r="O69">
        <v>3.3196479999999999</v>
      </c>
      <c r="P69">
        <v>6.069566</v>
      </c>
      <c r="Q69">
        <f t="shared" si="1"/>
        <v>0.7666963160356054</v>
      </c>
    </row>
    <row r="70" spans="1:17" x14ac:dyDescent="0.3">
      <c r="A70" t="s">
        <v>178</v>
      </c>
      <c r="B70" t="s">
        <v>259</v>
      </c>
      <c r="C70" t="s">
        <v>278</v>
      </c>
      <c r="D70">
        <v>2167074.875</v>
      </c>
      <c r="E70">
        <v>5983891.7989999996</v>
      </c>
      <c r="F70" s="1" t="s">
        <v>279</v>
      </c>
      <c r="G70" s="1" t="s">
        <v>280</v>
      </c>
      <c r="H70">
        <v>5.4320000000000004</v>
      </c>
      <c r="I70" s="1" t="s">
        <v>281</v>
      </c>
      <c r="J70" s="2">
        <v>46087</v>
      </c>
      <c r="K70" t="s">
        <v>21</v>
      </c>
      <c r="L70" t="s">
        <v>21</v>
      </c>
      <c r="M70" t="s">
        <v>21</v>
      </c>
      <c r="N70">
        <v>335</v>
      </c>
      <c r="O70">
        <v>3.3196479999999999</v>
      </c>
      <c r="P70">
        <v>6.069566</v>
      </c>
      <c r="Q70">
        <f t="shared" si="1"/>
        <v>0.76815090486334514</v>
      </c>
    </row>
    <row r="71" spans="1:17" x14ac:dyDescent="0.3">
      <c r="A71" t="s">
        <v>178</v>
      </c>
      <c r="B71" t="s">
        <v>259</v>
      </c>
      <c r="C71" t="s">
        <v>282</v>
      </c>
      <c r="D71">
        <v>2167069.7969999998</v>
      </c>
      <c r="E71">
        <v>5983879.8279999997</v>
      </c>
      <c r="F71" s="1" t="s">
        <v>283</v>
      </c>
      <c r="G71" s="1" t="s">
        <v>284</v>
      </c>
      <c r="H71">
        <v>5.4539999999999997</v>
      </c>
      <c r="I71" s="1" t="s">
        <v>285</v>
      </c>
      <c r="J71" s="2">
        <v>46087</v>
      </c>
      <c r="K71" t="s">
        <v>21</v>
      </c>
      <c r="L71" t="s">
        <v>21</v>
      </c>
      <c r="M71" t="s">
        <v>21</v>
      </c>
      <c r="N71">
        <v>335</v>
      </c>
      <c r="O71">
        <v>3.3196479999999999</v>
      </c>
      <c r="P71">
        <v>6.069566</v>
      </c>
      <c r="Q71">
        <f t="shared" si="1"/>
        <v>0.77615114341591263</v>
      </c>
    </row>
    <row r="72" spans="1:17" x14ac:dyDescent="0.3">
      <c r="A72" t="s">
        <v>178</v>
      </c>
      <c r="B72" t="s">
        <v>259</v>
      </c>
      <c r="C72" t="s">
        <v>286</v>
      </c>
      <c r="D72">
        <v>2167069.338</v>
      </c>
      <c r="E72">
        <v>5983879.8650000002</v>
      </c>
      <c r="F72" s="1" t="s">
        <v>287</v>
      </c>
      <c r="G72" s="1" t="s">
        <v>288</v>
      </c>
      <c r="H72">
        <v>5.4880000000000004</v>
      </c>
      <c r="I72" s="1" t="s">
        <v>289</v>
      </c>
      <c r="J72" s="2">
        <v>46087</v>
      </c>
      <c r="K72" t="s">
        <v>21</v>
      </c>
      <c r="L72" t="s">
        <v>21</v>
      </c>
      <c r="M72" t="s">
        <v>21</v>
      </c>
      <c r="N72">
        <v>335</v>
      </c>
      <c r="O72">
        <v>3.3196479999999999</v>
      </c>
      <c r="P72">
        <v>6.069566</v>
      </c>
      <c r="Q72">
        <f t="shared" si="1"/>
        <v>0.78851514845169945</v>
      </c>
    </row>
    <row r="73" spans="1:17" x14ac:dyDescent="0.3">
      <c r="A73" t="s">
        <v>178</v>
      </c>
      <c r="B73" t="s">
        <v>259</v>
      </c>
      <c r="C73" t="s">
        <v>290</v>
      </c>
      <c r="D73">
        <v>2167068.7859999998</v>
      </c>
      <c r="E73">
        <v>5983880.1490000002</v>
      </c>
      <c r="F73" s="1" t="s">
        <v>291</v>
      </c>
      <c r="G73" s="1" t="s">
        <v>292</v>
      </c>
      <c r="H73">
        <v>5.4710000000000001</v>
      </c>
      <c r="I73" s="1" t="s">
        <v>293</v>
      </c>
      <c r="J73" s="2">
        <v>46087</v>
      </c>
      <c r="K73" t="s">
        <v>21</v>
      </c>
      <c r="L73" t="s">
        <v>21</v>
      </c>
      <c r="M73" t="s">
        <v>21</v>
      </c>
      <c r="N73">
        <v>335</v>
      </c>
      <c r="O73">
        <v>3.3196479999999999</v>
      </c>
      <c r="P73">
        <v>6.069566</v>
      </c>
      <c r="Q73">
        <f t="shared" si="1"/>
        <v>0.7823331459338061</v>
      </c>
    </row>
    <row r="74" spans="1:17" x14ac:dyDescent="0.3">
      <c r="A74" t="s">
        <v>178</v>
      </c>
      <c r="B74" t="s">
        <v>259</v>
      </c>
      <c r="C74" t="s">
        <v>294</v>
      </c>
      <c r="D74">
        <v>2167061.2030000002</v>
      </c>
      <c r="E74">
        <v>5983862.2630000003</v>
      </c>
      <c r="F74" s="1" t="s">
        <v>295</v>
      </c>
      <c r="G74" s="1" t="s">
        <v>296</v>
      </c>
      <c r="H74">
        <v>5.4619999999999997</v>
      </c>
      <c r="I74" s="1" t="s">
        <v>297</v>
      </c>
      <c r="J74" s="2">
        <v>46087</v>
      </c>
      <c r="K74" t="s">
        <v>21</v>
      </c>
      <c r="L74" t="s">
        <v>21</v>
      </c>
      <c r="M74" t="s">
        <v>21</v>
      </c>
      <c r="N74">
        <v>335</v>
      </c>
      <c r="O74">
        <v>3.3196479999999999</v>
      </c>
      <c r="P74">
        <v>6.069566</v>
      </c>
      <c r="Q74">
        <f t="shared" si="1"/>
        <v>0.77906032107139189</v>
      </c>
    </row>
    <row r="75" spans="1:17" x14ac:dyDescent="0.3">
      <c r="A75" t="s">
        <v>178</v>
      </c>
      <c r="B75" t="s">
        <v>259</v>
      </c>
      <c r="C75" t="s">
        <v>298</v>
      </c>
      <c r="D75">
        <v>2167060.75</v>
      </c>
      <c r="E75">
        <v>5983862.4960000003</v>
      </c>
      <c r="F75" s="1" t="s">
        <v>299</v>
      </c>
      <c r="G75" s="1" t="s">
        <v>300</v>
      </c>
      <c r="H75">
        <v>5.4630000000000001</v>
      </c>
      <c r="I75" s="1" t="s">
        <v>301</v>
      </c>
      <c r="J75" s="2">
        <v>46087</v>
      </c>
      <c r="K75" t="s">
        <v>21</v>
      </c>
      <c r="L75" t="s">
        <v>21</v>
      </c>
      <c r="M75" t="s">
        <v>21</v>
      </c>
      <c r="N75">
        <v>335</v>
      </c>
      <c r="O75">
        <v>3.3196479999999999</v>
      </c>
      <c r="P75">
        <v>6.069566</v>
      </c>
      <c r="Q75">
        <f t="shared" si="1"/>
        <v>0.77942396827832683</v>
      </c>
    </row>
    <row r="76" spans="1:17" x14ac:dyDescent="0.3">
      <c r="A76" t="s">
        <v>178</v>
      </c>
      <c r="B76" t="s">
        <v>259</v>
      </c>
      <c r="C76" t="s">
        <v>302</v>
      </c>
      <c r="D76">
        <v>2167060.318</v>
      </c>
      <c r="E76">
        <v>5983862.727</v>
      </c>
      <c r="F76" s="1" t="s">
        <v>303</v>
      </c>
      <c r="G76" s="1" t="s">
        <v>304</v>
      </c>
      <c r="H76">
        <v>5.4649999999999999</v>
      </c>
      <c r="I76" s="1" t="s">
        <v>305</v>
      </c>
      <c r="J76" s="2">
        <v>46087</v>
      </c>
      <c r="K76" t="s">
        <v>21</v>
      </c>
      <c r="L76" t="s">
        <v>21</v>
      </c>
      <c r="M76" t="s">
        <v>21</v>
      </c>
      <c r="N76">
        <v>335</v>
      </c>
      <c r="O76">
        <v>3.3196479999999999</v>
      </c>
      <c r="P76">
        <v>6.069566</v>
      </c>
      <c r="Q76">
        <f t="shared" si="1"/>
        <v>0.78015126269219659</v>
      </c>
    </row>
    <row r="77" spans="1:17" x14ac:dyDescent="0.3">
      <c r="A77" t="s">
        <v>178</v>
      </c>
      <c r="B77" t="s">
        <v>259</v>
      </c>
      <c r="C77" t="s">
        <v>306</v>
      </c>
      <c r="D77">
        <v>2167052.415</v>
      </c>
      <c r="E77">
        <v>5983844.29</v>
      </c>
      <c r="F77" s="1" t="s">
        <v>307</v>
      </c>
      <c r="G77" s="1" t="s">
        <v>308</v>
      </c>
      <c r="H77">
        <v>5.4539999999999997</v>
      </c>
      <c r="I77" s="1" t="s">
        <v>285</v>
      </c>
      <c r="J77" s="2">
        <v>46087</v>
      </c>
      <c r="K77" t="s">
        <v>21</v>
      </c>
      <c r="L77" t="s">
        <v>21</v>
      </c>
      <c r="M77" t="s">
        <v>21</v>
      </c>
      <c r="N77">
        <v>335</v>
      </c>
      <c r="O77">
        <v>3.3196479999999999</v>
      </c>
      <c r="P77">
        <v>6.069566</v>
      </c>
      <c r="Q77">
        <f t="shared" si="1"/>
        <v>0.77615114341591263</v>
      </c>
    </row>
    <row r="78" spans="1:17" x14ac:dyDescent="0.3">
      <c r="A78" t="s">
        <v>178</v>
      </c>
      <c r="B78" t="s">
        <v>259</v>
      </c>
      <c r="C78" t="s">
        <v>309</v>
      </c>
      <c r="D78">
        <v>2167052.0630000001</v>
      </c>
      <c r="E78">
        <v>5983844.5209999997</v>
      </c>
      <c r="F78" s="1" t="s">
        <v>310</v>
      </c>
      <c r="G78" s="1" t="s">
        <v>311</v>
      </c>
      <c r="H78">
        <v>5.47</v>
      </c>
      <c r="I78" s="1" t="s">
        <v>312</v>
      </c>
      <c r="J78" s="2">
        <v>46087</v>
      </c>
      <c r="K78" t="s">
        <v>21</v>
      </c>
      <c r="L78" t="s">
        <v>21</v>
      </c>
      <c r="M78" t="s">
        <v>21</v>
      </c>
      <c r="N78">
        <v>335</v>
      </c>
      <c r="O78">
        <v>3.3196479999999999</v>
      </c>
      <c r="P78">
        <v>6.069566</v>
      </c>
      <c r="Q78">
        <f t="shared" si="1"/>
        <v>0.78196949872687105</v>
      </c>
    </row>
    <row r="79" spans="1:17" x14ac:dyDescent="0.3">
      <c r="A79" t="s">
        <v>178</v>
      </c>
      <c r="B79" t="s">
        <v>259</v>
      </c>
      <c r="C79" t="s">
        <v>313</v>
      </c>
      <c r="D79">
        <v>2167051.699</v>
      </c>
      <c r="E79">
        <v>5983844.8959999997</v>
      </c>
      <c r="F79" s="1" t="s">
        <v>314</v>
      </c>
      <c r="G79" s="1" t="s">
        <v>315</v>
      </c>
      <c r="H79">
        <v>5.5030000000000001</v>
      </c>
      <c r="I79" s="1" t="s">
        <v>316</v>
      </c>
      <c r="J79" s="2">
        <v>46087</v>
      </c>
      <c r="K79" t="s">
        <v>21</v>
      </c>
      <c r="L79" t="s">
        <v>21</v>
      </c>
      <c r="M79" t="s">
        <v>21</v>
      </c>
      <c r="N79">
        <v>335</v>
      </c>
      <c r="O79">
        <v>3.3196479999999999</v>
      </c>
      <c r="P79">
        <v>6.069566</v>
      </c>
      <c r="Q79">
        <f t="shared" si="1"/>
        <v>0.79396985655572283</v>
      </c>
    </row>
    <row r="80" spans="1:17" x14ac:dyDescent="0.3">
      <c r="A80" t="s">
        <v>178</v>
      </c>
      <c r="B80" t="s">
        <v>259</v>
      </c>
      <c r="C80" t="s">
        <v>317</v>
      </c>
      <c r="D80">
        <v>2167043.625</v>
      </c>
      <c r="E80">
        <v>5983827.0800000001</v>
      </c>
      <c r="F80" s="1" t="s">
        <v>318</v>
      </c>
      <c r="G80" s="1" t="s">
        <v>319</v>
      </c>
      <c r="H80">
        <v>5.51</v>
      </c>
      <c r="I80" s="1" t="s">
        <v>320</v>
      </c>
      <c r="J80" s="2">
        <v>46087</v>
      </c>
      <c r="K80" t="s">
        <v>21</v>
      </c>
      <c r="L80" t="s">
        <v>21</v>
      </c>
      <c r="M80" t="s">
        <v>21</v>
      </c>
      <c r="N80">
        <v>335</v>
      </c>
      <c r="O80">
        <v>3.3196479999999999</v>
      </c>
      <c r="P80">
        <v>6.069566</v>
      </c>
      <c r="Q80">
        <f t="shared" si="1"/>
        <v>0.79651538700426694</v>
      </c>
    </row>
    <row r="81" spans="1:17" x14ac:dyDescent="0.3">
      <c r="A81" t="s">
        <v>178</v>
      </c>
      <c r="B81" t="s">
        <v>259</v>
      </c>
      <c r="C81" t="s">
        <v>321</v>
      </c>
      <c r="D81">
        <v>2167043.2319999998</v>
      </c>
      <c r="E81">
        <v>5983827.2960000001</v>
      </c>
      <c r="F81" s="1" t="s">
        <v>322</v>
      </c>
      <c r="G81" s="1" t="s">
        <v>323</v>
      </c>
      <c r="H81">
        <v>5.5259999999999998</v>
      </c>
      <c r="I81" s="1" t="s">
        <v>324</v>
      </c>
      <c r="J81" s="2">
        <v>46087</v>
      </c>
      <c r="K81" t="s">
        <v>21</v>
      </c>
      <c r="L81" t="s">
        <v>21</v>
      </c>
      <c r="M81" t="s">
        <v>21</v>
      </c>
      <c r="N81">
        <v>335</v>
      </c>
      <c r="O81">
        <v>3.3196479999999999</v>
      </c>
      <c r="P81">
        <v>6.069566</v>
      </c>
      <c r="Q81">
        <f t="shared" si="1"/>
        <v>0.80233374231522536</v>
      </c>
    </row>
    <row r="82" spans="1:17" x14ac:dyDescent="0.3">
      <c r="A82" t="s">
        <v>178</v>
      </c>
      <c r="B82" t="s">
        <v>259</v>
      </c>
      <c r="C82" t="s">
        <v>325</v>
      </c>
      <c r="D82">
        <v>2167042.9180000001</v>
      </c>
      <c r="E82">
        <v>5983827.4519999996</v>
      </c>
      <c r="F82" s="1" t="s">
        <v>326</v>
      </c>
      <c r="G82" s="1" t="s">
        <v>327</v>
      </c>
      <c r="H82">
        <v>5.4960000000000004</v>
      </c>
      <c r="I82" s="1" t="s">
        <v>328</v>
      </c>
      <c r="J82" s="2">
        <v>46087</v>
      </c>
      <c r="K82" t="s">
        <v>21</v>
      </c>
      <c r="L82" t="s">
        <v>21</v>
      </c>
      <c r="M82" t="s">
        <v>21</v>
      </c>
      <c r="N82">
        <v>335</v>
      </c>
      <c r="O82">
        <v>3.3196479999999999</v>
      </c>
      <c r="P82">
        <v>6.069566</v>
      </c>
      <c r="Q82">
        <f t="shared" si="1"/>
        <v>0.79142432610717861</v>
      </c>
    </row>
    <row r="83" spans="1:17" x14ac:dyDescent="0.3">
      <c r="A83" t="s">
        <v>178</v>
      </c>
      <c r="B83" t="s">
        <v>259</v>
      </c>
      <c r="C83" t="s">
        <v>329</v>
      </c>
      <c r="D83">
        <v>2167007.426</v>
      </c>
      <c r="E83">
        <v>5983757.142</v>
      </c>
      <c r="F83" s="1" t="s">
        <v>330</v>
      </c>
      <c r="G83" s="1" t="s">
        <v>331</v>
      </c>
      <c r="H83">
        <v>5.51</v>
      </c>
      <c r="I83" s="1" t="s">
        <v>320</v>
      </c>
      <c r="J83" s="2">
        <v>46087</v>
      </c>
      <c r="K83" t="s">
        <v>21</v>
      </c>
      <c r="L83" t="s">
        <v>21</v>
      </c>
      <c r="M83" t="s">
        <v>21</v>
      </c>
      <c r="N83">
        <v>335</v>
      </c>
      <c r="O83">
        <v>3.3196479999999999</v>
      </c>
      <c r="P83">
        <v>6.069566</v>
      </c>
      <c r="Q83">
        <f t="shared" si="1"/>
        <v>0.79651538700426694</v>
      </c>
    </row>
    <row r="84" spans="1:17" x14ac:dyDescent="0.3">
      <c r="A84" t="s">
        <v>178</v>
      </c>
      <c r="B84" t="s">
        <v>259</v>
      </c>
      <c r="C84" t="s">
        <v>332</v>
      </c>
      <c r="D84">
        <v>2167007.0389999999</v>
      </c>
      <c r="E84">
        <v>5983757.3119999999</v>
      </c>
      <c r="F84" s="1" t="s">
        <v>333</v>
      </c>
      <c r="G84" s="1" t="s">
        <v>334</v>
      </c>
      <c r="H84">
        <v>5.5190000000000001</v>
      </c>
      <c r="I84" s="1" t="s">
        <v>335</v>
      </c>
      <c r="J84" s="2">
        <v>46087</v>
      </c>
      <c r="K84" t="s">
        <v>21</v>
      </c>
      <c r="L84" t="s">
        <v>21</v>
      </c>
      <c r="M84" t="s">
        <v>21</v>
      </c>
      <c r="N84">
        <v>335</v>
      </c>
      <c r="O84">
        <v>3.3196479999999999</v>
      </c>
      <c r="P84">
        <v>6.069566</v>
      </c>
      <c r="Q84">
        <f t="shared" si="1"/>
        <v>0.79978821186668114</v>
      </c>
    </row>
    <row r="85" spans="1:17" x14ac:dyDescent="0.3">
      <c r="A85" t="s">
        <v>178</v>
      </c>
      <c r="B85" t="s">
        <v>259</v>
      </c>
      <c r="C85" t="s">
        <v>336</v>
      </c>
      <c r="D85">
        <v>2167006.7340000002</v>
      </c>
      <c r="E85">
        <v>5983757.426</v>
      </c>
      <c r="F85" s="1" t="s">
        <v>337</v>
      </c>
      <c r="G85" s="1" t="s">
        <v>338</v>
      </c>
      <c r="H85">
        <v>5.4889999999999999</v>
      </c>
      <c r="I85" s="1" t="s">
        <v>339</v>
      </c>
      <c r="J85" s="2">
        <v>46087</v>
      </c>
      <c r="K85" t="s">
        <v>21</v>
      </c>
      <c r="L85" t="s">
        <v>21</v>
      </c>
      <c r="M85" t="s">
        <v>21</v>
      </c>
      <c r="N85">
        <v>335</v>
      </c>
      <c r="O85">
        <v>3.3196479999999999</v>
      </c>
      <c r="P85">
        <v>6.069566</v>
      </c>
      <c r="Q85">
        <f t="shared" si="1"/>
        <v>0.78887879565863417</v>
      </c>
    </row>
    <row r="86" spans="1:17" x14ac:dyDescent="0.3">
      <c r="A86" t="s">
        <v>340</v>
      </c>
      <c r="B86" t="s">
        <v>341</v>
      </c>
      <c r="C86" t="s">
        <v>342</v>
      </c>
      <c r="D86">
        <v>2198385.4819999998</v>
      </c>
      <c r="E86">
        <v>5984794.7520000003</v>
      </c>
      <c r="F86" s="1" t="s">
        <v>343</v>
      </c>
      <c r="G86" s="1" t="s">
        <v>344</v>
      </c>
      <c r="H86">
        <v>6.0919999999999996</v>
      </c>
      <c r="I86" s="1" t="s">
        <v>345</v>
      </c>
      <c r="J86" s="2">
        <v>46087</v>
      </c>
      <c r="K86" t="s">
        <v>21</v>
      </c>
      <c r="L86" t="s">
        <v>21</v>
      </c>
      <c r="M86" t="s">
        <v>21</v>
      </c>
      <c r="N86">
        <v>390</v>
      </c>
      <c r="O86">
        <v>3.326333</v>
      </c>
      <c r="P86">
        <v>6.1515029999999999</v>
      </c>
      <c r="Q86">
        <f t="shared" si="1"/>
        <v>0.97893825858266925</v>
      </c>
    </row>
    <row r="87" spans="1:17" x14ac:dyDescent="0.3">
      <c r="A87" t="s">
        <v>340</v>
      </c>
      <c r="B87" t="s">
        <v>341</v>
      </c>
      <c r="C87" t="s">
        <v>346</v>
      </c>
      <c r="D87">
        <v>2198385.3050000002</v>
      </c>
      <c r="E87">
        <v>5984795.2089999998</v>
      </c>
      <c r="F87" s="1" t="s">
        <v>347</v>
      </c>
      <c r="G87" s="1" t="s">
        <v>348</v>
      </c>
      <c r="H87">
        <v>6.0720000000000001</v>
      </c>
      <c r="I87" s="1" t="s">
        <v>349</v>
      </c>
      <c r="J87" s="2">
        <v>46087</v>
      </c>
      <c r="K87" t="s">
        <v>21</v>
      </c>
      <c r="L87" t="s">
        <v>21</v>
      </c>
      <c r="M87" t="s">
        <v>21</v>
      </c>
      <c r="N87">
        <v>390</v>
      </c>
      <c r="O87">
        <v>3.326333</v>
      </c>
      <c r="P87">
        <v>6.1515029999999999</v>
      </c>
      <c r="Q87">
        <f t="shared" si="1"/>
        <v>0.97185903857113032</v>
      </c>
    </row>
    <row r="88" spans="1:17" x14ac:dyDescent="0.3">
      <c r="A88" t="s">
        <v>340</v>
      </c>
      <c r="B88" t="s">
        <v>341</v>
      </c>
      <c r="C88" t="s">
        <v>350</v>
      </c>
      <c r="D88">
        <v>2198385.2459999998</v>
      </c>
      <c r="E88">
        <v>5984795.7450000001</v>
      </c>
      <c r="F88" s="1" t="s">
        <v>351</v>
      </c>
      <c r="G88" s="1" t="s">
        <v>352</v>
      </c>
      <c r="H88">
        <v>6.0750000000000002</v>
      </c>
      <c r="I88" s="1" t="s">
        <v>353</v>
      </c>
      <c r="J88" s="2">
        <v>46087</v>
      </c>
      <c r="K88" t="s">
        <v>21</v>
      </c>
      <c r="L88" t="s">
        <v>21</v>
      </c>
      <c r="M88" t="s">
        <v>21</v>
      </c>
      <c r="N88">
        <v>390</v>
      </c>
      <c r="O88">
        <v>3.326333</v>
      </c>
      <c r="P88">
        <v>6.1515029999999999</v>
      </c>
      <c r="Q88">
        <f t="shared" si="1"/>
        <v>0.97292092157286114</v>
      </c>
    </row>
    <row r="89" spans="1:17" x14ac:dyDescent="0.3">
      <c r="A89" t="s">
        <v>340</v>
      </c>
      <c r="B89" t="s">
        <v>341</v>
      </c>
      <c r="C89" t="s">
        <v>354</v>
      </c>
      <c r="D89">
        <v>2198464.0970000001</v>
      </c>
      <c r="E89">
        <v>5984799.4019999998</v>
      </c>
      <c r="F89" s="1" t="s">
        <v>355</v>
      </c>
      <c r="G89" s="1" t="s">
        <v>356</v>
      </c>
      <c r="H89">
        <v>6.1159999999999997</v>
      </c>
      <c r="I89" s="1" t="s">
        <v>357</v>
      </c>
      <c r="J89" s="2">
        <v>46087</v>
      </c>
      <c r="K89" t="s">
        <v>21</v>
      </c>
      <c r="L89" t="s">
        <v>21</v>
      </c>
      <c r="M89" t="s">
        <v>21</v>
      </c>
      <c r="N89">
        <v>390</v>
      </c>
      <c r="O89">
        <v>3.326333</v>
      </c>
      <c r="P89">
        <v>6.1515029999999999</v>
      </c>
      <c r="Q89">
        <f t="shared" si="1"/>
        <v>0.98743332259651617</v>
      </c>
    </row>
    <row r="90" spans="1:17" x14ac:dyDescent="0.3">
      <c r="A90" t="s">
        <v>340</v>
      </c>
      <c r="B90" t="s">
        <v>341</v>
      </c>
      <c r="C90" t="s">
        <v>358</v>
      </c>
      <c r="D90">
        <v>2198463.9640000002</v>
      </c>
      <c r="E90">
        <v>5984799.9029999999</v>
      </c>
      <c r="F90" s="1" t="s">
        <v>359</v>
      </c>
      <c r="G90" s="1" t="s">
        <v>360</v>
      </c>
      <c r="H90">
        <v>6.1319999999999997</v>
      </c>
      <c r="I90" s="1" t="s">
        <v>361</v>
      </c>
      <c r="J90" s="2">
        <v>46087</v>
      </c>
      <c r="K90" t="s">
        <v>21</v>
      </c>
      <c r="L90" t="s">
        <v>21</v>
      </c>
      <c r="M90" t="s">
        <v>21</v>
      </c>
      <c r="N90">
        <v>390</v>
      </c>
      <c r="O90">
        <v>3.326333</v>
      </c>
      <c r="P90">
        <v>6.1515029999999999</v>
      </c>
      <c r="Q90">
        <f t="shared" si="1"/>
        <v>0.99309669860574756</v>
      </c>
    </row>
    <row r="91" spans="1:17" x14ac:dyDescent="0.3">
      <c r="A91" t="s">
        <v>340</v>
      </c>
      <c r="B91" t="s">
        <v>341</v>
      </c>
      <c r="C91" t="s">
        <v>362</v>
      </c>
      <c r="D91">
        <v>2198463.8990000002</v>
      </c>
      <c r="E91">
        <v>5984800.5539999995</v>
      </c>
      <c r="F91" s="1" t="s">
        <v>363</v>
      </c>
      <c r="G91">
        <v>76.78075613</v>
      </c>
      <c r="H91">
        <v>6.14</v>
      </c>
      <c r="I91" s="1" t="s">
        <v>364</v>
      </c>
      <c r="J91" s="2">
        <v>46087</v>
      </c>
      <c r="K91" t="s">
        <v>21</v>
      </c>
      <c r="L91" t="s">
        <v>21</v>
      </c>
      <c r="M91" t="s">
        <v>21</v>
      </c>
      <c r="N91">
        <v>390</v>
      </c>
      <c r="O91">
        <v>3.326333</v>
      </c>
      <c r="P91">
        <v>6.1515029999999999</v>
      </c>
      <c r="Q91">
        <f t="shared" si="1"/>
        <v>0.9959283866103632</v>
      </c>
    </row>
    <row r="92" spans="1:17" x14ac:dyDescent="0.3">
      <c r="A92" t="s">
        <v>340</v>
      </c>
      <c r="B92" t="s">
        <v>341</v>
      </c>
      <c r="C92" t="s">
        <v>365</v>
      </c>
      <c r="D92">
        <v>2198483.602</v>
      </c>
      <c r="E92">
        <v>5984800.1490000002</v>
      </c>
      <c r="F92" s="1" t="s">
        <v>366</v>
      </c>
      <c r="G92" s="1" t="s">
        <v>367</v>
      </c>
      <c r="H92">
        <v>6.1470000000000002</v>
      </c>
      <c r="I92" s="1" t="s">
        <v>368</v>
      </c>
      <c r="J92" s="2">
        <v>46087</v>
      </c>
      <c r="K92" t="s">
        <v>21</v>
      </c>
      <c r="L92" t="s">
        <v>21</v>
      </c>
      <c r="M92" t="s">
        <v>21</v>
      </c>
      <c r="N92">
        <v>390</v>
      </c>
      <c r="O92">
        <v>3.326333</v>
      </c>
      <c r="P92">
        <v>6.1515029999999999</v>
      </c>
      <c r="Q92">
        <f t="shared" si="1"/>
        <v>0.99840611361440212</v>
      </c>
    </row>
    <row r="93" spans="1:17" x14ac:dyDescent="0.3">
      <c r="A93" t="s">
        <v>340</v>
      </c>
      <c r="B93" t="s">
        <v>341</v>
      </c>
      <c r="C93" t="s">
        <v>369</v>
      </c>
      <c r="D93">
        <v>2198483.557</v>
      </c>
      <c r="E93">
        <v>5984800.5420000004</v>
      </c>
      <c r="F93" s="1" t="s">
        <v>370</v>
      </c>
      <c r="G93" s="1" t="s">
        <v>371</v>
      </c>
      <c r="H93">
        <v>6.15</v>
      </c>
      <c r="I93" s="1" t="s">
        <v>372</v>
      </c>
      <c r="J93" s="2">
        <v>46087</v>
      </c>
      <c r="K93" t="s">
        <v>21</v>
      </c>
      <c r="L93" t="s">
        <v>21</v>
      </c>
      <c r="M93" t="s">
        <v>21</v>
      </c>
      <c r="N93">
        <v>390</v>
      </c>
      <c r="O93">
        <v>3.326333</v>
      </c>
      <c r="P93">
        <v>6.1515029999999999</v>
      </c>
      <c r="Q93">
        <f t="shared" si="1"/>
        <v>0.99946799661613295</v>
      </c>
    </row>
    <row r="94" spans="1:17" x14ac:dyDescent="0.3">
      <c r="A94" t="s">
        <v>340</v>
      </c>
      <c r="B94" t="s">
        <v>341</v>
      </c>
      <c r="C94" t="s">
        <v>373</v>
      </c>
      <c r="D94">
        <v>2198483.5279999999</v>
      </c>
      <c r="E94">
        <v>5984801.068</v>
      </c>
      <c r="F94" s="1" t="s">
        <v>374</v>
      </c>
      <c r="G94" s="1" t="s">
        <v>375</v>
      </c>
      <c r="H94">
        <v>6.17</v>
      </c>
      <c r="I94" s="1" t="s">
        <v>376</v>
      </c>
      <c r="J94" s="2">
        <v>46087</v>
      </c>
      <c r="K94" t="s">
        <v>21</v>
      </c>
      <c r="L94" t="s">
        <v>21</v>
      </c>
      <c r="M94" t="s">
        <v>21</v>
      </c>
      <c r="N94">
        <v>390</v>
      </c>
      <c r="O94">
        <v>3.326333</v>
      </c>
      <c r="P94">
        <v>6.1515029999999999</v>
      </c>
      <c r="Q94">
        <f t="shared" si="1"/>
        <v>1.0065472166276719</v>
      </c>
    </row>
    <row r="95" spans="1:17" x14ac:dyDescent="0.3">
      <c r="A95" t="s">
        <v>340</v>
      </c>
      <c r="B95" t="s">
        <v>341</v>
      </c>
      <c r="C95" t="s">
        <v>377</v>
      </c>
      <c r="D95">
        <v>2198503.0839999998</v>
      </c>
      <c r="E95">
        <v>5984801.0590000004</v>
      </c>
      <c r="F95" s="1" t="s">
        <v>378</v>
      </c>
      <c r="G95" s="1" t="s">
        <v>379</v>
      </c>
      <c r="H95">
        <v>6.0640000000000001</v>
      </c>
      <c r="I95" s="1" t="s">
        <v>380</v>
      </c>
      <c r="J95" s="2">
        <v>46087</v>
      </c>
      <c r="K95" t="s">
        <v>21</v>
      </c>
      <c r="L95" t="s">
        <v>21</v>
      </c>
      <c r="M95" t="s">
        <v>21</v>
      </c>
      <c r="N95">
        <v>390</v>
      </c>
      <c r="O95">
        <v>3.326333</v>
      </c>
      <c r="P95">
        <v>6.1515029999999999</v>
      </c>
      <c r="Q95">
        <f t="shared" si="1"/>
        <v>0.96902735056651457</v>
      </c>
    </row>
    <row r="96" spans="1:17" x14ac:dyDescent="0.3">
      <c r="A96" t="s">
        <v>340</v>
      </c>
      <c r="B96" t="s">
        <v>341</v>
      </c>
      <c r="C96" t="s">
        <v>381</v>
      </c>
      <c r="D96">
        <v>2198503.1129999999</v>
      </c>
      <c r="E96">
        <v>5984801.3689999999</v>
      </c>
      <c r="F96" s="1" t="s">
        <v>382</v>
      </c>
      <c r="G96">
        <v>37.558288310000002</v>
      </c>
      <c r="H96">
        <v>6.0570000000000004</v>
      </c>
      <c r="I96" s="1" t="s">
        <v>383</v>
      </c>
      <c r="J96" s="2">
        <v>46087</v>
      </c>
      <c r="K96" t="s">
        <v>21</v>
      </c>
      <c r="L96" t="s">
        <v>21</v>
      </c>
      <c r="M96" t="s">
        <v>21</v>
      </c>
      <c r="N96">
        <v>390</v>
      </c>
      <c r="O96">
        <v>3.326333</v>
      </c>
      <c r="P96">
        <v>6.1515029999999999</v>
      </c>
      <c r="Q96">
        <f t="shared" si="1"/>
        <v>0.96654962356247609</v>
      </c>
    </row>
    <row r="97" spans="1:17" x14ac:dyDescent="0.3">
      <c r="A97" t="s">
        <v>340</v>
      </c>
      <c r="B97" t="s">
        <v>341</v>
      </c>
      <c r="C97" t="s">
        <v>384</v>
      </c>
      <c r="D97">
        <v>2198503.0869999998</v>
      </c>
      <c r="E97">
        <v>5984801.8250000002</v>
      </c>
      <c r="F97" s="1" t="s">
        <v>385</v>
      </c>
      <c r="G97" s="1" t="s">
        <v>386</v>
      </c>
      <c r="H97">
        <v>6.0460000000000003</v>
      </c>
      <c r="I97" s="1" t="s">
        <v>387</v>
      </c>
      <c r="J97" s="2">
        <v>46087</v>
      </c>
      <c r="K97" t="s">
        <v>21</v>
      </c>
      <c r="L97" t="s">
        <v>21</v>
      </c>
      <c r="M97" t="s">
        <v>21</v>
      </c>
      <c r="N97">
        <v>390</v>
      </c>
      <c r="O97">
        <v>3.326333</v>
      </c>
      <c r="P97">
        <v>6.1515029999999999</v>
      </c>
      <c r="Q97">
        <f t="shared" si="1"/>
        <v>0.96265605255612952</v>
      </c>
    </row>
    <row r="98" spans="1:17" x14ac:dyDescent="0.3">
      <c r="A98" t="s">
        <v>340</v>
      </c>
      <c r="B98" t="s">
        <v>341</v>
      </c>
      <c r="C98" t="s">
        <v>388</v>
      </c>
      <c r="D98">
        <v>2198522.7949999999</v>
      </c>
      <c r="E98">
        <v>5984802.3799999999</v>
      </c>
      <c r="F98" s="1" t="s">
        <v>389</v>
      </c>
      <c r="G98" s="1" t="s">
        <v>390</v>
      </c>
      <c r="H98">
        <v>5.9509999999999996</v>
      </c>
      <c r="I98" s="1" t="s">
        <v>391</v>
      </c>
      <c r="J98" s="2">
        <v>46087</v>
      </c>
      <c r="K98" t="s">
        <v>21</v>
      </c>
      <c r="L98" t="s">
        <v>21</v>
      </c>
      <c r="M98" t="s">
        <v>21</v>
      </c>
      <c r="N98">
        <v>390</v>
      </c>
      <c r="O98">
        <v>3.326333</v>
      </c>
      <c r="P98">
        <v>6.1515029999999999</v>
      </c>
      <c r="Q98">
        <f t="shared" si="1"/>
        <v>0.92902975750131844</v>
      </c>
    </row>
    <row r="99" spans="1:17" x14ac:dyDescent="0.3">
      <c r="A99" t="s">
        <v>340</v>
      </c>
      <c r="B99" t="s">
        <v>341</v>
      </c>
      <c r="C99" t="s">
        <v>392</v>
      </c>
      <c r="D99">
        <v>2198522.8360000001</v>
      </c>
      <c r="E99">
        <v>5984802.983</v>
      </c>
      <c r="F99" s="1" t="s">
        <v>393</v>
      </c>
      <c r="G99" s="1" t="s">
        <v>394</v>
      </c>
      <c r="H99">
        <v>5.9260000000000002</v>
      </c>
      <c r="I99" s="1" t="s">
        <v>395</v>
      </c>
      <c r="J99" s="2">
        <v>46087</v>
      </c>
      <c r="K99" t="s">
        <v>21</v>
      </c>
      <c r="L99" t="s">
        <v>21</v>
      </c>
      <c r="M99" t="s">
        <v>21</v>
      </c>
      <c r="N99">
        <v>390</v>
      </c>
      <c r="O99">
        <v>3.326333</v>
      </c>
      <c r="P99">
        <v>6.1515029999999999</v>
      </c>
      <c r="Q99">
        <f t="shared" si="1"/>
        <v>0.92018073248689469</v>
      </c>
    </row>
    <row r="100" spans="1:17" x14ac:dyDescent="0.3">
      <c r="A100" t="s">
        <v>340</v>
      </c>
      <c r="B100" t="s">
        <v>341</v>
      </c>
      <c r="C100" t="s">
        <v>396</v>
      </c>
      <c r="D100">
        <v>2198522.84</v>
      </c>
      <c r="E100">
        <v>5984803.6380000003</v>
      </c>
      <c r="F100" s="1" t="s">
        <v>397</v>
      </c>
      <c r="G100" s="1" t="s">
        <v>398</v>
      </c>
      <c r="H100">
        <v>5.923</v>
      </c>
      <c r="I100" s="1" t="s">
        <v>399</v>
      </c>
      <c r="J100" s="2">
        <v>46087</v>
      </c>
      <c r="K100" t="s">
        <v>21</v>
      </c>
      <c r="L100" t="s">
        <v>21</v>
      </c>
      <c r="M100" t="s">
        <v>21</v>
      </c>
      <c r="N100">
        <v>390</v>
      </c>
      <c r="O100">
        <v>3.326333</v>
      </c>
      <c r="P100">
        <v>6.1515029999999999</v>
      </c>
      <c r="Q100">
        <f t="shared" si="1"/>
        <v>0.91911884948516376</v>
      </c>
    </row>
    <row r="101" spans="1:17" x14ac:dyDescent="0.3">
      <c r="A101" t="s">
        <v>340</v>
      </c>
      <c r="B101" t="s">
        <v>341</v>
      </c>
      <c r="C101" t="s">
        <v>400</v>
      </c>
      <c r="D101">
        <v>2198535.6329999999</v>
      </c>
      <c r="E101">
        <v>5984802.4970000004</v>
      </c>
      <c r="F101" s="1" t="s">
        <v>401</v>
      </c>
      <c r="G101" s="1" t="s">
        <v>402</v>
      </c>
      <c r="H101">
        <v>5.8129999999999997</v>
      </c>
      <c r="I101" s="1" t="s">
        <v>403</v>
      </c>
      <c r="J101" s="2">
        <v>46087</v>
      </c>
      <c r="K101" t="s">
        <v>21</v>
      </c>
      <c r="L101" t="s">
        <v>21</v>
      </c>
      <c r="M101" t="s">
        <v>21</v>
      </c>
      <c r="N101">
        <v>390</v>
      </c>
      <c r="O101">
        <v>3.326333</v>
      </c>
      <c r="P101">
        <v>6.1515029999999999</v>
      </c>
      <c r="Q101">
        <f t="shared" si="1"/>
        <v>0.88018313942169846</v>
      </c>
    </row>
    <row r="102" spans="1:17" x14ac:dyDescent="0.3">
      <c r="A102" t="s">
        <v>340</v>
      </c>
      <c r="B102" t="s">
        <v>341</v>
      </c>
      <c r="C102" t="s">
        <v>404</v>
      </c>
      <c r="D102">
        <v>2198535.6669999999</v>
      </c>
      <c r="E102">
        <v>5984802.9369999999</v>
      </c>
      <c r="F102" s="1" t="s">
        <v>405</v>
      </c>
      <c r="G102" s="1" t="s">
        <v>406</v>
      </c>
      <c r="H102">
        <v>5.8380000000000001</v>
      </c>
      <c r="I102" s="1" t="s">
        <v>407</v>
      </c>
      <c r="J102" s="2">
        <v>46087</v>
      </c>
      <c r="K102" t="s">
        <v>21</v>
      </c>
      <c r="L102" t="s">
        <v>21</v>
      </c>
      <c r="M102" t="s">
        <v>21</v>
      </c>
      <c r="N102">
        <v>390</v>
      </c>
      <c r="O102">
        <v>3.326333</v>
      </c>
      <c r="P102">
        <v>6.1515029999999999</v>
      </c>
      <c r="Q102">
        <f t="shared" si="1"/>
        <v>0.88903216443612243</v>
      </c>
    </row>
    <row r="103" spans="1:17" x14ac:dyDescent="0.3">
      <c r="A103" t="s">
        <v>340</v>
      </c>
      <c r="B103" t="s">
        <v>341</v>
      </c>
      <c r="C103" t="s">
        <v>408</v>
      </c>
      <c r="D103">
        <v>2198535.588</v>
      </c>
      <c r="E103">
        <v>5984803.477</v>
      </c>
      <c r="F103" s="1" t="s">
        <v>409</v>
      </c>
      <c r="G103" s="1" t="s">
        <v>410</v>
      </c>
      <c r="H103">
        <v>5.7969999999999997</v>
      </c>
      <c r="I103" s="1" t="s">
        <v>411</v>
      </c>
      <c r="J103" s="2">
        <v>46087</v>
      </c>
      <c r="K103" t="s">
        <v>21</v>
      </c>
      <c r="L103" t="s">
        <v>21</v>
      </c>
      <c r="M103" t="s">
        <v>21</v>
      </c>
      <c r="N103">
        <v>390</v>
      </c>
      <c r="O103">
        <v>3.326333</v>
      </c>
      <c r="P103">
        <v>6.1515029999999999</v>
      </c>
      <c r="Q103">
        <f t="shared" si="1"/>
        <v>0.87451976341246718</v>
      </c>
    </row>
    <row r="104" spans="1:17" x14ac:dyDescent="0.3">
      <c r="A104" t="s">
        <v>340</v>
      </c>
      <c r="B104" t="s">
        <v>341</v>
      </c>
      <c r="C104" t="s">
        <v>412</v>
      </c>
      <c r="D104">
        <v>2198540.6630000002</v>
      </c>
      <c r="E104">
        <v>5984802.1579999998</v>
      </c>
      <c r="F104">
        <v>0</v>
      </c>
      <c r="G104">
        <v>0</v>
      </c>
      <c r="H104">
        <v>5.4279999999999999</v>
      </c>
      <c r="I104" s="1" t="s">
        <v>277</v>
      </c>
      <c r="J104" s="2">
        <v>46087</v>
      </c>
      <c r="K104" t="s">
        <v>21</v>
      </c>
      <c r="L104" t="s">
        <v>21</v>
      </c>
      <c r="M104" t="s">
        <v>21</v>
      </c>
      <c r="N104">
        <v>390</v>
      </c>
      <c r="O104">
        <v>3.326333</v>
      </c>
      <c r="P104">
        <v>6.1515029999999999</v>
      </c>
      <c r="Q104">
        <f t="shared" si="1"/>
        <v>0.74390815419957024</v>
      </c>
    </row>
    <row r="105" spans="1:17" x14ac:dyDescent="0.3">
      <c r="A105" t="s">
        <v>340</v>
      </c>
      <c r="B105" t="s">
        <v>341</v>
      </c>
      <c r="C105" t="s">
        <v>413</v>
      </c>
      <c r="D105">
        <v>2198540.7590000001</v>
      </c>
      <c r="E105">
        <v>5984802.7149999999</v>
      </c>
      <c r="F105" s="1" t="s">
        <v>414</v>
      </c>
      <c r="G105" s="1" t="s">
        <v>415</v>
      </c>
      <c r="H105">
        <v>5.4459999999999997</v>
      </c>
      <c r="I105" s="1" t="s">
        <v>416</v>
      </c>
      <c r="J105" s="2">
        <v>46087</v>
      </c>
      <c r="K105" t="s">
        <v>21</v>
      </c>
      <c r="L105" t="s">
        <v>21</v>
      </c>
      <c r="M105" t="s">
        <v>21</v>
      </c>
      <c r="N105">
        <v>390</v>
      </c>
      <c r="O105">
        <v>3.326333</v>
      </c>
      <c r="P105">
        <v>6.1515029999999999</v>
      </c>
      <c r="Q105">
        <f t="shared" si="1"/>
        <v>0.7502794522099554</v>
      </c>
    </row>
    <row r="106" spans="1:17" x14ac:dyDescent="0.3">
      <c r="A106" t="s">
        <v>340</v>
      </c>
      <c r="B106" t="s">
        <v>341</v>
      </c>
      <c r="C106" t="s">
        <v>417</v>
      </c>
      <c r="D106">
        <v>2198540.8790000002</v>
      </c>
      <c r="E106">
        <v>5984803.2410000004</v>
      </c>
      <c r="F106" s="1" t="s">
        <v>418</v>
      </c>
      <c r="G106" s="1" t="s">
        <v>419</v>
      </c>
      <c r="H106">
        <v>5.45</v>
      </c>
      <c r="I106" s="1" t="s">
        <v>420</v>
      </c>
      <c r="J106" s="2">
        <v>46087</v>
      </c>
      <c r="K106" t="s">
        <v>21</v>
      </c>
      <c r="L106" t="s">
        <v>21</v>
      </c>
      <c r="M106" t="s">
        <v>21</v>
      </c>
      <c r="N106">
        <v>390</v>
      </c>
      <c r="O106">
        <v>3.326333</v>
      </c>
      <c r="P106">
        <v>6.1515029999999999</v>
      </c>
      <c r="Q106">
        <f t="shared" si="1"/>
        <v>0.75169529621226339</v>
      </c>
    </row>
    <row r="107" spans="1:17" x14ac:dyDescent="0.3">
      <c r="A107" t="s">
        <v>340</v>
      </c>
      <c r="B107" t="s">
        <v>421</v>
      </c>
      <c r="C107" t="s">
        <v>422</v>
      </c>
      <c r="D107">
        <v>2198543.3730000001</v>
      </c>
      <c r="E107">
        <v>5984839.5719999997</v>
      </c>
      <c r="F107">
        <v>2.8101229999999999E-3</v>
      </c>
      <c r="G107">
        <v>9.2195450000000009E-3</v>
      </c>
      <c r="H107">
        <v>5.3559999999999999</v>
      </c>
      <c r="I107" s="1" t="s">
        <v>423</v>
      </c>
      <c r="J107" s="2">
        <v>46087</v>
      </c>
      <c r="K107" t="s">
        <v>21</v>
      </c>
      <c r="L107" t="s">
        <v>21</v>
      </c>
      <c r="M107" t="s">
        <v>21</v>
      </c>
      <c r="N107">
        <v>390</v>
      </c>
      <c r="O107">
        <v>3.326333</v>
      </c>
      <c r="P107">
        <v>6.1515029999999999</v>
      </c>
      <c r="Q107">
        <f t="shared" si="1"/>
        <v>0.71842296215802937</v>
      </c>
    </row>
    <row r="108" spans="1:17" x14ac:dyDescent="0.3">
      <c r="A108" t="s">
        <v>340</v>
      </c>
      <c r="B108" t="s">
        <v>421</v>
      </c>
      <c r="C108" t="s">
        <v>424</v>
      </c>
      <c r="D108">
        <v>2198543.3670000001</v>
      </c>
      <c r="E108">
        <v>5984839.5789999999</v>
      </c>
      <c r="F108">
        <v>0</v>
      </c>
      <c r="G108">
        <v>0</v>
      </c>
      <c r="H108">
        <v>5.3650000000000002</v>
      </c>
      <c r="I108" s="1" t="s">
        <v>425</v>
      </c>
      <c r="J108" s="2">
        <v>46087</v>
      </c>
      <c r="K108" t="s">
        <v>21</v>
      </c>
      <c r="L108" t="s">
        <v>21</v>
      </c>
      <c r="M108" t="s">
        <v>21</v>
      </c>
      <c r="N108">
        <v>390</v>
      </c>
      <c r="O108">
        <v>3.326333</v>
      </c>
      <c r="P108">
        <v>6.1515029999999999</v>
      </c>
      <c r="Q108">
        <f t="shared" si="1"/>
        <v>0.72160861116322217</v>
      </c>
    </row>
    <row r="109" spans="1:17" x14ac:dyDescent="0.3">
      <c r="A109" t="s">
        <v>340</v>
      </c>
      <c r="B109" t="s">
        <v>421</v>
      </c>
      <c r="C109" t="s">
        <v>426</v>
      </c>
      <c r="D109">
        <v>2198543.2769999998</v>
      </c>
      <c r="E109">
        <v>5984840.1279999996</v>
      </c>
      <c r="F109" s="1" t="s">
        <v>427</v>
      </c>
      <c r="G109" s="1" t="s">
        <v>428</v>
      </c>
      <c r="H109">
        <v>5.391</v>
      </c>
      <c r="I109" s="1" t="s">
        <v>429</v>
      </c>
      <c r="J109" s="2">
        <v>46087</v>
      </c>
      <c r="K109" t="s">
        <v>21</v>
      </c>
      <c r="L109" t="s">
        <v>21</v>
      </c>
      <c r="M109" t="s">
        <v>21</v>
      </c>
      <c r="N109">
        <v>390</v>
      </c>
      <c r="O109">
        <v>3.326333</v>
      </c>
      <c r="P109">
        <v>6.1515029999999999</v>
      </c>
      <c r="Q109">
        <f t="shared" ref="Q109:Q171" si="2">(H109-O109)/(P109-O109)</f>
        <v>0.73081159717822297</v>
      </c>
    </row>
    <row r="110" spans="1:17" x14ac:dyDescent="0.3">
      <c r="A110" t="s">
        <v>340</v>
      </c>
      <c r="B110" t="s">
        <v>421</v>
      </c>
      <c r="C110" t="s">
        <v>430</v>
      </c>
      <c r="D110">
        <v>2198543.2779999999</v>
      </c>
      <c r="E110">
        <v>5984840.1229999997</v>
      </c>
      <c r="F110" s="1" t="s">
        <v>431</v>
      </c>
      <c r="G110" s="1" t="s">
        <v>432</v>
      </c>
      <c r="H110">
        <v>5.383</v>
      </c>
      <c r="I110" s="1" t="s">
        <v>433</v>
      </c>
      <c r="J110" s="2">
        <v>46087</v>
      </c>
      <c r="K110" t="s">
        <v>21</v>
      </c>
      <c r="L110" t="s">
        <v>21</v>
      </c>
      <c r="M110" t="s">
        <v>21</v>
      </c>
      <c r="N110">
        <v>390</v>
      </c>
      <c r="O110">
        <v>3.326333</v>
      </c>
      <c r="P110">
        <v>6.1515029999999999</v>
      </c>
      <c r="Q110">
        <f t="shared" si="2"/>
        <v>0.72797990917360722</v>
      </c>
    </row>
    <row r="111" spans="1:17" x14ac:dyDescent="0.3">
      <c r="A111" t="s">
        <v>340</v>
      </c>
      <c r="B111" t="s">
        <v>421</v>
      </c>
      <c r="C111" t="s">
        <v>434</v>
      </c>
      <c r="D111">
        <v>2198543.202</v>
      </c>
      <c r="E111">
        <v>5984840.5789999999</v>
      </c>
      <c r="F111" s="1" t="s">
        <v>435</v>
      </c>
      <c r="G111" s="1" t="s">
        <v>436</v>
      </c>
      <c r="H111">
        <v>5.3730000000000002</v>
      </c>
      <c r="I111" s="1" t="s">
        <v>437</v>
      </c>
      <c r="J111" s="2">
        <v>46087</v>
      </c>
      <c r="K111" t="s">
        <v>21</v>
      </c>
      <c r="L111" t="s">
        <v>21</v>
      </c>
      <c r="M111" t="s">
        <v>21</v>
      </c>
      <c r="N111">
        <v>390</v>
      </c>
      <c r="O111">
        <v>3.326333</v>
      </c>
      <c r="P111">
        <v>6.1515029999999999</v>
      </c>
      <c r="Q111">
        <f t="shared" si="2"/>
        <v>0.72444029916783781</v>
      </c>
    </row>
    <row r="112" spans="1:17" x14ac:dyDescent="0.3">
      <c r="A112" t="s">
        <v>340</v>
      </c>
      <c r="B112" t="s">
        <v>421</v>
      </c>
      <c r="C112" t="s">
        <v>438</v>
      </c>
      <c r="D112">
        <v>2198538.801</v>
      </c>
      <c r="E112">
        <v>5984838.8839999996</v>
      </c>
      <c r="F112" s="1" t="s">
        <v>439</v>
      </c>
      <c r="G112" s="1" t="s">
        <v>440</v>
      </c>
      <c r="H112">
        <v>5.8179999999999996</v>
      </c>
      <c r="I112" s="1" t="s">
        <v>441</v>
      </c>
      <c r="J112" s="2">
        <v>46087</v>
      </c>
      <c r="K112" t="s">
        <v>21</v>
      </c>
      <c r="L112" t="s">
        <v>21</v>
      </c>
      <c r="M112" t="s">
        <v>21</v>
      </c>
      <c r="N112">
        <v>390</v>
      </c>
      <c r="O112">
        <v>3.326333</v>
      </c>
      <c r="P112">
        <v>6.1515029999999999</v>
      </c>
      <c r="Q112">
        <f t="shared" si="2"/>
        <v>0.88195294442458316</v>
      </c>
    </row>
    <row r="113" spans="1:17" x14ac:dyDescent="0.3">
      <c r="A113" t="s">
        <v>340</v>
      </c>
      <c r="B113" t="s">
        <v>421</v>
      </c>
      <c r="C113" t="s">
        <v>442</v>
      </c>
      <c r="D113">
        <v>2198538.6170000001</v>
      </c>
      <c r="E113">
        <v>5984839.4579999996</v>
      </c>
      <c r="F113" s="1" t="s">
        <v>443</v>
      </c>
      <c r="G113" s="1" t="s">
        <v>444</v>
      </c>
      <c r="H113">
        <v>5.7919999999999998</v>
      </c>
      <c r="I113" s="1" t="s">
        <v>445</v>
      </c>
      <c r="J113" s="2">
        <v>46087</v>
      </c>
      <c r="K113" t="s">
        <v>21</v>
      </c>
      <c r="L113" t="s">
        <v>21</v>
      </c>
      <c r="M113" t="s">
        <v>21</v>
      </c>
      <c r="N113">
        <v>390</v>
      </c>
      <c r="O113">
        <v>3.326333</v>
      </c>
      <c r="P113">
        <v>6.1515029999999999</v>
      </c>
      <c r="Q113">
        <f t="shared" si="2"/>
        <v>0.87274995840958236</v>
      </c>
    </row>
    <row r="114" spans="1:17" x14ac:dyDescent="0.3">
      <c r="A114" t="s">
        <v>340</v>
      </c>
      <c r="B114" t="s">
        <v>421</v>
      </c>
      <c r="C114" t="s">
        <v>446</v>
      </c>
      <c r="D114">
        <v>2198538.5589999999</v>
      </c>
      <c r="E114">
        <v>5984839.8650000002</v>
      </c>
      <c r="F114" s="1" t="s">
        <v>447</v>
      </c>
      <c r="G114" s="1" t="s">
        <v>448</v>
      </c>
      <c r="H114">
        <v>5.806</v>
      </c>
      <c r="I114" s="1" t="s">
        <v>449</v>
      </c>
      <c r="J114" s="2">
        <v>46087</v>
      </c>
      <c r="K114" t="s">
        <v>21</v>
      </c>
      <c r="L114" t="s">
        <v>21</v>
      </c>
      <c r="M114" t="s">
        <v>21</v>
      </c>
      <c r="N114">
        <v>390</v>
      </c>
      <c r="O114">
        <v>3.326333</v>
      </c>
      <c r="P114">
        <v>6.1515029999999999</v>
      </c>
      <c r="Q114">
        <f t="shared" si="2"/>
        <v>0.87770541241765987</v>
      </c>
    </row>
    <row r="115" spans="1:17" x14ac:dyDescent="0.3">
      <c r="A115" t="s">
        <v>340</v>
      </c>
      <c r="B115" t="s">
        <v>421</v>
      </c>
      <c r="C115" t="s">
        <v>450</v>
      </c>
      <c r="D115">
        <v>2198525.5499999998</v>
      </c>
      <c r="E115">
        <v>5984837.7649999997</v>
      </c>
      <c r="F115" s="1" t="s">
        <v>451</v>
      </c>
      <c r="G115" s="1" t="s">
        <v>452</v>
      </c>
      <c r="H115">
        <v>6.0490000000000004</v>
      </c>
      <c r="I115" s="1" t="s">
        <v>453</v>
      </c>
      <c r="J115" s="2">
        <v>46087</v>
      </c>
      <c r="K115" t="s">
        <v>21</v>
      </c>
      <c r="L115" t="s">
        <v>21</v>
      </c>
      <c r="M115" t="s">
        <v>21</v>
      </c>
      <c r="N115">
        <v>390</v>
      </c>
      <c r="O115">
        <v>3.326333</v>
      </c>
      <c r="P115">
        <v>6.1515029999999999</v>
      </c>
      <c r="Q115">
        <f t="shared" si="2"/>
        <v>0.96371793555786034</v>
      </c>
    </row>
    <row r="116" spans="1:17" x14ac:dyDescent="0.3">
      <c r="A116" t="s">
        <v>340</v>
      </c>
      <c r="B116" t="s">
        <v>421</v>
      </c>
      <c r="C116" t="s">
        <v>454</v>
      </c>
      <c r="D116">
        <v>2198525.48</v>
      </c>
      <c r="E116">
        <v>5984838.1390000004</v>
      </c>
      <c r="F116" s="1" t="s">
        <v>455</v>
      </c>
      <c r="G116" s="1" t="s">
        <v>456</v>
      </c>
      <c r="H116">
        <v>6.0350000000000001</v>
      </c>
      <c r="I116" s="1" t="s">
        <v>457</v>
      </c>
      <c r="J116" s="2">
        <v>46087</v>
      </c>
      <c r="K116" t="s">
        <v>21</v>
      </c>
      <c r="L116" t="s">
        <v>21</v>
      </c>
      <c r="M116" t="s">
        <v>21</v>
      </c>
      <c r="N116">
        <v>390</v>
      </c>
      <c r="O116">
        <v>3.326333</v>
      </c>
      <c r="P116">
        <v>6.1515029999999999</v>
      </c>
      <c r="Q116">
        <f t="shared" si="2"/>
        <v>0.95876248154978294</v>
      </c>
    </row>
    <row r="117" spans="1:17" x14ac:dyDescent="0.3">
      <c r="A117" t="s">
        <v>340</v>
      </c>
      <c r="B117" t="s">
        <v>421</v>
      </c>
      <c r="C117" t="s">
        <v>458</v>
      </c>
      <c r="D117">
        <v>2198525.426</v>
      </c>
      <c r="E117">
        <v>5984838.5690000001</v>
      </c>
      <c r="F117" s="1" t="s">
        <v>459</v>
      </c>
      <c r="G117" s="1" t="s">
        <v>460</v>
      </c>
      <c r="H117">
        <v>6.0289999999999999</v>
      </c>
      <c r="I117" s="1" t="s">
        <v>461</v>
      </c>
      <c r="J117" s="2">
        <v>46087</v>
      </c>
      <c r="K117" t="s">
        <v>21</v>
      </c>
      <c r="L117" t="s">
        <v>21</v>
      </c>
      <c r="M117" t="s">
        <v>21</v>
      </c>
      <c r="N117">
        <v>390</v>
      </c>
      <c r="O117">
        <v>3.326333</v>
      </c>
      <c r="P117">
        <v>6.1515029999999999</v>
      </c>
      <c r="Q117">
        <f t="shared" si="2"/>
        <v>0.95663871554632107</v>
      </c>
    </row>
    <row r="118" spans="1:17" x14ac:dyDescent="0.3">
      <c r="A118" t="s">
        <v>340</v>
      </c>
      <c r="B118" t="s">
        <v>421</v>
      </c>
      <c r="C118" t="s">
        <v>462</v>
      </c>
      <c r="D118">
        <v>2198505.9589999998</v>
      </c>
      <c r="E118">
        <v>5984835.267</v>
      </c>
      <c r="F118" s="1" t="s">
        <v>463</v>
      </c>
      <c r="G118" s="1" t="s">
        <v>464</v>
      </c>
      <c r="H118">
        <v>6.0369999999999999</v>
      </c>
      <c r="I118" s="1" t="s">
        <v>465</v>
      </c>
      <c r="J118" s="2">
        <v>46087</v>
      </c>
      <c r="K118" t="s">
        <v>21</v>
      </c>
      <c r="L118" t="s">
        <v>21</v>
      </c>
      <c r="M118" t="s">
        <v>21</v>
      </c>
      <c r="N118">
        <v>390</v>
      </c>
      <c r="O118">
        <v>3.326333</v>
      </c>
      <c r="P118">
        <v>6.1515029999999999</v>
      </c>
      <c r="Q118">
        <f t="shared" si="2"/>
        <v>0.95947040355093671</v>
      </c>
    </row>
    <row r="119" spans="1:17" x14ac:dyDescent="0.3">
      <c r="A119" t="s">
        <v>340</v>
      </c>
      <c r="B119" t="s">
        <v>421</v>
      </c>
      <c r="C119" t="s">
        <v>466</v>
      </c>
      <c r="D119">
        <v>2198505.9240000001</v>
      </c>
      <c r="E119">
        <v>5984835.6490000002</v>
      </c>
      <c r="F119" s="1" t="s">
        <v>467</v>
      </c>
      <c r="G119" s="1" t="s">
        <v>468</v>
      </c>
      <c r="H119">
        <v>6.0229999999999997</v>
      </c>
      <c r="I119" s="1" t="s">
        <v>469</v>
      </c>
      <c r="J119" s="2">
        <v>46087</v>
      </c>
      <c r="K119" t="s">
        <v>21</v>
      </c>
      <c r="L119" t="s">
        <v>21</v>
      </c>
      <c r="M119" t="s">
        <v>21</v>
      </c>
      <c r="N119">
        <v>390</v>
      </c>
      <c r="O119">
        <v>3.326333</v>
      </c>
      <c r="P119">
        <v>6.1515029999999999</v>
      </c>
      <c r="Q119">
        <f t="shared" si="2"/>
        <v>0.95451494954285931</v>
      </c>
    </row>
    <row r="120" spans="1:17" x14ac:dyDescent="0.3">
      <c r="A120" t="s">
        <v>340</v>
      </c>
      <c r="B120" t="s">
        <v>421</v>
      </c>
      <c r="C120" t="s">
        <v>470</v>
      </c>
      <c r="D120">
        <v>2198505.8769999999</v>
      </c>
      <c r="E120">
        <v>5984836.2039999999</v>
      </c>
      <c r="F120" s="1" t="s">
        <v>471</v>
      </c>
      <c r="G120" s="1" t="s">
        <v>472</v>
      </c>
      <c r="H120">
        <v>5.9779999999999998</v>
      </c>
      <c r="I120" s="1" t="s">
        <v>473</v>
      </c>
      <c r="J120" s="2">
        <v>46087</v>
      </c>
      <c r="K120" t="s">
        <v>21</v>
      </c>
      <c r="L120" t="s">
        <v>21</v>
      </c>
      <c r="M120" t="s">
        <v>21</v>
      </c>
      <c r="N120">
        <v>390</v>
      </c>
      <c r="O120">
        <v>3.326333</v>
      </c>
      <c r="P120">
        <v>6.1515029999999999</v>
      </c>
      <c r="Q120">
        <f t="shared" si="2"/>
        <v>0.9385867045168963</v>
      </c>
    </row>
    <row r="121" spans="1:17" x14ac:dyDescent="0.3">
      <c r="A121" t="s">
        <v>340</v>
      </c>
      <c r="B121" t="s">
        <v>421</v>
      </c>
      <c r="C121" t="s">
        <v>474</v>
      </c>
      <c r="D121">
        <v>2198486.5809999998</v>
      </c>
      <c r="E121">
        <v>5984832.5240000002</v>
      </c>
      <c r="F121" s="1" t="s">
        <v>475</v>
      </c>
      <c r="G121" s="1" t="s">
        <v>476</v>
      </c>
      <c r="H121">
        <v>6.008</v>
      </c>
      <c r="I121" s="1" t="s">
        <v>477</v>
      </c>
      <c r="J121" s="2">
        <v>46087</v>
      </c>
      <c r="K121" t="s">
        <v>21</v>
      </c>
      <c r="L121" t="s">
        <v>21</v>
      </c>
      <c r="M121" t="s">
        <v>21</v>
      </c>
      <c r="N121">
        <v>390</v>
      </c>
      <c r="O121">
        <v>3.326333</v>
      </c>
      <c r="P121">
        <v>6.1515029999999999</v>
      </c>
      <c r="Q121">
        <f t="shared" si="2"/>
        <v>0.94920553453420509</v>
      </c>
    </row>
    <row r="122" spans="1:17" x14ac:dyDescent="0.3">
      <c r="A122" t="s">
        <v>340</v>
      </c>
      <c r="B122" t="s">
        <v>421</v>
      </c>
      <c r="C122" t="s">
        <v>478</v>
      </c>
      <c r="D122">
        <v>2198486.466</v>
      </c>
      <c r="E122">
        <v>5984832.9479999999</v>
      </c>
      <c r="F122" s="1" t="s">
        <v>479</v>
      </c>
      <c r="G122" s="1" t="s">
        <v>480</v>
      </c>
      <c r="H122">
        <v>5.9939999999999998</v>
      </c>
      <c r="I122" s="1" t="s">
        <v>481</v>
      </c>
      <c r="J122" s="2">
        <v>46087</v>
      </c>
      <c r="K122" t="s">
        <v>21</v>
      </c>
      <c r="L122" t="s">
        <v>21</v>
      </c>
      <c r="M122" t="s">
        <v>21</v>
      </c>
      <c r="N122">
        <v>390</v>
      </c>
      <c r="O122">
        <v>3.326333</v>
      </c>
      <c r="P122">
        <v>6.1515029999999999</v>
      </c>
      <c r="Q122">
        <f t="shared" si="2"/>
        <v>0.94425008052612758</v>
      </c>
    </row>
    <row r="123" spans="1:17" x14ac:dyDescent="0.3">
      <c r="A123" t="s">
        <v>340</v>
      </c>
      <c r="B123" t="s">
        <v>421</v>
      </c>
      <c r="C123" t="s">
        <v>482</v>
      </c>
      <c r="D123">
        <v>2198486.3930000002</v>
      </c>
      <c r="E123">
        <v>5984833.4570000004</v>
      </c>
      <c r="F123" s="1" t="s">
        <v>483</v>
      </c>
      <c r="G123" s="1" t="s">
        <v>484</v>
      </c>
      <c r="H123">
        <v>6.0380000000000003</v>
      </c>
      <c r="I123" s="1" t="s">
        <v>485</v>
      </c>
      <c r="J123" s="2">
        <v>46087</v>
      </c>
      <c r="K123" t="s">
        <v>21</v>
      </c>
      <c r="L123" t="s">
        <v>21</v>
      </c>
      <c r="M123" t="s">
        <v>21</v>
      </c>
      <c r="N123">
        <v>390</v>
      </c>
      <c r="O123">
        <v>3.326333</v>
      </c>
      <c r="P123">
        <v>6.1515029999999999</v>
      </c>
      <c r="Q123">
        <f t="shared" si="2"/>
        <v>0.95982436455151388</v>
      </c>
    </row>
    <row r="124" spans="1:17" x14ac:dyDescent="0.3">
      <c r="A124" t="s">
        <v>340</v>
      </c>
      <c r="B124" t="s">
        <v>421</v>
      </c>
      <c r="C124" t="s">
        <v>486</v>
      </c>
      <c r="D124">
        <v>2198467.1869999999</v>
      </c>
      <c r="E124">
        <v>5984830.2539999997</v>
      </c>
      <c r="F124" s="1" t="s">
        <v>487</v>
      </c>
      <c r="G124" s="1" t="s">
        <v>488</v>
      </c>
      <c r="H124">
        <v>5.9930000000000003</v>
      </c>
      <c r="I124" s="1" t="s">
        <v>44</v>
      </c>
      <c r="J124" s="2">
        <v>46087</v>
      </c>
      <c r="K124" t="s">
        <v>21</v>
      </c>
      <c r="L124" t="s">
        <v>21</v>
      </c>
      <c r="M124" t="s">
        <v>21</v>
      </c>
      <c r="N124">
        <v>390</v>
      </c>
      <c r="O124">
        <v>3.326333</v>
      </c>
      <c r="P124">
        <v>6.1515029999999999</v>
      </c>
      <c r="Q124">
        <f t="shared" si="2"/>
        <v>0.94389611952555086</v>
      </c>
    </row>
    <row r="125" spans="1:17" x14ac:dyDescent="0.3">
      <c r="A125" t="s">
        <v>340</v>
      </c>
      <c r="B125" t="s">
        <v>421</v>
      </c>
      <c r="C125" t="s">
        <v>489</v>
      </c>
      <c r="D125">
        <v>2198466.9130000002</v>
      </c>
      <c r="E125">
        <v>5984830.8669999996</v>
      </c>
      <c r="F125" s="1" t="s">
        <v>490</v>
      </c>
      <c r="G125" s="1" t="s">
        <v>491</v>
      </c>
      <c r="H125">
        <v>6.0019999999999998</v>
      </c>
      <c r="I125" s="1" t="s">
        <v>492</v>
      </c>
      <c r="J125" s="2">
        <v>46087</v>
      </c>
      <c r="K125" t="s">
        <v>21</v>
      </c>
      <c r="L125" t="s">
        <v>21</v>
      </c>
      <c r="M125" t="s">
        <v>21</v>
      </c>
      <c r="N125">
        <v>390</v>
      </c>
      <c r="O125">
        <v>3.326333</v>
      </c>
      <c r="P125">
        <v>6.1515029999999999</v>
      </c>
      <c r="Q125">
        <f t="shared" si="2"/>
        <v>0.94708176853074322</v>
      </c>
    </row>
    <row r="126" spans="1:17" x14ac:dyDescent="0.3">
      <c r="A126" t="s">
        <v>340</v>
      </c>
      <c r="B126" t="s">
        <v>421</v>
      </c>
      <c r="C126" t="s">
        <v>493</v>
      </c>
      <c r="D126">
        <v>2198466.9389999998</v>
      </c>
      <c r="E126">
        <v>5984831.1639999999</v>
      </c>
      <c r="F126" s="1" t="s">
        <v>494</v>
      </c>
      <c r="G126" s="1" t="s">
        <v>495</v>
      </c>
      <c r="H126">
        <v>6.0519999999999996</v>
      </c>
      <c r="I126" s="1" t="s">
        <v>496</v>
      </c>
      <c r="J126" s="2">
        <v>46087</v>
      </c>
      <c r="K126" t="s">
        <v>21</v>
      </c>
      <c r="L126" t="s">
        <v>21</v>
      </c>
      <c r="M126" t="s">
        <v>21</v>
      </c>
      <c r="N126">
        <v>390</v>
      </c>
      <c r="O126">
        <v>3.326333</v>
      </c>
      <c r="P126">
        <v>6.1515029999999999</v>
      </c>
      <c r="Q126">
        <f t="shared" si="2"/>
        <v>0.96477981855959094</v>
      </c>
    </row>
    <row r="127" spans="1:17" x14ac:dyDescent="0.3">
      <c r="A127" t="s">
        <v>340</v>
      </c>
      <c r="B127" t="s">
        <v>421</v>
      </c>
      <c r="C127" t="s">
        <v>497</v>
      </c>
      <c r="D127">
        <v>2198388.96</v>
      </c>
      <c r="E127">
        <v>5984820.9790000003</v>
      </c>
      <c r="F127" s="1" t="s">
        <v>498</v>
      </c>
      <c r="G127" s="1" t="s">
        <v>499</v>
      </c>
      <c r="H127">
        <v>6.0419999999999998</v>
      </c>
      <c r="I127" s="1" t="s">
        <v>500</v>
      </c>
      <c r="J127" s="2">
        <v>46087</v>
      </c>
      <c r="K127" t="s">
        <v>21</v>
      </c>
      <c r="L127" t="s">
        <v>21</v>
      </c>
      <c r="M127" t="s">
        <v>21</v>
      </c>
      <c r="N127">
        <v>390</v>
      </c>
      <c r="O127">
        <v>3.326333</v>
      </c>
      <c r="P127">
        <v>6.1515029999999999</v>
      </c>
      <c r="Q127">
        <f t="shared" si="2"/>
        <v>0.96124020855382153</v>
      </c>
    </row>
    <row r="128" spans="1:17" x14ac:dyDescent="0.3">
      <c r="A128" t="s">
        <v>340</v>
      </c>
      <c r="B128" t="s">
        <v>421</v>
      </c>
      <c r="C128" t="s">
        <v>501</v>
      </c>
      <c r="D128">
        <v>2198388.79</v>
      </c>
      <c r="E128">
        <v>5984821.4919999996</v>
      </c>
      <c r="F128" s="1" t="s">
        <v>502</v>
      </c>
      <c r="G128" s="1" t="s">
        <v>503</v>
      </c>
      <c r="H128">
        <v>6.0780000000000003</v>
      </c>
      <c r="I128" s="1" t="s">
        <v>504</v>
      </c>
      <c r="J128" s="2">
        <v>46087</v>
      </c>
      <c r="K128" t="s">
        <v>21</v>
      </c>
      <c r="L128" t="s">
        <v>21</v>
      </c>
      <c r="M128" t="s">
        <v>21</v>
      </c>
      <c r="N128">
        <v>390</v>
      </c>
      <c r="O128">
        <v>3.326333</v>
      </c>
      <c r="P128">
        <v>6.1515029999999999</v>
      </c>
      <c r="Q128">
        <f t="shared" si="2"/>
        <v>0.97398280457459208</v>
      </c>
    </row>
    <row r="129" spans="1:17" x14ac:dyDescent="0.3">
      <c r="A129" t="s">
        <v>340</v>
      </c>
      <c r="B129" t="s">
        <v>421</v>
      </c>
      <c r="C129" t="s">
        <v>505</v>
      </c>
      <c r="D129">
        <v>2198388.71</v>
      </c>
      <c r="E129">
        <v>5984821.8550000004</v>
      </c>
      <c r="F129" s="1" t="s">
        <v>506</v>
      </c>
      <c r="G129" s="1" t="s">
        <v>507</v>
      </c>
      <c r="H129">
        <v>6.0679999999999996</v>
      </c>
      <c r="I129" s="1" t="s">
        <v>508</v>
      </c>
      <c r="J129" s="2">
        <v>46087</v>
      </c>
      <c r="K129" t="s">
        <v>21</v>
      </c>
      <c r="L129" t="s">
        <v>21</v>
      </c>
      <c r="M129" t="s">
        <v>21</v>
      </c>
      <c r="N129">
        <v>390</v>
      </c>
      <c r="O129">
        <v>3.326333</v>
      </c>
      <c r="P129">
        <v>6.1515029999999999</v>
      </c>
      <c r="Q129">
        <f t="shared" si="2"/>
        <v>0.97044319456882233</v>
      </c>
    </row>
    <row r="130" spans="1:17" x14ac:dyDescent="0.3">
      <c r="A130" t="s">
        <v>509</v>
      </c>
      <c r="B130" t="s">
        <v>510</v>
      </c>
      <c r="C130" t="s">
        <v>511</v>
      </c>
      <c r="D130">
        <v>2188582.477</v>
      </c>
      <c r="E130">
        <v>6026065.5389999999</v>
      </c>
      <c r="F130">
        <v>47.298363530000003</v>
      </c>
      <c r="G130" s="1" t="s">
        <v>512</v>
      </c>
      <c r="H130">
        <v>6.1459999999999999</v>
      </c>
      <c r="I130" s="1" t="s">
        <v>513</v>
      </c>
      <c r="J130" s="2">
        <v>46129</v>
      </c>
      <c r="K130" t="s">
        <v>21</v>
      </c>
      <c r="L130" t="s">
        <v>21</v>
      </c>
      <c r="M130" t="s">
        <v>21</v>
      </c>
      <c r="N130">
        <v>372</v>
      </c>
      <c r="O130">
        <v>3.3515869999999999</v>
      </c>
      <c r="P130">
        <v>6.2211400000000001</v>
      </c>
      <c r="Q130">
        <f t="shared" si="2"/>
        <v>0.97381473699910748</v>
      </c>
    </row>
    <row r="131" spans="1:17" x14ac:dyDescent="0.3">
      <c r="A131" t="s">
        <v>509</v>
      </c>
      <c r="B131" t="s">
        <v>510</v>
      </c>
      <c r="C131" t="s">
        <v>514</v>
      </c>
      <c r="D131">
        <v>2188582.9559999998</v>
      </c>
      <c r="E131">
        <v>6026065.392</v>
      </c>
      <c r="F131" s="1" t="s">
        <v>515</v>
      </c>
      <c r="G131" s="1" t="s">
        <v>516</v>
      </c>
      <c r="H131">
        <v>6.2240000000000002</v>
      </c>
      <c r="I131" s="1" t="s">
        <v>517</v>
      </c>
      <c r="J131" s="2">
        <v>46129</v>
      </c>
      <c r="K131" t="s">
        <v>21</v>
      </c>
      <c r="L131" t="s">
        <v>21</v>
      </c>
      <c r="M131" t="s">
        <v>21</v>
      </c>
      <c r="N131">
        <v>372</v>
      </c>
      <c r="O131">
        <v>3.3515869999999999</v>
      </c>
      <c r="P131">
        <v>6.2211400000000001</v>
      </c>
      <c r="Q131">
        <f t="shared" si="2"/>
        <v>1.0009966709100686</v>
      </c>
    </row>
    <row r="132" spans="1:17" x14ac:dyDescent="0.3">
      <c r="A132" t="s">
        <v>509</v>
      </c>
      <c r="B132" t="s">
        <v>510</v>
      </c>
      <c r="C132" t="s">
        <v>518</v>
      </c>
      <c r="D132">
        <v>2188583.7400000002</v>
      </c>
      <c r="E132">
        <v>6026065.1739999996</v>
      </c>
      <c r="F132" s="1" t="s">
        <v>519</v>
      </c>
      <c r="G132" s="1" t="s">
        <v>520</v>
      </c>
      <c r="H132">
        <v>6.18</v>
      </c>
      <c r="I132" s="1" t="s">
        <v>142</v>
      </c>
      <c r="J132" s="2">
        <v>46129</v>
      </c>
      <c r="K132" t="s">
        <v>21</v>
      </c>
      <c r="L132" t="s">
        <v>21</v>
      </c>
      <c r="M132" t="s">
        <v>21</v>
      </c>
      <c r="N132">
        <v>372</v>
      </c>
      <c r="O132">
        <v>3.3515869999999999</v>
      </c>
      <c r="P132">
        <v>6.2211400000000001</v>
      </c>
      <c r="Q132">
        <f t="shared" si="2"/>
        <v>0.98566327229362882</v>
      </c>
    </row>
    <row r="133" spans="1:17" x14ac:dyDescent="0.3">
      <c r="A133" t="s">
        <v>509</v>
      </c>
      <c r="B133" t="s">
        <v>510</v>
      </c>
      <c r="C133" t="s">
        <v>521</v>
      </c>
      <c r="D133">
        <v>2188565.9739999999</v>
      </c>
      <c r="E133">
        <v>6025988.9359999998</v>
      </c>
      <c r="F133" s="1" t="s">
        <v>522</v>
      </c>
      <c r="G133" s="1" t="s">
        <v>523</v>
      </c>
      <c r="H133">
        <v>6.351</v>
      </c>
      <c r="I133" s="1" t="s">
        <v>524</v>
      </c>
      <c r="J133" s="2">
        <v>46129</v>
      </c>
      <c r="K133" t="s">
        <v>21</v>
      </c>
      <c r="L133" t="s">
        <v>21</v>
      </c>
      <c r="M133" t="s">
        <v>21</v>
      </c>
      <c r="N133">
        <v>372</v>
      </c>
      <c r="O133">
        <v>3.3515869999999999</v>
      </c>
      <c r="P133">
        <v>6.2211400000000001</v>
      </c>
      <c r="Q133">
        <f t="shared" si="2"/>
        <v>1.0452544350984281</v>
      </c>
    </row>
    <row r="134" spans="1:17" x14ac:dyDescent="0.3">
      <c r="A134" t="s">
        <v>509</v>
      </c>
      <c r="B134" t="s">
        <v>510</v>
      </c>
      <c r="C134" t="s">
        <v>525</v>
      </c>
      <c r="D134">
        <v>2188566.3790000002</v>
      </c>
      <c r="E134">
        <v>6025988.8370000003</v>
      </c>
      <c r="F134" s="1" t="s">
        <v>526</v>
      </c>
      <c r="G134" s="1" t="s">
        <v>527</v>
      </c>
      <c r="H134">
        <v>6.367</v>
      </c>
      <c r="I134" s="1" t="s">
        <v>528</v>
      </c>
      <c r="J134" s="2">
        <v>46129</v>
      </c>
      <c r="K134" t="s">
        <v>21</v>
      </c>
      <c r="L134" t="s">
        <v>21</v>
      </c>
      <c r="M134" t="s">
        <v>21</v>
      </c>
      <c r="N134">
        <v>372</v>
      </c>
      <c r="O134">
        <v>3.3515869999999999</v>
      </c>
      <c r="P134">
        <v>6.2211400000000001</v>
      </c>
      <c r="Q134">
        <f t="shared" si="2"/>
        <v>1.0508302164134971</v>
      </c>
    </row>
    <row r="135" spans="1:17" x14ac:dyDescent="0.3">
      <c r="A135" t="s">
        <v>509</v>
      </c>
      <c r="B135" t="s">
        <v>510</v>
      </c>
      <c r="C135" t="s">
        <v>529</v>
      </c>
      <c r="D135">
        <v>2188566.7680000002</v>
      </c>
      <c r="E135">
        <v>6025988.8080000002</v>
      </c>
      <c r="F135" s="1" t="s">
        <v>530</v>
      </c>
      <c r="G135" s="1" t="s">
        <v>531</v>
      </c>
      <c r="H135">
        <v>6.35</v>
      </c>
      <c r="I135" s="1" t="s">
        <v>532</v>
      </c>
      <c r="J135" s="2">
        <v>46129</v>
      </c>
      <c r="K135" t="s">
        <v>21</v>
      </c>
      <c r="L135" t="s">
        <v>21</v>
      </c>
      <c r="M135" t="s">
        <v>21</v>
      </c>
      <c r="N135">
        <v>372</v>
      </c>
      <c r="O135">
        <v>3.3515869999999999</v>
      </c>
      <c r="P135">
        <v>6.2211400000000001</v>
      </c>
      <c r="Q135">
        <f t="shared" si="2"/>
        <v>1.0449059487662362</v>
      </c>
    </row>
    <row r="136" spans="1:17" x14ac:dyDescent="0.3">
      <c r="A136" t="s">
        <v>509</v>
      </c>
      <c r="B136" t="s">
        <v>510</v>
      </c>
      <c r="C136" t="s">
        <v>533</v>
      </c>
      <c r="D136">
        <v>2188562.051</v>
      </c>
      <c r="E136">
        <v>6025970.2699999996</v>
      </c>
      <c r="F136" s="1" t="s">
        <v>534</v>
      </c>
      <c r="G136" s="1" t="s">
        <v>535</v>
      </c>
      <c r="H136">
        <v>6.4340000000000002</v>
      </c>
      <c r="I136" s="1" t="s">
        <v>536</v>
      </c>
      <c r="J136" s="2">
        <v>46129</v>
      </c>
      <c r="K136" t="s">
        <v>21</v>
      </c>
      <c r="L136" t="s">
        <v>21</v>
      </c>
      <c r="M136" t="s">
        <v>21</v>
      </c>
      <c r="N136">
        <v>372</v>
      </c>
      <c r="O136">
        <v>3.3515869999999999</v>
      </c>
      <c r="P136">
        <v>6.2211400000000001</v>
      </c>
      <c r="Q136">
        <f t="shared" si="2"/>
        <v>1.0741788006703483</v>
      </c>
    </row>
    <row r="137" spans="1:17" x14ac:dyDescent="0.3">
      <c r="A137" t="s">
        <v>509</v>
      </c>
      <c r="B137" t="s">
        <v>510</v>
      </c>
      <c r="C137" t="s">
        <v>537</v>
      </c>
      <c r="D137">
        <v>2188562.6039999998</v>
      </c>
      <c r="E137">
        <v>6025970.0820000004</v>
      </c>
      <c r="F137" s="1" t="s">
        <v>538</v>
      </c>
      <c r="G137" s="1" t="s">
        <v>539</v>
      </c>
      <c r="H137">
        <v>6.4029999999999996</v>
      </c>
      <c r="I137" s="1" t="s">
        <v>540</v>
      </c>
      <c r="J137" s="2">
        <v>46129</v>
      </c>
      <c r="K137" t="s">
        <v>21</v>
      </c>
      <c r="L137" t="s">
        <v>21</v>
      </c>
      <c r="M137" t="s">
        <v>21</v>
      </c>
      <c r="N137">
        <v>372</v>
      </c>
      <c r="O137">
        <v>3.3515869999999999</v>
      </c>
      <c r="P137">
        <v>6.2211400000000001</v>
      </c>
      <c r="Q137">
        <f t="shared" si="2"/>
        <v>1.063375724372402</v>
      </c>
    </row>
    <row r="138" spans="1:17" x14ac:dyDescent="0.3">
      <c r="A138" t="s">
        <v>509</v>
      </c>
      <c r="B138" t="s">
        <v>510</v>
      </c>
      <c r="C138" t="s">
        <v>541</v>
      </c>
      <c r="D138">
        <v>2188563.1039999998</v>
      </c>
      <c r="E138">
        <v>6025969.8020000001</v>
      </c>
      <c r="F138" s="1" t="s">
        <v>542</v>
      </c>
      <c r="G138" s="1" t="s">
        <v>543</v>
      </c>
      <c r="H138">
        <v>6.4260000000000002</v>
      </c>
      <c r="I138" s="1" t="s">
        <v>544</v>
      </c>
      <c r="J138" s="2">
        <v>46129</v>
      </c>
      <c r="K138" t="s">
        <v>21</v>
      </c>
      <c r="L138" t="s">
        <v>21</v>
      </c>
      <c r="M138" t="s">
        <v>21</v>
      </c>
      <c r="N138">
        <v>372</v>
      </c>
      <c r="O138">
        <v>3.3515869999999999</v>
      </c>
      <c r="P138">
        <v>6.2211400000000001</v>
      </c>
      <c r="Q138">
        <f t="shared" si="2"/>
        <v>1.0713909100128138</v>
      </c>
    </row>
    <row r="139" spans="1:17" x14ac:dyDescent="0.3">
      <c r="A139" t="s">
        <v>509</v>
      </c>
      <c r="B139" t="s">
        <v>510</v>
      </c>
      <c r="C139" t="s">
        <v>545</v>
      </c>
      <c r="D139">
        <v>2188558.2799999998</v>
      </c>
      <c r="E139">
        <v>6025950.2719999999</v>
      </c>
      <c r="F139" s="1" t="s">
        <v>546</v>
      </c>
      <c r="G139" s="1" t="s">
        <v>547</v>
      </c>
      <c r="H139">
        <v>6.343</v>
      </c>
      <c r="I139" s="1" t="s">
        <v>548</v>
      </c>
      <c r="J139" s="2">
        <v>46129</v>
      </c>
      <c r="K139" t="s">
        <v>21</v>
      </c>
      <c r="L139" t="s">
        <v>21</v>
      </c>
      <c r="M139" t="s">
        <v>21</v>
      </c>
      <c r="N139">
        <v>372</v>
      </c>
      <c r="O139">
        <v>3.3515869999999999</v>
      </c>
      <c r="P139">
        <v>6.2211400000000001</v>
      </c>
      <c r="Q139">
        <f t="shared" si="2"/>
        <v>1.0424665444408936</v>
      </c>
    </row>
    <row r="140" spans="1:17" x14ac:dyDescent="0.3">
      <c r="A140" t="s">
        <v>509</v>
      </c>
      <c r="B140" t="s">
        <v>510</v>
      </c>
      <c r="C140" t="s">
        <v>549</v>
      </c>
      <c r="D140">
        <v>2188558.6290000002</v>
      </c>
      <c r="E140">
        <v>6025950.3020000001</v>
      </c>
      <c r="F140" s="1" t="s">
        <v>550</v>
      </c>
      <c r="G140" s="1" t="s">
        <v>551</v>
      </c>
      <c r="H140">
        <v>6.35</v>
      </c>
      <c r="I140" s="1" t="s">
        <v>532</v>
      </c>
      <c r="J140" s="2">
        <v>46129</v>
      </c>
      <c r="K140" t="s">
        <v>21</v>
      </c>
      <c r="L140" t="s">
        <v>21</v>
      </c>
      <c r="M140" t="s">
        <v>21</v>
      </c>
      <c r="N140">
        <v>372</v>
      </c>
      <c r="O140">
        <v>3.3515869999999999</v>
      </c>
      <c r="P140">
        <v>6.2211400000000001</v>
      </c>
      <c r="Q140">
        <f t="shared" si="2"/>
        <v>1.0449059487662362</v>
      </c>
    </row>
    <row r="141" spans="1:17" x14ac:dyDescent="0.3">
      <c r="A141" t="s">
        <v>509</v>
      </c>
      <c r="B141" t="s">
        <v>510</v>
      </c>
      <c r="C141" t="s">
        <v>552</v>
      </c>
      <c r="D141">
        <v>2188559.023</v>
      </c>
      <c r="E141">
        <v>6025950.273</v>
      </c>
      <c r="F141" s="1" t="s">
        <v>553</v>
      </c>
      <c r="G141" s="1" t="s">
        <v>554</v>
      </c>
      <c r="H141">
        <v>6.3380000000000001</v>
      </c>
      <c r="I141" s="1" t="s">
        <v>555</v>
      </c>
      <c r="J141" s="2">
        <v>46129</v>
      </c>
      <c r="K141" t="s">
        <v>21</v>
      </c>
      <c r="L141" t="s">
        <v>21</v>
      </c>
      <c r="M141" t="s">
        <v>21</v>
      </c>
      <c r="N141">
        <v>372</v>
      </c>
      <c r="O141">
        <v>3.3515869999999999</v>
      </c>
      <c r="P141">
        <v>6.2211400000000001</v>
      </c>
      <c r="Q141">
        <f t="shared" si="2"/>
        <v>1.0407241127799347</v>
      </c>
    </row>
    <row r="142" spans="1:17" x14ac:dyDescent="0.3">
      <c r="A142" t="s">
        <v>509</v>
      </c>
      <c r="B142" t="s">
        <v>510</v>
      </c>
      <c r="C142" t="s">
        <v>556</v>
      </c>
      <c r="D142">
        <v>2188554.1379999998</v>
      </c>
      <c r="E142">
        <v>6025930.8849999998</v>
      </c>
      <c r="F142" s="1" t="s">
        <v>557</v>
      </c>
      <c r="G142" s="1" t="s">
        <v>558</v>
      </c>
      <c r="H142">
        <v>6.367</v>
      </c>
      <c r="I142" s="1" t="s">
        <v>528</v>
      </c>
      <c r="J142" s="2">
        <v>46129</v>
      </c>
      <c r="K142" t="s">
        <v>21</v>
      </c>
      <c r="L142" t="s">
        <v>21</v>
      </c>
      <c r="M142" t="s">
        <v>21</v>
      </c>
      <c r="N142">
        <v>372</v>
      </c>
      <c r="O142">
        <v>3.3515869999999999</v>
      </c>
      <c r="P142">
        <v>6.2211400000000001</v>
      </c>
      <c r="Q142">
        <f t="shared" si="2"/>
        <v>1.0508302164134971</v>
      </c>
    </row>
    <row r="143" spans="1:17" x14ac:dyDescent="0.3">
      <c r="A143" t="s">
        <v>509</v>
      </c>
      <c r="B143" t="s">
        <v>510</v>
      </c>
      <c r="C143" t="s">
        <v>559</v>
      </c>
      <c r="D143">
        <v>2188554.6140000001</v>
      </c>
      <c r="E143">
        <v>6025930.8969999999</v>
      </c>
      <c r="F143" s="1" t="s">
        <v>560</v>
      </c>
      <c r="G143" s="1" t="s">
        <v>561</v>
      </c>
      <c r="H143">
        <v>6.3760000000000003</v>
      </c>
      <c r="I143" s="1" t="s">
        <v>562</v>
      </c>
      <c r="J143" s="2">
        <v>46129</v>
      </c>
      <c r="K143" t="s">
        <v>21</v>
      </c>
      <c r="L143" t="s">
        <v>21</v>
      </c>
      <c r="M143" t="s">
        <v>21</v>
      </c>
      <c r="N143">
        <v>372</v>
      </c>
      <c r="O143">
        <v>3.3515869999999999</v>
      </c>
      <c r="P143">
        <v>6.2211400000000001</v>
      </c>
      <c r="Q143">
        <f t="shared" si="2"/>
        <v>1.0539665934032234</v>
      </c>
    </row>
    <row r="144" spans="1:17" x14ac:dyDescent="0.3">
      <c r="A144" t="s">
        <v>509</v>
      </c>
      <c r="B144" t="s">
        <v>510</v>
      </c>
      <c r="C144" t="s">
        <v>563</v>
      </c>
      <c r="D144">
        <v>2188555.091</v>
      </c>
      <c r="E144">
        <v>6025930.7439999999</v>
      </c>
      <c r="F144" s="1" t="s">
        <v>564</v>
      </c>
      <c r="G144" s="1" t="s">
        <v>565</v>
      </c>
      <c r="H144">
        <v>6.3890000000000002</v>
      </c>
      <c r="I144" s="1" t="s">
        <v>566</v>
      </c>
      <c r="J144" s="2">
        <v>46129</v>
      </c>
      <c r="K144" t="s">
        <v>21</v>
      </c>
      <c r="L144" t="s">
        <v>21</v>
      </c>
      <c r="M144" t="s">
        <v>21</v>
      </c>
      <c r="N144">
        <v>372</v>
      </c>
      <c r="O144">
        <v>3.3515869999999999</v>
      </c>
      <c r="P144">
        <v>6.2211400000000001</v>
      </c>
      <c r="Q144">
        <f t="shared" si="2"/>
        <v>1.058496915721717</v>
      </c>
    </row>
    <row r="145" spans="1:17" x14ac:dyDescent="0.3">
      <c r="A145" t="s">
        <v>509</v>
      </c>
      <c r="B145" t="s">
        <v>510</v>
      </c>
      <c r="C145" t="s">
        <v>567</v>
      </c>
      <c r="D145">
        <v>2188551.486</v>
      </c>
      <c r="E145">
        <v>6025918.8169999998</v>
      </c>
      <c r="F145" s="1" t="s">
        <v>568</v>
      </c>
      <c r="G145" s="1" t="s">
        <v>569</v>
      </c>
      <c r="H145">
        <v>6.7640000000000002</v>
      </c>
      <c r="I145" s="1" t="s">
        <v>570</v>
      </c>
      <c r="J145" s="2">
        <v>46129</v>
      </c>
      <c r="K145" t="s">
        <v>21</v>
      </c>
      <c r="L145" t="s">
        <v>21</v>
      </c>
      <c r="M145" t="s">
        <v>21</v>
      </c>
      <c r="N145">
        <v>372</v>
      </c>
      <c r="O145">
        <v>3.3515869999999999</v>
      </c>
      <c r="P145">
        <v>6.2211400000000001</v>
      </c>
      <c r="Q145">
        <f t="shared" si="2"/>
        <v>1.1891792902936451</v>
      </c>
    </row>
    <row r="146" spans="1:17" x14ac:dyDescent="0.3">
      <c r="A146" t="s">
        <v>509</v>
      </c>
      <c r="B146" t="s">
        <v>510</v>
      </c>
      <c r="C146" t="s">
        <v>571</v>
      </c>
      <c r="D146">
        <v>2188551.9369999999</v>
      </c>
      <c r="E146">
        <v>6025918.7450000001</v>
      </c>
      <c r="F146" s="1" t="s">
        <v>572</v>
      </c>
      <c r="G146" s="1" t="s">
        <v>573</v>
      </c>
      <c r="H146">
        <v>6.7389999999999999</v>
      </c>
      <c r="I146" s="1" t="s">
        <v>574</v>
      </c>
      <c r="J146" s="2">
        <v>46129</v>
      </c>
      <c r="K146" t="s">
        <v>21</v>
      </c>
      <c r="L146" t="s">
        <v>21</v>
      </c>
      <c r="M146" t="s">
        <v>21</v>
      </c>
      <c r="N146">
        <v>372</v>
      </c>
      <c r="O146">
        <v>3.3515869999999999</v>
      </c>
      <c r="P146">
        <v>6.2211400000000001</v>
      </c>
      <c r="Q146">
        <f t="shared" si="2"/>
        <v>1.1804671319888498</v>
      </c>
    </row>
    <row r="147" spans="1:17" x14ac:dyDescent="0.3">
      <c r="A147" t="s">
        <v>509</v>
      </c>
      <c r="B147" t="s">
        <v>510</v>
      </c>
      <c r="C147" t="s">
        <v>575</v>
      </c>
      <c r="D147">
        <v>2188552.3859999999</v>
      </c>
      <c r="E147">
        <v>6025918.807</v>
      </c>
      <c r="F147" s="1" t="s">
        <v>576</v>
      </c>
      <c r="G147" s="1" t="s">
        <v>577</v>
      </c>
      <c r="H147">
        <v>6.7469999999999999</v>
      </c>
      <c r="I147" s="1" t="s">
        <v>578</v>
      </c>
      <c r="J147" s="2">
        <v>46129</v>
      </c>
      <c r="K147" t="s">
        <v>21</v>
      </c>
      <c r="L147" t="s">
        <v>21</v>
      </c>
      <c r="M147" t="s">
        <v>21</v>
      </c>
      <c r="N147">
        <v>372</v>
      </c>
      <c r="O147">
        <v>3.3515869999999999</v>
      </c>
      <c r="P147">
        <v>6.2211400000000001</v>
      </c>
      <c r="Q147">
        <f t="shared" si="2"/>
        <v>1.1832550226463843</v>
      </c>
    </row>
    <row r="148" spans="1:17" x14ac:dyDescent="0.3">
      <c r="A148" t="s">
        <v>509</v>
      </c>
      <c r="B148" t="s">
        <v>510</v>
      </c>
      <c r="C148" t="s">
        <v>579</v>
      </c>
      <c r="D148">
        <v>2188550.4070000001</v>
      </c>
      <c r="E148">
        <v>6025913.7110000001</v>
      </c>
      <c r="F148">
        <v>0</v>
      </c>
      <c r="G148">
        <v>0</v>
      </c>
      <c r="H148">
        <v>6.6790000000000003</v>
      </c>
      <c r="I148" s="1" t="s">
        <v>580</v>
      </c>
      <c r="J148" s="2">
        <v>46129</v>
      </c>
      <c r="K148" t="s">
        <v>21</v>
      </c>
      <c r="L148" t="s">
        <v>21</v>
      </c>
      <c r="M148" t="s">
        <v>21</v>
      </c>
      <c r="N148">
        <v>372</v>
      </c>
      <c r="O148">
        <v>3.3515869999999999</v>
      </c>
      <c r="P148">
        <v>6.2211400000000001</v>
      </c>
      <c r="Q148">
        <f t="shared" si="2"/>
        <v>1.1595579520573414</v>
      </c>
    </row>
    <row r="149" spans="1:17" x14ac:dyDescent="0.3">
      <c r="A149" t="s">
        <v>509</v>
      </c>
      <c r="B149" t="s">
        <v>510</v>
      </c>
      <c r="C149" t="s">
        <v>581</v>
      </c>
      <c r="D149">
        <v>2188550.8220000002</v>
      </c>
      <c r="E149">
        <v>6025913.5460000001</v>
      </c>
      <c r="F149" s="1" t="s">
        <v>582</v>
      </c>
      <c r="G149" s="1" t="s">
        <v>583</v>
      </c>
      <c r="H149">
        <v>6.6970000000000001</v>
      </c>
      <c r="I149" s="1" t="s">
        <v>584</v>
      </c>
      <c r="J149" s="2">
        <v>46129</v>
      </c>
      <c r="K149" t="s">
        <v>21</v>
      </c>
      <c r="L149" t="s">
        <v>21</v>
      </c>
      <c r="M149" t="s">
        <v>21</v>
      </c>
      <c r="N149">
        <v>372</v>
      </c>
      <c r="O149">
        <v>3.3515869999999999</v>
      </c>
      <c r="P149">
        <v>6.2211400000000001</v>
      </c>
      <c r="Q149">
        <f t="shared" si="2"/>
        <v>1.1658307060367938</v>
      </c>
    </row>
    <row r="150" spans="1:17" x14ac:dyDescent="0.3">
      <c r="A150" t="s">
        <v>509</v>
      </c>
      <c r="B150" t="s">
        <v>510</v>
      </c>
      <c r="C150" t="s">
        <v>585</v>
      </c>
      <c r="D150">
        <v>2188551.2459999998</v>
      </c>
      <c r="E150">
        <v>6025913.7560000001</v>
      </c>
      <c r="F150" s="1" t="s">
        <v>586</v>
      </c>
      <c r="G150">
        <v>0.84020592699999996</v>
      </c>
      <c r="H150">
        <v>6.7320000000000002</v>
      </c>
      <c r="I150" s="1" t="s">
        <v>587</v>
      </c>
      <c r="J150" s="2">
        <v>46129</v>
      </c>
      <c r="K150" t="s">
        <v>21</v>
      </c>
      <c r="L150" t="s">
        <v>21</v>
      </c>
      <c r="M150" t="s">
        <v>21</v>
      </c>
      <c r="N150">
        <v>372</v>
      </c>
      <c r="O150">
        <v>3.3515869999999999</v>
      </c>
      <c r="P150">
        <v>6.2211400000000001</v>
      </c>
      <c r="Q150">
        <f t="shared" si="2"/>
        <v>1.1780277276635072</v>
      </c>
    </row>
    <row r="151" spans="1:17" x14ac:dyDescent="0.3">
      <c r="A151" t="s">
        <v>509</v>
      </c>
      <c r="B151" t="s">
        <v>588</v>
      </c>
      <c r="C151" t="s">
        <v>589</v>
      </c>
      <c r="D151">
        <v>2188642.9389999998</v>
      </c>
      <c r="E151">
        <v>6025897.4960000003</v>
      </c>
      <c r="F151">
        <v>0</v>
      </c>
      <c r="G151">
        <v>0</v>
      </c>
      <c r="H151">
        <v>6.7830000000000004</v>
      </c>
      <c r="I151">
        <v>2.0674625350000002</v>
      </c>
      <c r="J151" s="2">
        <v>46129</v>
      </c>
      <c r="K151" t="s">
        <v>21</v>
      </c>
      <c r="L151" t="s">
        <v>21</v>
      </c>
      <c r="M151" t="s">
        <v>21</v>
      </c>
      <c r="N151">
        <v>372</v>
      </c>
      <c r="O151">
        <v>3.3515869999999999</v>
      </c>
      <c r="P151">
        <v>6.2211400000000001</v>
      </c>
      <c r="Q151">
        <f t="shared" si="2"/>
        <v>1.1958005306052895</v>
      </c>
    </row>
    <row r="152" spans="1:17" x14ac:dyDescent="0.3">
      <c r="A152" t="s">
        <v>509</v>
      </c>
      <c r="B152" t="s">
        <v>588</v>
      </c>
      <c r="C152" t="s">
        <v>590</v>
      </c>
      <c r="D152">
        <v>2188643.2850000001</v>
      </c>
      <c r="E152">
        <v>6025897.5690000001</v>
      </c>
      <c r="F152" s="1" t="s">
        <v>591</v>
      </c>
      <c r="G152" s="1" t="s">
        <v>592</v>
      </c>
      <c r="H152">
        <v>6.7789999999999999</v>
      </c>
      <c r="I152" s="1" t="s">
        <v>593</v>
      </c>
      <c r="J152" s="2">
        <v>46129</v>
      </c>
      <c r="K152" t="s">
        <v>21</v>
      </c>
      <c r="L152" t="s">
        <v>21</v>
      </c>
      <c r="M152" t="s">
        <v>21</v>
      </c>
      <c r="N152">
        <v>372</v>
      </c>
      <c r="O152">
        <v>3.3515869999999999</v>
      </c>
      <c r="P152">
        <v>6.2211400000000001</v>
      </c>
      <c r="Q152">
        <f t="shared" si="2"/>
        <v>1.194406585276522</v>
      </c>
    </row>
    <row r="153" spans="1:17" x14ac:dyDescent="0.3">
      <c r="A153" t="s">
        <v>509</v>
      </c>
      <c r="B153" t="s">
        <v>588</v>
      </c>
      <c r="C153" t="s">
        <v>594</v>
      </c>
      <c r="D153">
        <v>2188643.7310000001</v>
      </c>
      <c r="E153">
        <v>6025897.7120000003</v>
      </c>
      <c r="F153" s="1" t="s">
        <v>595</v>
      </c>
      <c r="G153" s="1" t="s">
        <v>596</v>
      </c>
      <c r="H153">
        <v>6.75</v>
      </c>
      <c r="I153" s="1" t="s">
        <v>597</v>
      </c>
      <c r="J153" s="2">
        <v>46129</v>
      </c>
      <c r="K153" t="s">
        <v>21</v>
      </c>
      <c r="L153" t="s">
        <v>21</v>
      </c>
      <c r="M153" t="s">
        <v>21</v>
      </c>
      <c r="N153">
        <v>372</v>
      </c>
      <c r="O153">
        <v>3.3515869999999999</v>
      </c>
      <c r="P153">
        <v>6.2211400000000001</v>
      </c>
      <c r="Q153">
        <f t="shared" si="2"/>
        <v>1.1843004816429596</v>
      </c>
    </row>
    <row r="154" spans="1:17" x14ac:dyDescent="0.3">
      <c r="A154" t="s">
        <v>509</v>
      </c>
      <c r="B154" t="s">
        <v>588</v>
      </c>
      <c r="C154" t="s">
        <v>598</v>
      </c>
      <c r="D154">
        <v>2188643.5980000002</v>
      </c>
      <c r="E154">
        <v>6025902.1009999998</v>
      </c>
      <c r="F154" s="1" t="s">
        <v>599</v>
      </c>
      <c r="G154" s="1" t="s">
        <v>600</v>
      </c>
      <c r="H154">
        <v>6.6219999999999999</v>
      </c>
      <c r="I154" s="1" t="s">
        <v>601</v>
      </c>
      <c r="J154" s="2">
        <v>46129</v>
      </c>
      <c r="K154" t="s">
        <v>21</v>
      </c>
      <c r="L154" t="s">
        <v>21</v>
      </c>
      <c r="M154" t="s">
        <v>21</v>
      </c>
      <c r="N154">
        <v>372</v>
      </c>
      <c r="O154">
        <v>3.3515869999999999</v>
      </c>
      <c r="P154">
        <v>6.2211400000000001</v>
      </c>
      <c r="Q154">
        <f t="shared" si="2"/>
        <v>1.1396942311224081</v>
      </c>
    </row>
    <row r="155" spans="1:17" x14ac:dyDescent="0.3">
      <c r="A155" t="s">
        <v>509</v>
      </c>
      <c r="B155" t="s">
        <v>588</v>
      </c>
      <c r="C155" t="s">
        <v>602</v>
      </c>
      <c r="D155">
        <v>2188643.9410000001</v>
      </c>
      <c r="E155">
        <v>6025901.9989999998</v>
      </c>
      <c r="F155" s="1" t="s">
        <v>603</v>
      </c>
      <c r="G155">
        <v>4.6131348340000002</v>
      </c>
      <c r="H155">
        <v>6.625</v>
      </c>
      <c r="I155" s="1" t="s">
        <v>604</v>
      </c>
      <c r="J155" s="2">
        <v>46129</v>
      </c>
      <c r="K155" t="s">
        <v>21</v>
      </c>
      <c r="L155" t="s">
        <v>21</v>
      </c>
      <c r="M155" t="s">
        <v>21</v>
      </c>
      <c r="N155">
        <v>372</v>
      </c>
      <c r="O155">
        <v>3.3515869999999999</v>
      </c>
      <c r="P155">
        <v>6.2211400000000001</v>
      </c>
      <c r="Q155">
        <f t="shared" si="2"/>
        <v>1.1407396901189837</v>
      </c>
    </row>
    <row r="156" spans="1:17" x14ac:dyDescent="0.3">
      <c r="A156" t="s">
        <v>509</v>
      </c>
      <c r="B156" t="s">
        <v>588</v>
      </c>
      <c r="C156" t="s">
        <v>605</v>
      </c>
      <c r="D156">
        <v>2188644.4449999998</v>
      </c>
      <c r="E156">
        <v>6025902.1749999998</v>
      </c>
      <c r="F156" s="1" t="s">
        <v>606</v>
      </c>
      <c r="G156" s="1" t="s">
        <v>607</v>
      </c>
      <c r="H156">
        <v>6.6239999999999997</v>
      </c>
      <c r="I156" s="1" t="s">
        <v>608</v>
      </c>
      <c r="J156" s="2">
        <v>46129</v>
      </c>
      <c r="K156" t="s">
        <v>21</v>
      </c>
      <c r="L156" t="s">
        <v>21</v>
      </c>
      <c r="M156" t="s">
        <v>21</v>
      </c>
      <c r="N156">
        <v>372</v>
      </c>
      <c r="O156">
        <v>3.3515869999999999</v>
      </c>
      <c r="P156">
        <v>6.2211400000000001</v>
      </c>
      <c r="Q156">
        <f t="shared" si="2"/>
        <v>1.1403912037867918</v>
      </c>
    </row>
    <row r="157" spans="1:17" x14ac:dyDescent="0.3">
      <c r="A157" t="s">
        <v>509</v>
      </c>
      <c r="B157" t="s">
        <v>588</v>
      </c>
      <c r="C157" t="s">
        <v>609</v>
      </c>
      <c r="D157">
        <v>2188644.4309999999</v>
      </c>
      <c r="E157">
        <v>6025915.3370000003</v>
      </c>
      <c r="F157" s="1" t="s">
        <v>610</v>
      </c>
      <c r="G157" s="1" t="s">
        <v>611</v>
      </c>
      <c r="H157">
        <v>6.4710000000000001</v>
      </c>
      <c r="I157" s="1" t="s">
        <v>612</v>
      </c>
      <c r="J157" s="2">
        <v>46129</v>
      </c>
      <c r="K157" t="s">
        <v>21</v>
      </c>
      <c r="L157" t="s">
        <v>21</v>
      </c>
      <c r="M157" t="s">
        <v>21</v>
      </c>
      <c r="N157">
        <v>372</v>
      </c>
      <c r="O157">
        <v>3.3515869999999999</v>
      </c>
      <c r="P157">
        <v>6.2211400000000001</v>
      </c>
      <c r="Q157">
        <f t="shared" si="2"/>
        <v>1.0870727949614452</v>
      </c>
    </row>
    <row r="158" spans="1:17" x14ac:dyDescent="0.3">
      <c r="A158" t="s">
        <v>509</v>
      </c>
      <c r="B158" t="s">
        <v>588</v>
      </c>
      <c r="C158" t="s">
        <v>613</v>
      </c>
      <c r="D158">
        <v>2188644.9190000002</v>
      </c>
      <c r="E158">
        <v>6025915.4570000004</v>
      </c>
      <c r="F158" s="1" t="s">
        <v>614</v>
      </c>
      <c r="G158" s="1" t="s">
        <v>615</v>
      </c>
      <c r="H158">
        <v>6.4939999999999998</v>
      </c>
      <c r="I158" s="1" t="s">
        <v>616</v>
      </c>
      <c r="J158" s="2">
        <v>46129</v>
      </c>
      <c r="K158" t="s">
        <v>21</v>
      </c>
      <c r="L158" t="s">
        <v>21</v>
      </c>
      <c r="M158" t="s">
        <v>21</v>
      </c>
      <c r="N158">
        <v>372</v>
      </c>
      <c r="O158">
        <v>3.3515869999999999</v>
      </c>
      <c r="P158">
        <v>6.2211400000000001</v>
      </c>
      <c r="Q158">
        <f t="shared" si="2"/>
        <v>1.0950879806018567</v>
      </c>
    </row>
    <row r="159" spans="1:17" x14ac:dyDescent="0.3">
      <c r="A159" t="s">
        <v>509</v>
      </c>
      <c r="B159" t="s">
        <v>588</v>
      </c>
      <c r="C159" t="s">
        <v>617</v>
      </c>
      <c r="D159">
        <v>2188645.4989999998</v>
      </c>
      <c r="E159">
        <v>6025915.517</v>
      </c>
      <c r="F159" s="1" t="s">
        <v>618</v>
      </c>
      <c r="G159" s="1" t="s">
        <v>619</v>
      </c>
      <c r="H159">
        <v>6.484</v>
      </c>
      <c r="I159" s="1" t="s">
        <v>620</v>
      </c>
      <c r="J159" s="2">
        <v>46129</v>
      </c>
      <c r="K159" t="s">
        <v>21</v>
      </c>
      <c r="L159" t="s">
        <v>21</v>
      </c>
      <c r="M159" t="s">
        <v>21</v>
      </c>
      <c r="N159">
        <v>372</v>
      </c>
      <c r="O159">
        <v>3.3515869999999999</v>
      </c>
      <c r="P159">
        <v>6.2211400000000001</v>
      </c>
      <c r="Q159">
        <f t="shared" si="2"/>
        <v>1.0916031172799388</v>
      </c>
    </row>
    <row r="160" spans="1:17" x14ac:dyDescent="0.3">
      <c r="A160" t="s">
        <v>509</v>
      </c>
      <c r="B160" t="s">
        <v>588</v>
      </c>
      <c r="C160" t="s">
        <v>621</v>
      </c>
      <c r="D160">
        <v>2188646.0649999999</v>
      </c>
      <c r="E160">
        <v>6025935.0930000003</v>
      </c>
      <c r="F160" s="1" t="s">
        <v>622</v>
      </c>
      <c r="G160" s="1" t="s">
        <v>623</v>
      </c>
      <c r="H160">
        <v>6.3710000000000004</v>
      </c>
      <c r="I160" s="1" t="s">
        <v>624</v>
      </c>
      <c r="J160" s="2">
        <v>46129</v>
      </c>
      <c r="K160" t="s">
        <v>21</v>
      </c>
      <c r="L160" t="s">
        <v>21</v>
      </c>
      <c r="M160" t="s">
        <v>21</v>
      </c>
      <c r="N160">
        <v>372</v>
      </c>
      <c r="O160">
        <v>3.3515869999999999</v>
      </c>
      <c r="P160">
        <v>6.2211400000000001</v>
      </c>
      <c r="Q160">
        <f t="shared" si="2"/>
        <v>1.0522241617422645</v>
      </c>
    </row>
    <row r="161" spans="1:17" x14ac:dyDescent="0.3">
      <c r="A161" t="s">
        <v>509</v>
      </c>
      <c r="B161" t="s">
        <v>588</v>
      </c>
      <c r="C161" t="s">
        <v>625</v>
      </c>
      <c r="D161">
        <v>2188646.389</v>
      </c>
      <c r="E161">
        <v>6025935.0489999996</v>
      </c>
      <c r="F161" s="1" t="s">
        <v>626</v>
      </c>
      <c r="G161" s="1" t="s">
        <v>627</v>
      </c>
      <c r="H161">
        <v>6.3959999999999999</v>
      </c>
      <c r="I161" s="1" t="s">
        <v>628</v>
      </c>
      <c r="J161" s="2">
        <v>46129</v>
      </c>
      <c r="K161" t="s">
        <v>21</v>
      </c>
      <c r="L161" t="s">
        <v>21</v>
      </c>
      <c r="M161" t="s">
        <v>21</v>
      </c>
      <c r="N161">
        <v>372</v>
      </c>
      <c r="O161">
        <v>3.3515869999999999</v>
      </c>
      <c r="P161">
        <v>6.2211400000000001</v>
      </c>
      <c r="Q161">
        <f t="shared" si="2"/>
        <v>1.0609363200470596</v>
      </c>
    </row>
    <row r="162" spans="1:17" x14ac:dyDescent="0.3">
      <c r="A162" t="s">
        <v>509</v>
      </c>
      <c r="B162" t="s">
        <v>588</v>
      </c>
      <c r="C162" t="s">
        <v>629</v>
      </c>
      <c r="D162">
        <v>2188646.9500000002</v>
      </c>
      <c r="E162">
        <v>6025935.051</v>
      </c>
      <c r="F162" s="1" t="s">
        <v>630</v>
      </c>
      <c r="G162" s="1" t="s">
        <v>631</v>
      </c>
      <c r="H162">
        <v>6.423</v>
      </c>
      <c r="I162" s="1" t="s">
        <v>632</v>
      </c>
      <c r="J162" s="2">
        <v>46129</v>
      </c>
      <c r="K162" t="s">
        <v>21</v>
      </c>
      <c r="L162" t="s">
        <v>21</v>
      </c>
      <c r="M162" t="s">
        <v>21</v>
      </c>
      <c r="N162">
        <v>372</v>
      </c>
      <c r="O162">
        <v>3.3515869999999999</v>
      </c>
      <c r="P162">
        <v>6.2211400000000001</v>
      </c>
      <c r="Q162">
        <f t="shared" si="2"/>
        <v>1.0703454510162385</v>
      </c>
    </row>
    <row r="163" spans="1:17" x14ac:dyDescent="0.3">
      <c r="A163" t="s">
        <v>509</v>
      </c>
      <c r="B163" t="s">
        <v>588</v>
      </c>
      <c r="C163" t="s">
        <v>633</v>
      </c>
      <c r="D163">
        <v>2188647.389</v>
      </c>
      <c r="E163">
        <v>6025954.8550000004</v>
      </c>
      <c r="F163" s="1" t="s">
        <v>634</v>
      </c>
      <c r="G163">
        <v>57.531359979999998</v>
      </c>
      <c r="H163">
        <v>6.4240000000000004</v>
      </c>
      <c r="I163" s="1" t="s">
        <v>635</v>
      </c>
      <c r="J163" s="2">
        <v>46129</v>
      </c>
      <c r="K163" t="s">
        <v>21</v>
      </c>
      <c r="L163" t="s">
        <v>21</v>
      </c>
      <c r="M163" t="s">
        <v>21</v>
      </c>
      <c r="N163">
        <v>372</v>
      </c>
      <c r="O163">
        <v>3.3515869999999999</v>
      </c>
      <c r="P163">
        <v>6.2211400000000001</v>
      </c>
      <c r="Q163">
        <f t="shared" si="2"/>
        <v>1.0706939373484303</v>
      </c>
    </row>
    <row r="164" spans="1:17" x14ac:dyDescent="0.3">
      <c r="A164" t="s">
        <v>509</v>
      </c>
      <c r="B164" t="s">
        <v>588</v>
      </c>
      <c r="C164" t="s">
        <v>636</v>
      </c>
      <c r="D164">
        <v>2188647.844</v>
      </c>
      <c r="E164">
        <v>6025954.8760000002</v>
      </c>
      <c r="F164" s="1" t="s">
        <v>637</v>
      </c>
      <c r="G164" s="1" t="s">
        <v>638</v>
      </c>
      <c r="H164">
        <v>6.3650000000000002</v>
      </c>
      <c r="I164" s="1" t="s">
        <v>639</v>
      </c>
      <c r="J164" s="2">
        <v>46129</v>
      </c>
      <c r="K164" t="s">
        <v>21</v>
      </c>
      <c r="L164" t="s">
        <v>21</v>
      </c>
      <c r="M164" t="s">
        <v>21</v>
      </c>
      <c r="N164">
        <v>372</v>
      </c>
      <c r="O164">
        <v>3.3515869999999999</v>
      </c>
      <c r="P164">
        <v>6.2211400000000001</v>
      </c>
      <c r="Q164">
        <f t="shared" si="2"/>
        <v>1.0501332437491135</v>
      </c>
    </row>
    <row r="165" spans="1:17" x14ac:dyDescent="0.3">
      <c r="A165" t="s">
        <v>509</v>
      </c>
      <c r="B165" t="s">
        <v>588</v>
      </c>
      <c r="C165" t="s">
        <v>640</v>
      </c>
      <c r="D165">
        <v>2188648.4330000002</v>
      </c>
      <c r="E165">
        <v>6025955.0719999997</v>
      </c>
      <c r="F165" s="1" t="s">
        <v>641</v>
      </c>
      <c r="G165" s="1" t="s">
        <v>642</v>
      </c>
      <c r="H165">
        <v>6.3479999999999999</v>
      </c>
      <c r="I165" s="1" t="s">
        <v>643</v>
      </c>
      <c r="J165" s="2">
        <v>46129</v>
      </c>
      <c r="K165" t="s">
        <v>21</v>
      </c>
      <c r="L165" t="s">
        <v>21</v>
      </c>
      <c r="M165" t="s">
        <v>21</v>
      </c>
      <c r="N165">
        <v>372</v>
      </c>
      <c r="O165">
        <v>3.3515869999999999</v>
      </c>
      <c r="P165">
        <v>6.2211400000000001</v>
      </c>
      <c r="Q165">
        <f t="shared" si="2"/>
        <v>1.0442089761018527</v>
      </c>
    </row>
    <row r="166" spans="1:17" x14ac:dyDescent="0.3">
      <c r="A166" t="s">
        <v>509</v>
      </c>
      <c r="B166" t="s">
        <v>588</v>
      </c>
      <c r="C166" t="s">
        <v>644</v>
      </c>
      <c r="D166">
        <v>2188649.0610000002</v>
      </c>
      <c r="E166">
        <v>6025974.1900000004</v>
      </c>
      <c r="F166" s="1" t="s">
        <v>645</v>
      </c>
      <c r="G166" s="1" t="s">
        <v>646</v>
      </c>
      <c r="H166">
        <v>6.3650000000000002</v>
      </c>
      <c r="I166" s="1" t="s">
        <v>639</v>
      </c>
      <c r="J166" s="2">
        <v>46129</v>
      </c>
      <c r="K166" t="s">
        <v>21</v>
      </c>
      <c r="L166" t="s">
        <v>21</v>
      </c>
      <c r="M166" t="s">
        <v>21</v>
      </c>
      <c r="N166">
        <v>372</v>
      </c>
      <c r="O166">
        <v>3.3515869999999999</v>
      </c>
      <c r="P166">
        <v>6.2211400000000001</v>
      </c>
      <c r="Q166">
        <f t="shared" si="2"/>
        <v>1.0501332437491135</v>
      </c>
    </row>
    <row r="167" spans="1:17" x14ac:dyDescent="0.3">
      <c r="A167" t="s">
        <v>509</v>
      </c>
      <c r="B167" t="s">
        <v>588</v>
      </c>
      <c r="C167" t="s">
        <v>647</v>
      </c>
      <c r="D167">
        <v>2188649.5189999999</v>
      </c>
      <c r="E167">
        <v>6025974.1490000002</v>
      </c>
      <c r="F167" s="1" t="s">
        <v>648</v>
      </c>
      <c r="G167" s="1" t="s">
        <v>649</v>
      </c>
      <c r="H167">
        <v>6.3869999999999996</v>
      </c>
      <c r="I167" s="1" t="s">
        <v>650</v>
      </c>
      <c r="J167" s="2">
        <v>46129</v>
      </c>
      <c r="K167" t="s">
        <v>21</v>
      </c>
      <c r="L167" t="s">
        <v>21</v>
      </c>
      <c r="M167" t="s">
        <v>21</v>
      </c>
      <c r="N167">
        <v>372</v>
      </c>
      <c r="O167">
        <v>3.3515869999999999</v>
      </c>
      <c r="P167">
        <v>6.2211400000000001</v>
      </c>
      <c r="Q167">
        <f t="shared" si="2"/>
        <v>1.057799943057333</v>
      </c>
    </row>
    <row r="168" spans="1:17" x14ac:dyDescent="0.3">
      <c r="A168" t="s">
        <v>509</v>
      </c>
      <c r="B168" t="s">
        <v>588</v>
      </c>
      <c r="C168" t="s">
        <v>651</v>
      </c>
      <c r="D168">
        <v>2188649.963</v>
      </c>
      <c r="E168">
        <v>6025974.1639999999</v>
      </c>
      <c r="F168" s="1" t="s">
        <v>652</v>
      </c>
      <c r="G168" s="1" t="s">
        <v>653</v>
      </c>
      <c r="H168">
        <v>6.4050000000000002</v>
      </c>
      <c r="I168" s="1" t="s">
        <v>654</v>
      </c>
      <c r="J168" s="2">
        <v>46129</v>
      </c>
      <c r="K168" t="s">
        <v>21</v>
      </c>
      <c r="L168" t="s">
        <v>21</v>
      </c>
      <c r="M168" t="s">
        <v>21</v>
      </c>
      <c r="N168">
        <v>372</v>
      </c>
      <c r="O168">
        <v>3.3515869999999999</v>
      </c>
      <c r="P168">
        <v>6.2211400000000001</v>
      </c>
      <c r="Q168">
        <f t="shared" si="2"/>
        <v>1.064072697036786</v>
      </c>
    </row>
    <row r="169" spans="1:17" x14ac:dyDescent="0.3">
      <c r="A169" t="s">
        <v>509</v>
      </c>
      <c r="B169" t="s">
        <v>588</v>
      </c>
      <c r="C169" t="s">
        <v>655</v>
      </c>
      <c r="D169">
        <v>2188654.0010000002</v>
      </c>
      <c r="E169">
        <v>6026053.0530000003</v>
      </c>
      <c r="F169" s="1" t="s">
        <v>656</v>
      </c>
      <c r="G169" s="1" t="s">
        <v>657</v>
      </c>
      <c r="H169">
        <v>6.1470000000000002</v>
      </c>
      <c r="I169" s="1" t="s">
        <v>368</v>
      </c>
      <c r="J169" s="2">
        <v>46129</v>
      </c>
      <c r="K169" t="s">
        <v>21</v>
      </c>
      <c r="L169" t="s">
        <v>21</v>
      </c>
      <c r="M169" t="s">
        <v>21</v>
      </c>
      <c r="N169">
        <v>372</v>
      </c>
      <c r="O169">
        <v>3.3515869999999999</v>
      </c>
      <c r="P169">
        <v>6.2211400000000001</v>
      </c>
      <c r="Q169">
        <f t="shared" si="2"/>
        <v>0.97416322333129934</v>
      </c>
    </row>
    <row r="170" spans="1:17" x14ac:dyDescent="0.3">
      <c r="A170" t="s">
        <v>509</v>
      </c>
      <c r="B170" t="s">
        <v>588</v>
      </c>
      <c r="C170" t="s">
        <v>658</v>
      </c>
      <c r="D170">
        <v>2188654.7089999998</v>
      </c>
      <c r="E170">
        <v>6026052.9019999998</v>
      </c>
      <c r="F170" s="1" t="s">
        <v>659</v>
      </c>
      <c r="G170">
        <v>155.85107550000001</v>
      </c>
      <c r="H170">
        <v>6.101</v>
      </c>
      <c r="I170" s="1" t="s">
        <v>660</v>
      </c>
      <c r="J170" s="2">
        <v>46129</v>
      </c>
      <c r="K170" t="s">
        <v>21</v>
      </c>
      <c r="L170" t="s">
        <v>21</v>
      </c>
      <c r="M170" t="s">
        <v>21</v>
      </c>
      <c r="N170">
        <v>372</v>
      </c>
      <c r="O170">
        <v>3.3515869999999999</v>
      </c>
      <c r="P170">
        <v>6.2211400000000001</v>
      </c>
      <c r="Q170">
        <f t="shared" si="2"/>
        <v>0.95813285205047616</v>
      </c>
    </row>
    <row r="171" spans="1:17" x14ac:dyDescent="0.3">
      <c r="A171" t="s">
        <v>509</v>
      </c>
      <c r="B171" t="s">
        <v>588</v>
      </c>
      <c r="C171" t="s">
        <v>661</v>
      </c>
      <c r="D171">
        <v>2188655.3199999998</v>
      </c>
      <c r="E171">
        <v>6026052.7810000004</v>
      </c>
      <c r="F171" s="1" t="s">
        <v>662</v>
      </c>
      <c r="G171" s="1" t="s">
        <v>663</v>
      </c>
      <c r="H171">
        <v>6.1879999999999997</v>
      </c>
      <c r="I171" s="1" t="s">
        <v>664</v>
      </c>
      <c r="J171" s="2">
        <v>46129</v>
      </c>
      <c r="K171" t="s">
        <v>21</v>
      </c>
      <c r="L171" t="s">
        <v>21</v>
      </c>
      <c r="M171" t="s">
        <v>21</v>
      </c>
      <c r="N171">
        <v>372</v>
      </c>
      <c r="O171">
        <v>3.3515869999999999</v>
      </c>
      <c r="P171">
        <v>6.2211400000000001</v>
      </c>
      <c r="Q171">
        <f t="shared" si="2"/>
        <v>0.98845116295116331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D2A6C-CD1C-4D5D-8EBA-DD5F2D9E193C}">
  <dimension ref="A1:G5"/>
  <sheetViews>
    <sheetView workbookViewId="0">
      <selection activeCell="E5" sqref="E5:G5"/>
    </sheetView>
  </sheetViews>
  <sheetFormatPr defaultRowHeight="14.4" x14ac:dyDescent="0.3"/>
  <sheetData>
    <row r="1" spans="1:7" x14ac:dyDescent="0.3">
      <c r="A1" t="s">
        <v>665</v>
      </c>
      <c r="B1" t="s">
        <v>666</v>
      </c>
      <c r="C1" t="s">
        <v>667</v>
      </c>
      <c r="D1" t="s">
        <v>671</v>
      </c>
      <c r="E1" t="s">
        <v>668</v>
      </c>
      <c r="F1" t="s">
        <v>14</v>
      </c>
      <c r="G1" t="s">
        <v>15</v>
      </c>
    </row>
    <row r="2" spans="1:7" x14ac:dyDescent="0.3">
      <c r="A2" t="s">
        <v>669</v>
      </c>
      <c r="B2">
        <v>5984819.0408500005</v>
      </c>
      <c r="C2">
        <v>2198502.4709548098</v>
      </c>
      <c r="D2">
        <v>9771.7583226551997</v>
      </c>
      <c r="E2">
        <v>390</v>
      </c>
      <c r="F2">
        <v>3.326333</v>
      </c>
      <c r="G2">
        <v>6.1515029999999999</v>
      </c>
    </row>
    <row r="3" spans="1:7" x14ac:dyDescent="0.3">
      <c r="A3" t="s">
        <v>670</v>
      </c>
      <c r="B3">
        <v>5993792.6935348203</v>
      </c>
      <c r="C3">
        <v>2234541.5955668101</v>
      </c>
      <c r="D3">
        <v>1341.0523720000001</v>
      </c>
      <c r="E3">
        <v>145</v>
      </c>
      <c r="F3">
        <v>3.3950650000000002</v>
      </c>
      <c r="G3">
        <v>6.2503799999999998</v>
      </c>
    </row>
    <row r="4" spans="1:7" x14ac:dyDescent="0.3">
      <c r="A4" t="s">
        <v>672</v>
      </c>
      <c r="B4">
        <v>5983823.27090366</v>
      </c>
      <c r="C4">
        <v>2167114.7279574699</v>
      </c>
      <c r="D4">
        <v>3080.3989122919902</v>
      </c>
      <c r="E4">
        <v>335</v>
      </c>
      <c r="F4">
        <v>3.3196479999999999</v>
      </c>
      <c r="G4">
        <v>6.069566</v>
      </c>
    </row>
    <row r="5" spans="1:7" x14ac:dyDescent="0.3">
      <c r="A5" t="s">
        <v>673</v>
      </c>
      <c r="B5">
        <v>6025955.0045785801</v>
      </c>
      <c r="C5">
        <v>2188604.2034259802</v>
      </c>
      <c r="D5">
        <v>5371.4905415573603</v>
      </c>
      <c r="E5">
        <v>372</v>
      </c>
      <c r="F5">
        <v>3.3515869999999999</v>
      </c>
      <c r="G5">
        <v>6.2211400000000001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All_Sites_Calculated (with z st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Savannah Karin Miller</cp:lastModifiedBy>
  <dcterms:created xsi:type="dcterms:W3CDTF">2026-06-26T07:40:15Z</dcterms:created>
  <dcterms:modified xsi:type="dcterms:W3CDTF">2026-06-26T07:47:44Z</dcterms:modified>
</cp:coreProperties>
</file>