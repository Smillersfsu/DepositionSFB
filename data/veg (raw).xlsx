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289" documentId="8_{92FB2599-59FD-4CA2-946A-D08153E8274B}" xr6:coauthVersionLast="47" xr6:coauthVersionMax="47" xr10:uidLastSave="{5429A239-3AA6-4F7B-A708-396DBE4B2016}"/>
  <bookViews>
    <workbookView minimized="1" xWindow="2844" yWindow="1140" windowWidth="9996" windowHeight="6912" xr2:uid="{4ED2C885-2CC1-498F-A981-739A00DDA370}"/>
  </bookViews>
  <sheets>
    <sheet name="winter" sheetId="1" r:id="rId1"/>
    <sheet name="summ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180" i="2"/>
  <c r="G178" i="2"/>
  <c r="G176" i="2"/>
  <c r="G173" i="2"/>
  <c r="G170" i="2"/>
  <c r="G167" i="2"/>
  <c r="G164" i="2"/>
  <c r="G161" i="2"/>
  <c r="G158" i="2"/>
  <c r="G155" i="2"/>
  <c r="G153" i="2"/>
  <c r="G151" i="2"/>
  <c r="G149" i="2"/>
  <c r="G147" i="2"/>
  <c r="G144" i="2"/>
  <c r="G140" i="2"/>
  <c r="G135" i="2"/>
  <c r="G131" i="2"/>
  <c r="G126" i="2"/>
  <c r="G121" i="2"/>
  <c r="G117" i="2"/>
  <c r="G113" i="2"/>
  <c r="G110" i="2"/>
  <c r="G106" i="2"/>
  <c r="G102" i="2"/>
  <c r="G99" i="2"/>
  <c r="G94" i="2"/>
  <c r="G91" i="2"/>
  <c r="G89" i="2"/>
  <c r="G87" i="2"/>
  <c r="G85" i="2"/>
  <c r="G82" i="2"/>
  <c r="G80" i="2"/>
  <c r="G76" i="2"/>
  <c r="G71" i="2"/>
  <c r="G68" i="2"/>
  <c r="G66" i="2"/>
  <c r="G64" i="2"/>
  <c r="G62" i="2"/>
  <c r="G56" i="2"/>
  <c r="G52" i="2"/>
  <c r="G44" i="2"/>
  <c r="G40" i="2"/>
  <c r="G37" i="2"/>
  <c r="G33" i="2"/>
  <c r="G29" i="2"/>
  <c r="G25" i="2"/>
  <c r="G19" i="2"/>
  <c r="G13" i="2"/>
  <c r="G10" i="2"/>
  <c r="G7" i="2"/>
  <c r="G4" i="2"/>
  <c r="J160" i="2"/>
  <c r="J96" i="2"/>
  <c r="G97" i="2"/>
  <c r="J93" i="2"/>
  <c r="J99" i="1" l="1"/>
  <c r="J100" i="1"/>
  <c r="J78" i="2"/>
  <c r="J84" i="1"/>
  <c r="J12" i="2"/>
  <c r="J4" i="2"/>
  <c r="J5" i="2"/>
  <c r="J6" i="2"/>
  <c r="J7" i="2"/>
  <c r="J8" i="2"/>
  <c r="J9" i="2"/>
  <c r="J10" i="2"/>
  <c r="J11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9" i="2"/>
  <c r="J80" i="2"/>
  <c r="J81" i="2"/>
  <c r="J82" i="2"/>
  <c r="J83" i="2"/>
  <c r="J85" i="2"/>
  <c r="J86" i="2"/>
  <c r="J87" i="2"/>
  <c r="J88" i="2"/>
  <c r="J89" i="2"/>
  <c r="J90" i="2"/>
  <c r="J91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6" i="2"/>
  <c r="J177" i="2"/>
  <c r="J178" i="2"/>
  <c r="J179" i="2"/>
  <c r="J180" i="2"/>
  <c r="J3" i="2"/>
  <c r="J2" i="2"/>
  <c r="G59" i="2"/>
  <c r="G48" i="2"/>
  <c r="G123" i="1"/>
  <c r="G118" i="1"/>
  <c r="G114" i="1"/>
  <c r="G110" i="1"/>
  <c r="G106" i="1"/>
  <c r="G102" i="1"/>
  <c r="G98" i="1"/>
  <c r="G96" i="1"/>
  <c r="G94" i="1"/>
  <c r="G92" i="1"/>
  <c r="G90" i="1"/>
  <c r="G86" i="1"/>
  <c r="G83" i="1"/>
  <c r="G80" i="1"/>
  <c r="G75" i="1"/>
  <c r="G72" i="1"/>
  <c r="G70" i="1"/>
  <c r="G68" i="1"/>
  <c r="G65" i="1"/>
  <c r="G62" i="1"/>
  <c r="G58" i="1"/>
  <c r="G54" i="1"/>
  <c r="G50" i="1"/>
  <c r="G45" i="1"/>
  <c r="G41" i="1"/>
  <c r="G37" i="1"/>
  <c r="G33" i="1"/>
  <c r="G28" i="1"/>
  <c r="G24" i="1"/>
  <c r="G18" i="1"/>
  <c r="G12" i="1"/>
  <c r="G10" i="1"/>
  <c r="G7" i="1"/>
</calcChain>
</file>

<file path=xl/sharedStrings.xml><?xml version="1.0" encoding="utf-8"?>
<sst xmlns="http://schemas.openxmlformats.org/spreadsheetml/2006/main" count="2466" uniqueCount="127">
  <si>
    <t>Season</t>
  </si>
  <si>
    <t>Study Phase</t>
  </si>
  <si>
    <t xml:space="preserve">Site </t>
  </si>
  <si>
    <t>Tran</t>
  </si>
  <si>
    <t xml:space="preserve">Dist </t>
  </si>
  <si>
    <t>Date Measured</t>
  </si>
  <si>
    <t>Total Percent Covered (%)</t>
  </si>
  <si>
    <t>Percent Covered (%)</t>
  </si>
  <si>
    <t>Percent Covered (Species)</t>
  </si>
  <si>
    <t>Average Height Total (cm, calc. post field)</t>
  </si>
  <si>
    <t>Average Height Total (species)</t>
  </si>
  <si>
    <t xml:space="preserve">Average Height (cm) Q1 </t>
  </si>
  <si>
    <t xml:space="preserve">Average Height (species) Q1 </t>
  </si>
  <si>
    <t>Average Height (cm) Q2</t>
  </si>
  <si>
    <t>Average Height (species) Q2</t>
  </si>
  <si>
    <t xml:space="preserve">Average Height (cm) Q3 </t>
  </si>
  <si>
    <t xml:space="preserve">Average Height (species) Q3 </t>
  </si>
  <si>
    <t>Average Height (cm) Q4</t>
  </si>
  <si>
    <t>Average Height (species) Q4</t>
  </si>
  <si>
    <t>Maximum Height (cm)</t>
  </si>
  <si>
    <t>Maximum Height (Species)</t>
  </si>
  <si>
    <t>Photo Timestamp</t>
  </si>
  <si>
    <t>Notes</t>
  </si>
  <si>
    <t>Winter</t>
  </si>
  <si>
    <t>M7</t>
  </si>
  <si>
    <t>B</t>
  </si>
  <si>
    <t>SPFO</t>
  </si>
  <si>
    <t xml:space="preserve">Q3 might be footstep disturbance-took a pic </t>
  </si>
  <si>
    <t>SAPA</t>
  </si>
  <si>
    <t>Uncovered</t>
  </si>
  <si>
    <t>NA</t>
  </si>
  <si>
    <t>DISP</t>
  </si>
  <si>
    <t xml:space="preserve">Q3 might have a human path; distch intertwined with pickleweed </t>
  </si>
  <si>
    <t xml:space="preserve">  </t>
  </si>
  <si>
    <t>TRIG</t>
  </si>
  <si>
    <t>LICA</t>
  </si>
  <si>
    <t>JACA</t>
  </si>
  <si>
    <t xml:space="preserve">Trig mostly in understor </t>
  </si>
  <si>
    <t>Trig</t>
  </si>
  <si>
    <t>10:27 am (after survey)</t>
  </si>
  <si>
    <t>11:26:00 AM; took pic ater survey 11:31 AM!</t>
  </si>
  <si>
    <t>G</t>
  </si>
  <si>
    <t>Marsh Edge Pieces hard to tell intertwined</t>
  </si>
  <si>
    <t>Distch</t>
  </si>
  <si>
    <t>Debris on top</t>
  </si>
  <si>
    <t>GRST</t>
  </si>
  <si>
    <t xml:space="preserve">Marsh Edge   </t>
  </si>
  <si>
    <t>10:07 AM; unusual/weird</t>
  </si>
  <si>
    <t xml:space="preserve">Pieces of edge </t>
  </si>
  <si>
    <t>Pieces of edge on top (upper story)</t>
  </si>
  <si>
    <t xml:space="preserve">Debris on top </t>
  </si>
  <si>
    <t xml:space="preserve">8:34 AM; top NW corner looks like channel coming through mostly northside; 8:39 AM adjust new pic </t>
  </si>
  <si>
    <t>C</t>
  </si>
  <si>
    <t>11:12:00 AM; confusing if it's distch/jaumea for cover eta</t>
  </si>
  <si>
    <t xml:space="preserve">10:52:00 AM; moved quad before measuring </t>
  </si>
  <si>
    <t xml:space="preserve">10:39:00 AM; took pic density packed everything mixed together </t>
  </si>
  <si>
    <t>SPFO?</t>
  </si>
  <si>
    <t>10:08:00 AM; stepped into transect-might have impact</t>
  </si>
  <si>
    <t>11:58:00 AM; pic taken after cover measurements</t>
  </si>
  <si>
    <t>12:52:00 PM; during placement some pooling on filters</t>
  </si>
  <si>
    <t>S</t>
  </si>
  <si>
    <t>Time before 12:29 pm-no timestamp in notes</t>
  </si>
  <si>
    <t>algae on bottom half</t>
  </si>
  <si>
    <t xml:space="preserve">Uncovered </t>
  </si>
  <si>
    <t>&gt;5</t>
  </si>
  <si>
    <t>Algae</t>
  </si>
  <si>
    <t>Algae on Pickleweed (bottom half)</t>
  </si>
  <si>
    <t>Algae on pickle (bottom half)</t>
  </si>
  <si>
    <t xml:space="preserve">Bamboo Debris on Top </t>
  </si>
  <si>
    <t>19.5 inches</t>
  </si>
  <si>
    <t>16.5 inches</t>
  </si>
  <si>
    <t>18.5 inches</t>
  </si>
  <si>
    <t>Summer</t>
  </si>
  <si>
    <t>M11</t>
  </si>
  <si>
    <t>Distch is only in Q2</t>
  </si>
  <si>
    <t>pickleweed in Q1-3</t>
  </si>
  <si>
    <t>understory</t>
  </si>
  <si>
    <t>JACA in understory</t>
  </si>
  <si>
    <t xml:space="preserve">salt grass and jawmea in the understory </t>
  </si>
  <si>
    <t xml:space="preserve">jawmea in the understory </t>
  </si>
  <si>
    <t>N/A</t>
  </si>
  <si>
    <t xml:space="preserve">jawmea and distch understory with pickleweed over it </t>
  </si>
  <si>
    <t xml:space="preserve">jawmea in understory </t>
  </si>
  <si>
    <t>understory; overlap with pickleweed</t>
  </si>
  <si>
    <t>`</t>
  </si>
  <si>
    <t>salt grass, jawmea, and tiny grass is intermixed</t>
  </si>
  <si>
    <t xml:space="preserve">saltgrass and jawmea overlaps, not in the understory </t>
  </si>
  <si>
    <t>saltgrass only in Q 2 and 3</t>
  </si>
  <si>
    <t>understory jawmea</t>
  </si>
  <si>
    <t>overlap of PW, SL, and GD</t>
  </si>
  <si>
    <t>Q2 and 3 are in the channel edge</t>
  </si>
  <si>
    <t>Seaweed</t>
  </si>
  <si>
    <t>12:33 pm (took pic after survey)</t>
  </si>
  <si>
    <t xml:space="preserve">in understory </t>
  </si>
  <si>
    <t>in understory ; not crab shell present but not measured in percent cover</t>
  </si>
  <si>
    <t xml:space="preserve">Eroded! </t>
  </si>
  <si>
    <t>seaweed covering</t>
  </si>
  <si>
    <t>dug into the seaweed</t>
  </si>
  <si>
    <t>spread out in Q1 jawmea spread in understory/upperstory</t>
  </si>
  <si>
    <t>70% undrstory jawmea</t>
  </si>
  <si>
    <t>looks like one quarter didn't have pickleweed, but had saltgrass-check the photo</t>
  </si>
  <si>
    <t xml:space="preserve">salt grass in the top story </t>
  </si>
  <si>
    <t>pickleweed in the upper story</t>
  </si>
  <si>
    <t>algae on bottom half of pickleweed</t>
  </si>
  <si>
    <t xml:space="preserve">algae on bottom half (understory) </t>
  </si>
  <si>
    <t xml:space="preserve">SPFO mostly dead new buds middle upper story </t>
  </si>
  <si>
    <t xml:space="preserve">middle-upper story </t>
  </si>
  <si>
    <t>pickleweed overlap saltgrass</t>
  </si>
  <si>
    <t>constant throughout</t>
  </si>
  <si>
    <t xml:space="preserve">understory </t>
  </si>
  <si>
    <t>saltgrass makes up under story, depressions seen throughout saltgrass</t>
  </si>
  <si>
    <t xml:space="preserve">overlapping spartina and pickleweed </t>
  </si>
  <si>
    <t>overlapping pickleweed and spartina</t>
  </si>
  <si>
    <t xml:space="preserve">all jaumea/spartina/pickleweed all overlapping </t>
  </si>
  <si>
    <t>all jaumea/spartina/pickleweed all overlapping</t>
  </si>
  <si>
    <t xml:space="preserve">mostly dead pickleweed </t>
  </si>
  <si>
    <t xml:space="preserve">jaumea and saltgrass overlap </t>
  </si>
  <si>
    <t>saltgrass and jawmea overlaps</t>
  </si>
  <si>
    <t xml:space="preserve">pickleweed and spartina overlaps each other </t>
  </si>
  <si>
    <t xml:space="preserve">understory jawmea </t>
  </si>
  <si>
    <t>jawmea in understory</t>
  </si>
  <si>
    <t>tidal channel present in quadrat</t>
  </si>
  <si>
    <t>2nd half of duadrat got affected</t>
  </si>
  <si>
    <t>no timestamp taken</t>
  </si>
  <si>
    <t>algae on bottom of pickleweed</t>
  </si>
  <si>
    <t>pickleweed overlapping spartina</t>
  </si>
  <si>
    <t xml:space="preserve">Dotter on top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</si>
</sst>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14" fontId="0" fillId="0" borderId="13" xfId="0" applyNumberFormat="1" applyBorder="1"/>
    <xf numFmtId="0" fontId="0" fillId="33" borderId="13" xfId="0" applyFill="1" applyBorder="1"/>
    <xf numFmtId="18" fontId="0" fillId="0" borderId="13" xfId="0" applyNumberFormat="1" applyBorder="1"/>
    <xf numFmtId="0" fontId="0" fillId="0" borderId="14" xfId="0" applyBorder="1"/>
    <xf numFmtId="14" fontId="0" fillId="0" borderId="0" xfId="0" applyNumberFormat="1"/>
    <xf numFmtId="0" fontId="0" fillId="33" borderId="0" xfId="0" applyFill="1"/>
    <xf numFmtId="0" fontId="0" fillId="0" borderId="15" xfId="0" applyBorder="1"/>
    <xf numFmtId="0" fontId="0" fillId="0" borderId="16" xfId="0" applyBorder="1"/>
    <xf numFmtId="14" fontId="0" fillId="0" borderId="16" xfId="0" applyNumberFormat="1" applyBorder="1"/>
    <xf numFmtId="0" fontId="0" fillId="33" borderId="16" xfId="0" applyFill="1" applyBorder="1"/>
    <xf numFmtId="18" fontId="0" fillId="0" borderId="16" xfId="0" applyNumberFormat="1" applyBorder="1"/>
    <xf numFmtId="18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14" fontId="0" fillId="0" borderId="11" xfId="0" applyNumberFormat="1" applyBorder="1"/>
    <xf numFmtId="0" fontId="0" fillId="34" borderId="12" xfId="0" applyFill="1" applyBorder="1"/>
    <xf numFmtId="0" fontId="0" fillId="34" borderId="13" xfId="0" applyFill="1" applyBorder="1"/>
    <xf numFmtId="14" fontId="0" fillId="34" borderId="13" xfId="0" applyNumberFormat="1" applyFill="1" applyBorder="1"/>
    <xf numFmtId="0" fontId="0" fillId="34" borderId="14" xfId="0" applyFill="1" applyBorder="1"/>
    <xf numFmtId="0" fontId="0" fillId="34" borderId="0" xfId="0" applyFill="1"/>
    <xf numFmtId="14" fontId="0" fillId="34" borderId="0" xfId="0" applyNumberFormat="1" applyFill="1"/>
    <xf numFmtId="0" fontId="0" fillId="34" borderId="15" xfId="0" applyFill="1" applyBorder="1"/>
    <xf numFmtId="0" fontId="0" fillId="34" borderId="16" xfId="0" applyFill="1" applyBorder="1"/>
    <xf numFmtId="14" fontId="0" fillId="34" borderId="16" xfId="0" applyNumberFormat="1" applyFill="1" applyBorder="1"/>
    <xf numFmtId="0" fontId="0" fillId="35" borderId="14" xfId="0" applyFill="1" applyBorder="1"/>
    <xf numFmtId="0" fontId="0" fillId="35" borderId="0" xfId="0" applyFill="1"/>
    <xf numFmtId="14" fontId="0" fillId="35" borderId="0" xfId="0" applyNumberFormat="1" applyFill="1"/>
    <xf numFmtId="18" fontId="0" fillId="35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1F06-09F2-446C-9DE5-BD7F4440343B}">
  <dimension ref="A1:W196"/>
  <sheetViews>
    <sheetView tabSelected="1" topLeftCell="E1" workbookViewId="0">
      <pane ySplit="1" topLeftCell="A63" activePane="bottomLeft" state="frozen"/>
      <selection pane="bottomLeft" activeCell="H82" sqref="H82"/>
    </sheetView>
  </sheetViews>
  <sheetFormatPr defaultRowHeight="14.4" x14ac:dyDescent="0.3"/>
  <cols>
    <col min="6" max="6" width="18.33203125" customWidth="1"/>
    <col min="9" max="9" width="12.77734375" customWidth="1"/>
    <col min="10" max="10" width="11.6640625" customWidth="1"/>
    <col min="21" max="21" width="14.5546875" customWidth="1"/>
    <col min="22" max="22" width="11.77734375" customWidth="1"/>
  </cols>
  <sheetData>
    <row r="1" spans="1:23" s="2" customFormat="1" ht="58.2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s="4" customFormat="1" x14ac:dyDescent="0.3">
      <c r="A2" s="3" t="s">
        <v>23</v>
      </c>
      <c r="B2" s="4" t="s">
        <v>24</v>
      </c>
      <c r="C2" s="4" t="s">
        <v>25</v>
      </c>
      <c r="D2" s="4">
        <v>1</v>
      </c>
      <c r="E2" s="4">
        <v>0.5</v>
      </c>
      <c r="F2" s="5">
        <v>46074</v>
      </c>
      <c r="H2" s="4">
        <v>20</v>
      </c>
      <c r="I2" s="4" t="s">
        <v>26</v>
      </c>
      <c r="J2" s="4">
        <v>68</v>
      </c>
      <c r="K2" s="4" t="s">
        <v>26</v>
      </c>
      <c r="L2" s="4">
        <v>68</v>
      </c>
      <c r="M2" s="4" t="s">
        <v>26</v>
      </c>
      <c r="N2" s="4">
        <v>65</v>
      </c>
      <c r="O2" s="4" t="s">
        <v>26</v>
      </c>
      <c r="P2" s="6">
        <v>83</v>
      </c>
      <c r="Q2" s="4" t="s">
        <v>26</v>
      </c>
      <c r="R2" s="4">
        <v>60.5</v>
      </c>
      <c r="S2" s="4" t="s">
        <v>26</v>
      </c>
      <c r="T2" s="4">
        <v>83</v>
      </c>
      <c r="U2" s="4" t="s">
        <v>26</v>
      </c>
      <c r="V2" s="7">
        <v>0.41458333333333336</v>
      </c>
      <c r="W2" s="4" t="s">
        <v>27</v>
      </c>
    </row>
    <row r="3" spans="1:23" x14ac:dyDescent="0.3">
      <c r="A3" s="8" t="s">
        <v>23</v>
      </c>
      <c r="B3" t="s">
        <v>24</v>
      </c>
      <c r="C3" t="s">
        <v>25</v>
      </c>
      <c r="D3">
        <v>1</v>
      </c>
      <c r="E3">
        <v>0.5</v>
      </c>
      <c r="F3" s="9">
        <v>46074</v>
      </c>
      <c r="H3" s="10">
        <v>50</v>
      </c>
      <c r="I3" t="s">
        <v>28</v>
      </c>
      <c r="J3">
        <v>48</v>
      </c>
      <c r="K3" t="s">
        <v>28</v>
      </c>
      <c r="L3">
        <v>42</v>
      </c>
      <c r="M3" t="s">
        <v>28</v>
      </c>
      <c r="N3">
        <v>53.5</v>
      </c>
      <c r="O3" t="s">
        <v>28</v>
      </c>
      <c r="P3">
        <v>45</v>
      </c>
      <c r="Q3" t="s">
        <v>28</v>
      </c>
      <c r="R3">
        <v>51</v>
      </c>
      <c r="S3" t="s">
        <v>28</v>
      </c>
      <c r="T3">
        <v>53.5</v>
      </c>
      <c r="U3" t="s">
        <v>28</v>
      </c>
    </row>
    <row r="4" spans="1:23" s="12" customFormat="1" ht="15" thickBot="1" x14ac:dyDescent="0.35">
      <c r="A4" s="11" t="s">
        <v>23</v>
      </c>
      <c r="B4" s="12" t="s">
        <v>24</v>
      </c>
      <c r="C4" s="12" t="s">
        <v>25</v>
      </c>
      <c r="D4" s="12">
        <v>1</v>
      </c>
      <c r="E4" s="12">
        <v>0.5</v>
      </c>
      <c r="F4" s="13">
        <v>46074</v>
      </c>
      <c r="G4" s="12">
        <f>SUM(H2:H3)</f>
        <v>70</v>
      </c>
      <c r="H4" s="12">
        <v>30</v>
      </c>
      <c r="I4" s="12" t="s">
        <v>29</v>
      </c>
      <c r="J4" s="12" t="s">
        <v>30</v>
      </c>
      <c r="T4" s="12">
        <v>0</v>
      </c>
    </row>
    <row r="5" spans="1:23" s="4" customFormat="1" x14ac:dyDescent="0.3">
      <c r="A5" s="3" t="s">
        <v>23</v>
      </c>
      <c r="B5" s="4" t="s">
        <v>24</v>
      </c>
      <c r="C5" s="4" t="s">
        <v>25</v>
      </c>
      <c r="D5" s="4">
        <v>1</v>
      </c>
      <c r="E5" s="4">
        <v>2</v>
      </c>
      <c r="F5" s="5">
        <v>46074</v>
      </c>
      <c r="H5" s="4">
        <v>15</v>
      </c>
      <c r="I5" s="4" t="s">
        <v>31</v>
      </c>
      <c r="J5" s="4">
        <v>34</v>
      </c>
      <c r="K5" s="4" t="s">
        <v>28</v>
      </c>
      <c r="L5" s="4">
        <v>38</v>
      </c>
      <c r="M5" s="4" t="s">
        <v>28</v>
      </c>
      <c r="N5" s="6">
        <v>39</v>
      </c>
      <c r="O5" s="4" t="s">
        <v>28</v>
      </c>
      <c r="P5" s="4">
        <v>27.5</v>
      </c>
      <c r="Q5" s="4" t="s">
        <v>28</v>
      </c>
      <c r="R5" s="4">
        <v>32</v>
      </c>
      <c r="S5" s="4" t="s">
        <v>28</v>
      </c>
      <c r="T5" s="4">
        <v>39</v>
      </c>
      <c r="U5" s="4" t="s">
        <v>28</v>
      </c>
      <c r="V5" s="7">
        <v>0.40625</v>
      </c>
      <c r="W5" s="4" t="s">
        <v>32</v>
      </c>
    </row>
    <row r="6" spans="1:23" x14ac:dyDescent="0.3">
      <c r="A6" s="8" t="s">
        <v>23</v>
      </c>
      <c r="B6" t="s">
        <v>24</v>
      </c>
      <c r="C6" t="s">
        <v>25</v>
      </c>
      <c r="D6">
        <v>1</v>
      </c>
      <c r="E6">
        <v>2</v>
      </c>
      <c r="F6" s="9">
        <v>46074</v>
      </c>
      <c r="H6" s="10">
        <v>55</v>
      </c>
      <c r="I6" t="s">
        <v>28</v>
      </c>
      <c r="J6" t="s">
        <v>30</v>
      </c>
      <c r="T6">
        <v>0</v>
      </c>
    </row>
    <row r="7" spans="1:23" s="12" customFormat="1" ht="15" thickBot="1" x14ac:dyDescent="0.35">
      <c r="A7" s="11" t="s">
        <v>23</v>
      </c>
      <c r="B7" s="12" t="s">
        <v>24</v>
      </c>
      <c r="C7" s="12" t="s">
        <v>25</v>
      </c>
      <c r="D7" s="12">
        <v>1</v>
      </c>
      <c r="E7" s="12">
        <v>2</v>
      </c>
      <c r="F7" s="13">
        <v>46074</v>
      </c>
      <c r="G7" s="12">
        <f>SUM(H5:H7)</f>
        <v>115</v>
      </c>
      <c r="H7" s="12">
        <v>45</v>
      </c>
      <c r="I7" s="12" t="s">
        <v>29</v>
      </c>
      <c r="J7" s="12" t="s">
        <v>30</v>
      </c>
      <c r="T7" s="12">
        <v>0</v>
      </c>
    </row>
    <row r="8" spans="1:23" s="4" customFormat="1" x14ac:dyDescent="0.3">
      <c r="A8" s="3" t="s">
        <v>23</v>
      </c>
      <c r="B8" s="4" t="s">
        <v>24</v>
      </c>
      <c r="C8" s="4" t="s">
        <v>25</v>
      </c>
      <c r="D8" s="4">
        <v>1</v>
      </c>
      <c r="E8" s="4">
        <v>6</v>
      </c>
      <c r="F8" s="5">
        <v>46074</v>
      </c>
      <c r="H8" s="4">
        <v>80</v>
      </c>
      <c r="I8" s="4" t="s">
        <v>28</v>
      </c>
      <c r="J8" s="4">
        <v>31</v>
      </c>
      <c r="K8" s="4" t="s">
        <v>28</v>
      </c>
      <c r="L8" s="6">
        <v>33</v>
      </c>
      <c r="M8" s="4" t="s">
        <v>28</v>
      </c>
      <c r="N8" s="4">
        <v>31</v>
      </c>
      <c r="O8" s="4" t="s">
        <v>28</v>
      </c>
      <c r="P8" s="4">
        <v>32</v>
      </c>
      <c r="Q8" s="4" t="s">
        <v>28</v>
      </c>
      <c r="R8" s="4">
        <v>28</v>
      </c>
      <c r="S8" s="4" t="s">
        <v>28</v>
      </c>
      <c r="T8" s="4">
        <v>33</v>
      </c>
      <c r="U8" s="4" t="s">
        <v>28</v>
      </c>
      <c r="V8" s="7">
        <v>0.4</v>
      </c>
      <c r="W8" s="4" t="s">
        <v>74</v>
      </c>
    </row>
    <row r="9" spans="1:23" x14ac:dyDescent="0.3">
      <c r="A9" s="8" t="s">
        <v>23</v>
      </c>
      <c r="B9" t="s">
        <v>24</v>
      </c>
      <c r="C9" t="s">
        <v>25</v>
      </c>
      <c r="D9">
        <v>1</v>
      </c>
      <c r="E9">
        <v>6</v>
      </c>
      <c r="F9" s="9">
        <v>46074</v>
      </c>
      <c r="H9">
        <v>5</v>
      </c>
      <c r="I9" t="s">
        <v>31</v>
      </c>
      <c r="J9" t="s">
        <v>30</v>
      </c>
      <c r="T9">
        <v>0</v>
      </c>
    </row>
    <row r="10" spans="1:23" s="12" customFormat="1" ht="15" thickBot="1" x14ac:dyDescent="0.35">
      <c r="A10" s="11" t="s">
        <v>23</v>
      </c>
      <c r="B10" s="12" t="s">
        <v>24</v>
      </c>
      <c r="C10" s="12" t="s">
        <v>25</v>
      </c>
      <c r="D10" s="12">
        <v>1</v>
      </c>
      <c r="E10" s="12">
        <v>6</v>
      </c>
      <c r="F10" s="13">
        <v>46074</v>
      </c>
      <c r="G10" s="12">
        <f>SUM(H8:H10)</f>
        <v>105</v>
      </c>
      <c r="H10" s="12">
        <v>20</v>
      </c>
      <c r="I10" s="12" t="s">
        <v>29</v>
      </c>
      <c r="J10" s="12" t="s">
        <v>30</v>
      </c>
      <c r="T10" s="12">
        <v>0</v>
      </c>
    </row>
    <row r="11" spans="1:23" s="4" customFormat="1" x14ac:dyDescent="0.3">
      <c r="A11" s="3" t="s">
        <v>23</v>
      </c>
      <c r="B11" s="4" t="s">
        <v>24</v>
      </c>
      <c r="C11" s="4" t="s">
        <v>25</v>
      </c>
      <c r="D11" s="4">
        <v>1</v>
      </c>
      <c r="E11" s="4">
        <v>12</v>
      </c>
      <c r="F11" s="5">
        <v>46074</v>
      </c>
      <c r="H11" s="4">
        <v>10</v>
      </c>
      <c r="I11" s="4" t="s">
        <v>29</v>
      </c>
      <c r="J11" s="4" t="s">
        <v>30</v>
      </c>
      <c r="L11" s="4" t="s">
        <v>33</v>
      </c>
      <c r="T11" s="4">
        <v>0</v>
      </c>
    </row>
    <row r="12" spans="1:23" s="12" customFormat="1" ht="15" thickBot="1" x14ac:dyDescent="0.35">
      <c r="A12" s="11" t="s">
        <v>23</v>
      </c>
      <c r="B12" s="12" t="s">
        <v>24</v>
      </c>
      <c r="C12" s="12" t="s">
        <v>25</v>
      </c>
      <c r="D12" s="12">
        <v>1</v>
      </c>
      <c r="E12" s="12">
        <v>12</v>
      </c>
      <c r="F12" s="13">
        <v>46074</v>
      </c>
      <c r="G12" s="12">
        <f>SUM(H11:H12)</f>
        <v>100</v>
      </c>
      <c r="H12" s="14">
        <v>90</v>
      </c>
      <c r="I12" s="12" t="s">
        <v>28</v>
      </c>
      <c r="J12" s="12">
        <v>34</v>
      </c>
      <c r="K12" s="12" t="s">
        <v>28</v>
      </c>
      <c r="L12" s="12">
        <v>29</v>
      </c>
      <c r="M12" s="12" t="s">
        <v>28</v>
      </c>
      <c r="N12" s="12">
        <v>37</v>
      </c>
      <c r="O12" s="12" t="s">
        <v>28</v>
      </c>
      <c r="P12" s="12">
        <v>30</v>
      </c>
      <c r="Q12" s="12" t="s">
        <v>28</v>
      </c>
      <c r="R12" s="14">
        <v>41.5</v>
      </c>
      <c r="S12" s="12" t="s">
        <v>28</v>
      </c>
      <c r="T12" s="12">
        <v>41.5</v>
      </c>
      <c r="U12" s="12" t="s">
        <v>28</v>
      </c>
      <c r="V12" s="15">
        <v>0.39374999999999999</v>
      </c>
    </row>
    <row r="13" spans="1:23" s="4" customFormat="1" x14ac:dyDescent="0.3">
      <c r="A13" s="3" t="s">
        <v>23</v>
      </c>
      <c r="B13" s="4" t="s">
        <v>24</v>
      </c>
      <c r="C13" s="4" t="s">
        <v>25</v>
      </c>
      <c r="D13" s="4">
        <v>1</v>
      </c>
      <c r="E13" s="4">
        <v>18</v>
      </c>
      <c r="F13" s="5">
        <v>46074</v>
      </c>
      <c r="H13" s="4">
        <v>15</v>
      </c>
      <c r="I13" s="4" t="s">
        <v>31</v>
      </c>
      <c r="J13" s="4" t="s">
        <v>30</v>
      </c>
      <c r="T13" s="4">
        <v>0</v>
      </c>
    </row>
    <row r="14" spans="1:23" x14ac:dyDescent="0.3">
      <c r="A14" s="8" t="s">
        <v>23</v>
      </c>
      <c r="B14" t="s">
        <v>24</v>
      </c>
      <c r="C14" t="s">
        <v>25</v>
      </c>
      <c r="D14">
        <v>1</v>
      </c>
      <c r="E14">
        <v>18</v>
      </c>
      <c r="F14" s="9">
        <v>46074</v>
      </c>
      <c r="H14" s="10">
        <v>50</v>
      </c>
      <c r="I14" t="s">
        <v>34</v>
      </c>
      <c r="J14">
        <v>15</v>
      </c>
      <c r="K14" t="s">
        <v>34</v>
      </c>
      <c r="L14" s="10">
        <v>18.5</v>
      </c>
      <c r="M14" t="s">
        <v>34</v>
      </c>
      <c r="N14">
        <v>12</v>
      </c>
      <c r="O14" t="s">
        <v>34</v>
      </c>
      <c r="P14">
        <v>13</v>
      </c>
      <c r="Q14" t="s">
        <v>34</v>
      </c>
      <c r="R14">
        <v>15</v>
      </c>
      <c r="S14" t="s">
        <v>34</v>
      </c>
      <c r="T14">
        <v>18.5</v>
      </c>
      <c r="U14" t="s">
        <v>34</v>
      </c>
      <c r="V14" s="16">
        <v>0.3840277777777778</v>
      </c>
    </row>
    <row r="15" spans="1:23" x14ac:dyDescent="0.3">
      <c r="A15" s="8" t="s">
        <v>23</v>
      </c>
      <c r="B15" t="s">
        <v>24</v>
      </c>
      <c r="C15" t="s">
        <v>25</v>
      </c>
      <c r="D15">
        <v>1</v>
      </c>
      <c r="E15">
        <v>18</v>
      </c>
      <c r="F15" s="9">
        <v>46074</v>
      </c>
      <c r="H15" s="10">
        <v>20</v>
      </c>
      <c r="I15" t="s">
        <v>28</v>
      </c>
      <c r="J15">
        <v>25</v>
      </c>
      <c r="K15" t="s">
        <v>28</v>
      </c>
      <c r="L15">
        <v>26</v>
      </c>
      <c r="M15" t="s">
        <v>28</v>
      </c>
      <c r="N15">
        <v>22</v>
      </c>
      <c r="O15" t="s">
        <v>28</v>
      </c>
      <c r="P15">
        <v>14</v>
      </c>
      <c r="Q15" t="s">
        <v>28</v>
      </c>
      <c r="R15" s="10">
        <v>36</v>
      </c>
      <c r="S15" t="s">
        <v>28</v>
      </c>
      <c r="T15">
        <v>36</v>
      </c>
      <c r="U15" t="s">
        <v>28</v>
      </c>
    </row>
    <row r="16" spans="1:23" x14ac:dyDescent="0.3">
      <c r="A16" s="8" t="s">
        <v>23</v>
      </c>
      <c r="B16" t="s">
        <v>24</v>
      </c>
      <c r="C16" t="s">
        <v>25</v>
      </c>
      <c r="D16">
        <v>1</v>
      </c>
      <c r="E16">
        <v>18</v>
      </c>
      <c r="F16" s="9">
        <v>46074</v>
      </c>
      <c r="H16">
        <v>5</v>
      </c>
      <c r="I16" t="s">
        <v>35</v>
      </c>
      <c r="J16" t="s">
        <v>30</v>
      </c>
      <c r="T16">
        <v>0</v>
      </c>
    </row>
    <row r="17" spans="1:23" x14ac:dyDescent="0.3">
      <c r="A17" s="8" t="s">
        <v>23</v>
      </c>
      <c r="B17" t="s">
        <v>24</v>
      </c>
      <c r="C17" t="s">
        <v>25</v>
      </c>
      <c r="D17">
        <v>1</v>
      </c>
      <c r="E17">
        <v>18</v>
      </c>
      <c r="F17" s="9">
        <v>46074</v>
      </c>
      <c r="H17">
        <v>35</v>
      </c>
      <c r="I17" t="s">
        <v>29</v>
      </c>
      <c r="J17" t="s">
        <v>30</v>
      </c>
      <c r="T17">
        <v>0</v>
      </c>
    </row>
    <row r="18" spans="1:23" s="12" customFormat="1" ht="15" thickBot="1" x14ac:dyDescent="0.35">
      <c r="A18" s="11" t="s">
        <v>23</v>
      </c>
      <c r="B18" s="12" t="s">
        <v>24</v>
      </c>
      <c r="C18" s="12" t="s">
        <v>25</v>
      </c>
      <c r="D18" s="12">
        <v>1</v>
      </c>
      <c r="E18" s="12">
        <v>18</v>
      </c>
      <c r="F18" s="13">
        <v>46074</v>
      </c>
      <c r="G18" s="12">
        <f>SUM(H13:H18)</f>
        <v>135</v>
      </c>
      <c r="H18" s="12">
        <v>10</v>
      </c>
      <c r="I18" s="12" t="s">
        <v>36</v>
      </c>
      <c r="J18" s="12" t="s">
        <v>30</v>
      </c>
      <c r="T18" s="12">
        <v>0</v>
      </c>
    </row>
    <row r="19" spans="1:23" s="4" customFormat="1" x14ac:dyDescent="0.3">
      <c r="A19" s="3" t="s">
        <v>23</v>
      </c>
      <c r="B19" s="4" t="s">
        <v>24</v>
      </c>
      <c r="C19" s="4" t="s">
        <v>25</v>
      </c>
      <c r="D19" s="4">
        <v>1</v>
      </c>
      <c r="E19" s="4">
        <v>24</v>
      </c>
      <c r="F19" s="5">
        <v>46074</v>
      </c>
      <c r="H19" s="6">
        <v>30</v>
      </c>
      <c r="I19" s="4" t="s">
        <v>28</v>
      </c>
      <c r="J19" s="4">
        <v>29</v>
      </c>
      <c r="K19" s="4" t="s">
        <v>28</v>
      </c>
      <c r="L19" s="4">
        <v>19</v>
      </c>
      <c r="M19" s="4" t="s">
        <v>28</v>
      </c>
      <c r="N19" s="6">
        <v>36</v>
      </c>
      <c r="O19" s="4" t="s">
        <v>28</v>
      </c>
      <c r="P19" s="4">
        <v>31</v>
      </c>
      <c r="Q19" s="4" t="s">
        <v>28</v>
      </c>
      <c r="R19" s="4">
        <v>28.5</v>
      </c>
      <c r="S19" s="4" t="s">
        <v>28</v>
      </c>
      <c r="T19" s="4">
        <v>36</v>
      </c>
      <c r="U19" s="4" t="s">
        <v>28</v>
      </c>
      <c r="V19" s="7">
        <v>0.35625000000000001</v>
      </c>
      <c r="W19" s="4" t="s">
        <v>37</v>
      </c>
    </row>
    <row r="20" spans="1:23" x14ac:dyDescent="0.3">
      <c r="A20" s="8" t="s">
        <v>23</v>
      </c>
      <c r="B20" t="s">
        <v>24</v>
      </c>
      <c r="C20" t="s">
        <v>25</v>
      </c>
      <c r="D20">
        <v>1</v>
      </c>
      <c r="E20">
        <v>24</v>
      </c>
      <c r="F20" s="9">
        <v>46074</v>
      </c>
      <c r="H20" s="10">
        <v>35</v>
      </c>
      <c r="I20" t="s">
        <v>36</v>
      </c>
      <c r="J20">
        <v>12</v>
      </c>
      <c r="K20" t="s">
        <v>36</v>
      </c>
      <c r="L20">
        <v>11.5</v>
      </c>
      <c r="N20">
        <v>14</v>
      </c>
      <c r="P20">
        <v>9</v>
      </c>
      <c r="R20" s="10">
        <v>15</v>
      </c>
      <c r="T20">
        <v>15</v>
      </c>
      <c r="U20" t="s">
        <v>36</v>
      </c>
    </row>
    <row r="21" spans="1:23" x14ac:dyDescent="0.3">
      <c r="A21" s="8" t="s">
        <v>23</v>
      </c>
      <c r="B21" t="s">
        <v>24</v>
      </c>
      <c r="C21" t="s">
        <v>25</v>
      </c>
      <c r="D21">
        <v>1</v>
      </c>
      <c r="E21">
        <v>24</v>
      </c>
      <c r="F21" s="9">
        <v>46074</v>
      </c>
      <c r="H21">
        <v>15</v>
      </c>
      <c r="I21" t="s">
        <v>31</v>
      </c>
      <c r="J21" t="s">
        <v>30</v>
      </c>
      <c r="T21">
        <v>0</v>
      </c>
    </row>
    <row r="22" spans="1:23" x14ac:dyDescent="0.3">
      <c r="A22" s="8" t="s">
        <v>23</v>
      </c>
      <c r="B22" t="s">
        <v>24</v>
      </c>
      <c r="C22" t="s">
        <v>25</v>
      </c>
      <c r="D22">
        <v>1</v>
      </c>
      <c r="E22">
        <v>24</v>
      </c>
      <c r="F22" s="9">
        <v>46074</v>
      </c>
      <c r="H22">
        <v>20</v>
      </c>
      <c r="I22" t="s">
        <v>35</v>
      </c>
      <c r="J22" t="s">
        <v>30</v>
      </c>
      <c r="T22">
        <v>0</v>
      </c>
    </row>
    <row r="23" spans="1:23" x14ac:dyDescent="0.3">
      <c r="A23" s="8" t="s">
        <v>23</v>
      </c>
      <c r="B23" t="s">
        <v>24</v>
      </c>
      <c r="C23" t="s">
        <v>25</v>
      </c>
      <c r="D23">
        <v>1</v>
      </c>
      <c r="E23">
        <v>24</v>
      </c>
      <c r="F23" s="9">
        <v>46074</v>
      </c>
      <c r="H23">
        <v>35</v>
      </c>
      <c r="I23" t="s">
        <v>29</v>
      </c>
      <c r="J23" t="s">
        <v>30</v>
      </c>
      <c r="T23">
        <v>0</v>
      </c>
    </row>
    <row r="24" spans="1:23" s="12" customFormat="1" ht="15" thickBot="1" x14ac:dyDescent="0.35">
      <c r="A24" s="11" t="s">
        <v>23</v>
      </c>
      <c r="B24" s="12" t="s">
        <v>24</v>
      </c>
      <c r="C24" s="12" t="s">
        <v>25</v>
      </c>
      <c r="D24" s="12">
        <v>1</v>
      </c>
      <c r="E24" s="12">
        <v>24</v>
      </c>
      <c r="F24" s="13">
        <v>46074</v>
      </c>
      <c r="G24" s="12">
        <f>SUM(H19:H24)</f>
        <v>190</v>
      </c>
      <c r="H24" s="14">
        <v>55</v>
      </c>
      <c r="I24" s="12" t="s">
        <v>34</v>
      </c>
      <c r="J24" s="12">
        <v>13</v>
      </c>
      <c r="K24" s="12" t="s">
        <v>38</v>
      </c>
      <c r="L24" s="12">
        <v>12</v>
      </c>
      <c r="N24" s="12">
        <v>11</v>
      </c>
      <c r="P24" s="14">
        <v>18.5</v>
      </c>
      <c r="R24" s="12">
        <v>12</v>
      </c>
      <c r="T24" s="12">
        <v>18.5</v>
      </c>
      <c r="U24" s="12" t="s">
        <v>38</v>
      </c>
    </row>
    <row r="25" spans="1:23" s="4" customFormat="1" x14ac:dyDescent="0.3">
      <c r="A25" s="3" t="s">
        <v>23</v>
      </c>
      <c r="B25" s="4" t="s">
        <v>24</v>
      </c>
      <c r="C25" s="4" t="s">
        <v>25</v>
      </c>
      <c r="D25" s="4">
        <v>1</v>
      </c>
      <c r="E25" s="4">
        <v>48</v>
      </c>
      <c r="F25" s="5">
        <v>46074</v>
      </c>
      <c r="H25" s="6">
        <v>70</v>
      </c>
      <c r="I25" s="4" t="s">
        <v>28</v>
      </c>
      <c r="J25" s="4">
        <v>36</v>
      </c>
      <c r="K25" s="4" t="s">
        <v>28</v>
      </c>
      <c r="L25" s="4">
        <v>32</v>
      </c>
      <c r="M25" s="4" t="s">
        <v>28</v>
      </c>
      <c r="N25" s="4">
        <v>37.5</v>
      </c>
      <c r="O25" s="4" t="s">
        <v>28</v>
      </c>
      <c r="P25" s="6">
        <v>38</v>
      </c>
      <c r="Q25" s="4" t="s">
        <v>28</v>
      </c>
      <c r="R25" s="4">
        <v>37.5</v>
      </c>
      <c r="S25" s="4" t="s">
        <v>28</v>
      </c>
      <c r="T25" s="4">
        <v>38</v>
      </c>
      <c r="U25" s="4" t="s">
        <v>28</v>
      </c>
      <c r="V25" s="7">
        <v>0.34444444444444444</v>
      </c>
      <c r="W25" s="4" t="s">
        <v>75</v>
      </c>
    </row>
    <row r="26" spans="1:23" x14ac:dyDescent="0.3">
      <c r="A26" s="8" t="s">
        <v>23</v>
      </c>
      <c r="B26" t="s">
        <v>24</v>
      </c>
      <c r="C26" t="s">
        <v>25</v>
      </c>
      <c r="D26">
        <v>1</v>
      </c>
      <c r="E26">
        <v>48</v>
      </c>
      <c r="F26" s="9">
        <v>46074</v>
      </c>
      <c r="H26">
        <v>20</v>
      </c>
      <c r="I26" t="s">
        <v>36</v>
      </c>
      <c r="J26" t="s">
        <v>30</v>
      </c>
      <c r="T26">
        <v>0</v>
      </c>
      <c r="W26" t="s">
        <v>76</v>
      </c>
    </row>
    <row r="27" spans="1:23" x14ac:dyDescent="0.3">
      <c r="A27" s="8" t="s">
        <v>23</v>
      </c>
      <c r="B27" t="s">
        <v>24</v>
      </c>
      <c r="C27" t="s">
        <v>25</v>
      </c>
      <c r="D27">
        <v>1</v>
      </c>
      <c r="E27">
        <v>48</v>
      </c>
      <c r="F27" s="9">
        <v>46074</v>
      </c>
      <c r="H27">
        <v>10</v>
      </c>
      <c r="I27" t="s">
        <v>29</v>
      </c>
      <c r="J27" t="s">
        <v>30</v>
      </c>
      <c r="T27">
        <v>0</v>
      </c>
    </row>
    <row r="28" spans="1:23" s="12" customFormat="1" ht="15" thickBot="1" x14ac:dyDescent="0.35">
      <c r="A28" s="11" t="s">
        <v>23</v>
      </c>
      <c r="B28" s="12" t="s">
        <v>24</v>
      </c>
      <c r="C28" s="12" t="s">
        <v>25</v>
      </c>
      <c r="D28" s="12">
        <v>1</v>
      </c>
      <c r="E28" s="12">
        <v>48</v>
      </c>
      <c r="F28" s="13">
        <v>46074</v>
      </c>
      <c r="G28" s="12">
        <f>SUM(H25:H28)</f>
        <v>105</v>
      </c>
      <c r="H28" s="12">
        <v>5</v>
      </c>
      <c r="I28" s="12" t="s">
        <v>31</v>
      </c>
      <c r="J28" s="12" t="s">
        <v>30</v>
      </c>
      <c r="T28" s="12">
        <v>0</v>
      </c>
    </row>
    <row r="29" spans="1:23" s="4" customFormat="1" x14ac:dyDescent="0.3">
      <c r="A29" s="3" t="s">
        <v>23</v>
      </c>
      <c r="B29" s="4" t="s">
        <v>24</v>
      </c>
      <c r="C29" s="4" t="s">
        <v>25</v>
      </c>
      <c r="D29" s="4">
        <v>2</v>
      </c>
      <c r="E29" s="4">
        <v>0.5</v>
      </c>
      <c r="F29" s="5">
        <v>46074</v>
      </c>
      <c r="H29" s="6">
        <v>10</v>
      </c>
      <c r="I29" s="4" t="s">
        <v>26</v>
      </c>
      <c r="J29" s="4">
        <v>66</v>
      </c>
      <c r="K29" s="4" t="s">
        <v>26</v>
      </c>
      <c r="L29" s="6">
        <v>75</v>
      </c>
      <c r="N29" s="4">
        <v>42</v>
      </c>
      <c r="P29" s="4">
        <v>73</v>
      </c>
      <c r="R29" s="4">
        <v>74</v>
      </c>
      <c r="T29" s="4">
        <v>75</v>
      </c>
      <c r="W29" s="4" t="s">
        <v>77</v>
      </c>
    </row>
    <row r="30" spans="1:23" x14ac:dyDescent="0.3">
      <c r="A30" s="8" t="s">
        <v>23</v>
      </c>
      <c r="B30" t="s">
        <v>24</v>
      </c>
      <c r="C30" t="s">
        <v>25</v>
      </c>
      <c r="D30">
        <v>2</v>
      </c>
      <c r="E30">
        <v>0.5</v>
      </c>
      <c r="F30" s="9">
        <v>46074</v>
      </c>
      <c r="H30" s="10">
        <v>40</v>
      </c>
      <c r="I30" t="s">
        <v>28</v>
      </c>
      <c r="J30">
        <v>40</v>
      </c>
      <c r="K30" t="s">
        <v>28</v>
      </c>
      <c r="L30">
        <v>30</v>
      </c>
      <c r="M30" t="s">
        <v>28</v>
      </c>
      <c r="N30" s="10">
        <v>59</v>
      </c>
      <c r="O30" t="s">
        <v>28</v>
      </c>
      <c r="P30">
        <v>39.5</v>
      </c>
      <c r="Q30" t="s">
        <v>28</v>
      </c>
      <c r="R30">
        <v>33</v>
      </c>
      <c r="S30" t="s">
        <v>28</v>
      </c>
      <c r="T30">
        <v>59</v>
      </c>
      <c r="U30" t="s">
        <v>28</v>
      </c>
      <c r="V30" t="s">
        <v>39</v>
      </c>
    </row>
    <row r="31" spans="1:23" x14ac:dyDescent="0.3">
      <c r="A31" s="8" t="s">
        <v>23</v>
      </c>
      <c r="B31" t="s">
        <v>24</v>
      </c>
      <c r="C31" t="s">
        <v>25</v>
      </c>
      <c r="D31">
        <v>2</v>
      </c>
      <c r="E31">
        <v>0.5</v>
      </c>
      <c r="F31" s="9">
        <v>46074</v>
      </c>
      <c r="H31">
        <v>10</v>
      </c>
      <c r="I31" t="s">
        <v>31</v>
      </c>
      <c r="J31" t="s">
        <v>30</v>
      </c>
      <c r="T31">
        <v>0</v>
      </c>
    </row>
    <row r="32" spans="1:23" x14ac:dyDescent="0.3">
      <c r="A32" s="8" t="s">
        <v>23</v>
      </c>
      <c r="B32" t="s">
        <v>24</v>
      </c>
      <c r="C32" t="s">
        <v>25</v>
      </c>
      <c r="D32">
        <v>2</v>
      </c>
      <c r="E32">
        <v>0.5</v>
      </c>
      <c r="F32" s="9">
        <v>46074</v>
      </c>
      <c r="H32" s="10">
        <v>60</v>
      </c>
      <c r="I32" t="s">
        <v>36</v>
      </c>
      <c r="J32">
        <v>26</v>
      </c>
      <c r="K32" t="s">
        <v>36</v>
      </c>
      <c r="L32">
        <v>21</v>
      </c>
      <c r="N32">
        <v>30</v>
      </c>
      <c r="P32" s="10">
        <v>32</v>
      </c>
      <c r="R32">
        <v>22</v>
      </c>
      <c r="T32">
        <v>32</v>
      </c>
    </row>
    <row r="33" spans="1:23" s="12" customFormat="1" ht="15" thickBot="1" x14ac:dyDescent="0.35">
      <c r="A33" s="11" t="s">
        <v>23</v>
      </c>
      <c r="B33" s="12" t="s">
        <v>24</v>
      </c>
      <c r="C33" s="12" t="s">
        <v>25</v>
      </c>
      <c r="D33" s="12">
        <v>2</v>
      </c>
      <c r="E33" s="12">
        <v>0.5</v>
      </c>
      <c r="F33" s="13">
        <v>46074</v>
      </c>
      <c r="G33" s="12">
        <f>SUM(H29:H33)</f>
        <v>125</v>
      </c>
      <c r="H33" s="12">
        <v>5</v>
      </c>
      <c r="I33" s="12" t="s">
        <v>29</v>
      </c>
      <c r="J33" s="12" t="s">
        <v>30</v>
      </c>
      <c r="T33" s="12">
        <v>0</v>
      </c>
    </row>
    <row r="34" spans="1:23" s="4" customFormat="1" x14ac:dyDescent="0.3">
      <c r="A34" s="3" t="s">
        <v>23</v>
      </c>
      <c r="B34" s="4" t="s">
        <v>24</v>
      </c>
      <c r="C34" s="4" t="s">
        <v>25</v>
      </c>
      <c r="D34" s="4">
        <v>2</v>
      </c>
      <c r="E34" s="4">
        <v>2</v>
      </c>
      <c r="F34" s="5">
        <v>46074</v>
      </c>
      <c r="H34" s="6">
        <v>80</v>
      </c>
      <c r="I34" s="4" t="s">
        <v>28</v>
      </c>
      <c r="J34" s="4">
        <v>35</v>
      </c>
      <c r="K34" s="4" t="s">
        <v>28</v>
      </c>
      <c r="L34" s="4">
        <v>37.5</v>
      </c>
      <c r="M34" s="4" t="s">
        <v>28</v>
      </c>
      <c r="N34" s="6">
        <v>40</v>
      </c>
      <c r="O34" s="4" t="s">
        <v>28</v>
      </c>
      <c r="P34" s="4">
        <v>28</v>
      </c>
      <c r="Q34" s="4" t="s">
        <v>28</v>
      </c>
      <c r="R34" s="4">
        <v>36</v>
      </c>
      <c r="S34" s="4" t="s">
        <v>28</v>
      </c>
      <c r="T34" s="4">
        <v>40</v>
      </c>
      <c r="U34" s="4" t="s">
        <v>28</v>
      </c>
      <c r="V34" s="7">
        <v>0.43888888888888888</v>
      </c>
    </row>
    <row r="35" spans="1:23" x14ac:dyDescent="0.3">
      <c r="A35" s="8" t="s">
        <v>23</v>
      </c>
      <c r="B35" t="s">
        <v>24</v>
      </c>
      <c r="C35" t="s">
        <v>25</v>
      </c>
      <c r="D35">
        <v>2</v>
      </c>
      <c r="E35">
        <v>2</v>
      </c>
      <c r="F35" s="9">
        <v>46074</v>
      </c>
      <c r="H35">
        <v>20</v>
      </c>
      <c r="I35" t="s">
        <v>31</v>
      </c>
      <c r="J35" t="s">
        <v>30</v>
      </c>
      <c r="T35">
        <v>0</v>
      </c>
    </row>
    <row r="36" spans="1:23" x14ac:dyDescent="0.3">
      <c r="A36" s="8" t="s">
        <v>23</v>
      </c>
      <c r="B36" t="s">
        <v>24</v>
      </c>
      <c r="C36" t="s">
        <v>25</v>
      </c>
      <c r="D36">
        <v>2</v>
      </c>
      <c r="E36">
        <v>2</v>
      </c>
      <c r="F36" s="9">
        <v>46074</v>
      </c>
      <c r="H36">
        <v>15</v>
      </c>
      <c r="I36" t="s">
        <v>36</v>
      </c>
      <c r="J36" t="s">
        <v>30</v>
      </c>
      <c r="T36">
        <v>0</v>
      </c>
    </row>
    <row r="37" spans="1:23" s="12" customFormat="1" ht="15" thickBot="1" x14ac:dyDescent="0.35">
      <c r="A37" s="11" t="s">
        <v>23</v>
      </c>
      <c r="B37" s="12" t="s">
        <v>24</v>
      </c>
      <c r="C37" s="12" t="s">
        <v>25</v>
      </c>
      <c r="D37" s="12">
        <v>2</v>
      </c>
      <c r="E37" s="12">
        <v>2</v>
      </c>
      <c r="F37" s="13">
        <v>46074</v>
      </c>
      <c r="G37" s="12">
        <f>SUM(H34:H37)</f>
        <v>120</v>
      </c>
      <c r="H37" s="12">
        <v>5</v>
      </c>
      <c r="I37" s="12" t="s">
        <v>29</v>
      </c>
      <c r="J37" s="12" t="s">
        <v>30</v>
      </c>
      <c r="T37" s="12">
        <v>0</v>
      </c>
    </row>
    <row r="38" spans="1:23" s="4" customFormat="1" x14ac:dyDescent="0.3">
      <c r="A38" s="3" t="s">
        <v>23</v>
      </c>
      <c r="B38" s="4" t="s">
        <v>24</v>
      </c>
      <c r="C38" s="4" t="s">
        <v>25</v>
      </c>
      <c r="D38" s="4">
        <v>2</v>
      </c>
      <c r="E38" s="4">
        <v>6</v>
      </c>
      <c r="F38" s="5">
        <v>46074</v>
      </c>
      <c r="H38" s="6">
        <v>80</v>
      </c>
      <c r="I38" s="4" t="s">
        <v>28</v>
      </c>
      <c r="J38" s="4">
        <v>37</v>
      </c>
      <c r="K38" s="4" t="s">
        <v>28</v>
      </c>
      <c r="L38" s="4">
        <v>33.5</v>
      </c>
      <c r="M38" s="4" t="s">
        <v>28</v>
      </c>
      <c r="N38" s="6">
        <v>42</v>
      </c>
      <c r="O38" s="4" t="s">
        <v>28</v>
      </c>
      <c r="P38" s="4">
        <v>39</v>
      </c>
      <c r="Q38" s="4" t="s">
        <v>28</v>
      </c>
      <c r="R38" s="4">
        <v>33</v>
      </c>
      <c r="S38" s="4" t="s">
        <v>28</v>
      </c>
      <c r="T38" s="4">
        <v>42</v>
      </c>
      <c r="U38" s="4" t="s">
        <v>28</v>
      </c>
      <c r="V38" s="7">
        <v>0.44722222222222224</v>
      </c>
      <c r="W38" s="4" t="s">
        <v>78</v>
      </c>
    </row>
    <row r="39" spans="1:23" x14ac:dyDescent="0.3">
      <c r="A39" s="8" t="s">
        <v>23</v>
      </c>
      <c r="B39" t="s">
        <v>24</v>
      </c>
      <c r="C39" t="s">
        <v>25</v>
      </c>
      <c r="D39">
        <v>2</v>
      </c>
      <c r="E39">
        <v>6</v>
      </c>
      <c r="F39" s="9">
        <v>46074</v>
      </c>
      <c r="H39">
        <v>10</v>
      </c>
      <c r="I39" t="s">
        <v>31</v>
      </c>
      <c r="J39" t="s">
        <v>30</v>
      </c>
      <c r="T39">
        <v>0</v>
      </c>
    </row>
    <row r="40" spans="1:23" x14ac:dyDescent="0.3">
      <c r="A40" s="8" t="s">
        <v>23</v>
      </c>
      <c r="B40" t="s">
        <v>24</v>
      </c>
      <c r="C40" t="s">
        <v>25</v>
      </c>
      <c r="D40">
        <v>2</v>
      </c>
      <c r="E40">
        <v>6</v>
      </c>
      <c r="F40" s="9">
        <v>46074</v>
      </c>
      <c r="H40">
        <v>20</v>
      </c>
      <c r="I40" t="s">
        <v>29</v>
      </c>
      <c r="J40" t="s">
        <v>30</v>
      </c>
      <c r="T40">
        <v>0</v>
      </c>
    </row>
    <row r="41" spans="1:23" s="12" customFormat="1" ht="15" thickBot="1" x14ac:dyDescent="0.35">
      <c r="A41" s="11" t="s">
        <v>23</v>
      </c>
      <c r="B41" s="12" t="s">
        <v>24</v>
      </c>
      <c r="C41" s="12" t="s">
        <v>25</v>
      </c>
      <c r="D41" s="12">
        <v>2</v>
      </c>
      <c r="E41" s="12">
        <v>6</v>
      </c>
      <c r="F41" s="13">
        <v>46074</v>
      </c>
      <c r="G41" s="12">
        <f>SUM(H38:H41)</f>
        <v>115</v>
      </c>
      <c r="H41" s="12">
        <v>5</v>
      </c>
      <c r="I41" s="12" t="s">
        <v>36</v>
      </c>
      <c r="J41" s="12" t="s">
        <v>30</v>
      </c>
      <c r="T41" s="12">
        <v>0</v>
      </c>
    </row>
    <row r="42" spans="1:23" s="4" customFormat="1" x14ac:dyDescent="0.3">
      <c r="A42" s="3" t="s">
        <v>23</v>
      </c>
      <c r="B42" s="4" t="s">
        <v>24</v>
      </c>
      <c r="C42" s="4" t="s">
        <v>25</v>
      </c>
      <c r="D42" s="4">
        <v>2</v>
      </c>
      <c r="E42" s="4">
        <v>12</v>
      </c>
      <c r="F42" s="5">
        <v>46074</v>
      </c>
      <c r="H42" s="6">
        <v>75</v>
      </c>
      <c r="I42" s="4" t="s">
        <v>28</v>
      </c>
      <c r="J42" s="4">
        <v>32</v>
      </c>
      <c r="K42" s="4" t="s">
        <v>28</v>
      </c>
      <c r="L42" s="6">
        <v>35</v>
      </c>
      <c r="M42" s="4" t="s">
        <v>28</v>
      </c>
      <c r="N42" s="4">
        <v>28</v>
      </c>
      <c r="O42" s="4" t="s">
        <v>28</v>
      </c>
      <c r="P42" s="4">
        <v>33</v>
      </c>
      <c r="Q42" s="4" t="s">
        <v>28</v>
      </c>
      <c r="R42" s="4">
        <v>33</v>
      </c>
      <c r="S42" s="4" t="s">
        <v>28</v>
      </c>
      <c r="T42" s="4">
        <v>35</v>
      </c>
      <c r="U42" s="4" t="s">
        <v>28</v>
      </c>
      <c r="V42" s="7">
        <v>0.45347222222222222</v>
      </c>
    </row>
    <row r="43" spans="1:23" x14ac:dyDescent="0.3">
      <c r="A43" s="8" t="s">
        <v>23</v>
      </c>
      <c r="B43" t="s">
        <v>24</v>
      </c>
      <c r="C43" t="s">
        <v>25</v>
      </c>
      <c r="D43">
        <v>2</v>
      </c>
      <c r="E43">
        <v>12</v>
      </c>
      <c r="F43" s="9">
        <v>46074</v>
      </c>
      <c r="H43">
        <v>10</v>
      </c>
      <c r="I43" t="s">
        <v>36</v>
      </c>
      <c r="J43" t="s">
        <v>30</v>
      </c>
      <c r="T43">
        <v>0</v>
      </c>
    </row>
    <row r="44" spans="1:23" x14ac:dyDescent="0.3">
      <c r="A44" s="8" t="s">
        <v>23</v>
      </c>
      <c r="B44" t="s">
        <v>24</v>
      </c>
      <c r="C44" t="s">
        <v>25</v>
      </c>
      <c r="D44">
        <v>2</v>
      </c>
      <c r="E44">
        <v>12</v>
      </c>
      <c r="F44" s="9">
        <v>46074</v>
      </c>
      <c r="H44">
        <v>25</v>
      </c>
      <c r="I44" t="s">
        <v>31</v>
      </c>
      <c r="J44" t="s">
        <v>30</v>
      </c>
      <c r="T44">
        <v>0</v>
      </c>
    </row>
    <row r="45" spans="1:23" s="12" customFormat="1" ht="15" thickBot="1" x14ac:dyDescent="0.35">
      <c r="A45" s="11" t="s">
        <v>23</v>
      </c>
      <c r="B45" s="12" t="s">
        <v>24</v>
      </c>
      <c r="C45" s="12" t="s">
        <v>25</v>
      </c>
      <c r="D45" s="12">
        <v>2</v>
      </c>
      <c r="E45" s="12">
        <v>12</v>
      </c>
      <c r="F45" s="13">
        <v>46074</v>
      </c>
      <c r="G45" s="12">
        <f>SUM(H42:H45)</f>
        <v>125</v>
      </c>
      <c r="H45" s="12">
        <v>15</v>
      </c>
      <c r="I45" s="12" t="s">
        <v>29</v>
      </c>
      <c r="J45" s="12" t="s">
        <v>30</v>
      </c>
      <c r="T45" s="12">
        <v>0</v>
      </c>
    </row>
    <row r="46" spans="1:23" s="4" customFormat="1" x14ac:dyDescent="0.3">
      <c r="A46" s="3" t="s">
        <v>23</v>
      </c>
      <c r="B46" s="4" t="s">
        <v>24</v>
      </c>
      <c r="C46" s="4" t="s">
        <v>25</v>
      </c>
      <c r="D46" s="4">
        <v>2</v>
      </c>
      <c r="E46" s="4">
        <v>18</v>
      </c>
      <c r="F46" s="5">
        <v>46074</v>
      </c>
      <c r="H46" s="4">
        <v>10</v>
      </c>
      <c r="I46" s="4" t="s">
        <v>31</v>
      </c>
      <c r="J46" s="4" t="s">
        <v>30</v>
      </c>
      <c r="T46" s="4">
        <v>0</v>
      </c>
    </row>
    <row r="47" spans="1:23" x14ac:dyDescent="0.3">
      <c r="A47" s="8" t="s">
        <v>23</v>
      </c>
      <c r="B47" t="s">
        <v>24</v>
      </c>
      <c r="C47" t="s">
        <v>25</v>
      </c>
      <c r="D47">
        <v>2</v>
      </c>
      <c r="E47">
        <v>18</v>
      </c>
      <c r="F47" s="9">
        <v>46074</v>
      </c>
      <c r="H47" s="10">
        <v>40</v>
      </c>
      <c r="I47" t="s">
        <v>38</v>
      </c>
      <c r="J47">
        <v>16</v>
      </c>
      <c r="K47" t="s">
        <v>38</v>
      </c>
      <c r="L47">
        <v>12</v>
      </c>
      <c r="N47">
        <v>18</v>
      </c>
      <c r="P47">
        <v>11</v>
      </c>
      <c r="R47" s="10">
        <v>24</v>
      </c>
      <c r="T47">
        <v>24</v>
      </c>
      <c r="V47" s="16">
        <v>0.46111111111111114</v>
      </c>
    </row>
    <row r="48" spans="1:23" x14ac:dyDescent="0.3">
      <c r="A48" s="8" t="s">
        <v>23</v>
      </c>
      <c r="B48" t="s">
        <v>24</v>
      </c>
      <c r="C48" t="s">
        <v>25</v>
      </c>
      <c r="D48">
        <v>2</v>
      </c>
      <c r="E48">
        <v>18</v>
      </c>
      <c r="F48" s="9">
        <v>46074</v>
      </c>
      <c r="H48" s="10">
        <v>20</v>
      </c>
      <c r="I48" t="s">
        <v>28</v>
      </c>
      <c r="J48">
        <v>25</v>
      </c>
      <c r="K48" t="s">
        <v>28</v>
      </c>
      <c r="L48">
        <v>17</v>
      </c>
      <c r="M48" t="s">
        <v>28</v>
      </c>
      <c r="N48">
        <v>26</v>
      </c>
      <c r="O48" t="s">
        <v>28</v>
      </c>
      <c r="P48" s="10">
        <v>29</v>
      </c>
      <c r="Q48" t="s">
        <v>28</v>
      </c>
      <c r="R48">
        <v>27</v>
      </c>
      <c r="S48" t="s">
        <v>28</v>
      </c>
      <c r="T48">
        <v>29</v>
      </c>
      <c r="U48" t="s">
        <v>28</v>
      </c>
    </row>
    <row r="49" spans="1:23" x14ac:dyDescent="0.3">
      <c r="A49" s="8" t="s">
        <v>23</v>
      </c>
      <c r="B49" t="s">
        <v>24</v>
      </c>
      <c r="C49" t="s">
        <v>25</v>
      </c>
      <c r="D49">
        <v>2</v>
      </c>
      <c r="E49">
        <v>18</v>
      </c>
      <c r="F49" s="9">
        <v>46074</v>
      </c>
      <c r="H49">
        <v>30</v>
      </c>
      <c r="I49" t="s">
        <v>36</v>
      </c>
      <c r="J49" t="s">
        <v>30</v>
      </c>
      <c r="T49">
        <v>0</v>
      </c>
      <c r="W49" t="s">
        <v>79</v>
      </c>
    </row>
    <row r="50" spans="1:23" s="12" customFormat="1" ht="15" thickBot="1" x14ac:dyDescent="0.35">
      <c r="A50" s="11" t="s">
        <v>23</v>
      </c>
      <c r="B50" s="12" t="s">
        <v>24</v>
      </c>
      <c r="C50" s="12" t="s">
        <v>25</v>
      </c>
      <c r="D50" s="12">
        <v>2</v>
      </c>
      <c r="E50" s="12">
        <v>18</v>
      </c>
      <c r="F50" s="13">
        <v>46074</v>
      </c>
      <c r="G50" s="12">
        <f>SUM(H46:H50)</f>
        <v>140</v>
      </c>
      <c r="H50" s="12">
        <v>40</v>
      </c>
      <c r="I50" s="12" t="s">
        <v>29</v>
      </c>
      <c r="J50" s="12" t="s">
        <v>30</v>
      </c>
      <c r="T50" s="12">
        <v>0</v>
      </c>
    </row>
    <row r="51" spans="1:23" s="4" customFormat="1" x14ac:dyDescent="0.3">
      <c r="A51" s="3" t="s">
        <v>23</v>
      </c>
      <c r="B51" s="4" t="s">
        <v>24</v>
      </c>
      <c r="C51" s="4" t="s">
        <v>25</v>
      </c>
      <c r="D51" s="4">
        <v>2</v>
      </c>
      <c r="E51" s="4">
        <v>24</v>
      </c>
      <c r="F51" s="5">
        <v>46074</v>
      </c>
      <c r="H51" s="6">
        <v>65</v>
      </c>
      <c r="I51" s="4" t="s">
        <v>28</v>
      </c>
      <c r="J51" s="4">
        <v>42</v>
      </c>
      <c r="K51" s="4" t="s">
        <v>28</v>
      </c>
      <c r="L51" s="6">
        <v>55</v>
      </c>
      <c r="M51" s="4" t="s">
        <v>28</v>
      </c>
      <c r="N51" s="4">
        <v>43</v>
      </c>
      <c r="O51" s="4" t="s">
        <v>28</v>
      </c>
      <c r="P51" s="4">
        <v>39</v>
      </c>
      <c r="Q51" s="4" t="s">
        <v>28</v>
      </c>
      <c r="R51" s="4">
        <v>32</v>
      </c>
      <c r="S51" s="4" t="s">
        <v>28</v>
      </c>
      <c r="T51" s="4">
        <v>55</v>
      </c>
      <c r="U51" s="4" t="s">
        <v>28</v>
      </c>
      <c r="V51" s="7">
        <v>0.46944444444444444</v>
      </c>
    </row>
    <row r="52" spans="1:23" x14ac:dyDescent="0.3">
      <c r="A52" s="8" t="s">
        <v>23</v>
      </c>
      <c r="B52" t="s">
        <v>24</v>
      </c>
      <c r="C52" t="s">
        <v>25</v>
      </c>
      <c r="D52">
        <v>2</v>
      </c>
      <c r="E52">
        <v>24</v>
      </c>
      <c r="F52" s="9">
        <v>46074</v>
      </c>
      <c r="H52">
        <v>25</v>
      </c>
      <c r="I52" t="s">
        <v>36</v>
      </c>
      <c r="J52" t="s">
        <v>30</v>
      </c>
      <c r="T52">
        <v>0</v>
      </c>
    </row>
    <row r="53" spans="1:23" x14ac:dyDescent="0.3">
      <c r="A53" s="8" t="s">
        <v>23</v>
      </c>
      <c r="B53" t="s">
        <v>24</v>
      </c>
      <c r="C53" t="s">
        <v>25</v>
      </c>
      <c r="D53">
        <v>2</v>
      </c>
      <c r="E53">
        <v>24</v>
      </c>
      <c r="F53" s="9">
        <v>46074</v>
      </c>
      <c r="H53">
        <v>20</v>
      </c>
      <c r="I53" t="s">
        <v>31</v>
      </c>
      <c r="J53" t="s">
        <v>30</v>
      </c>
      <c r="T53">
        <v>0</v>
      </c>
    </row>
    <row r="54" spans="1:23" s="12" customFormat="1" ht="15" thickBot="1" x14ac:dyDescent="0.35">
      <c r="A54" s="11" t="s">
        <v>23</v>
      </c>
      <c r="B54" s="12" t="s">
        <v>24</v>
      </c>
      <c r="C54" s="12" t="s">
        <v>25</v>
      </c>
      <c r="D54" s="12">
        <v>2</v>
      </c>
      <c r="E54" s="12">
        <v>24</v>
      </c>
      <c r="F54" s="13">
        <v>46074</v>
      </c>
      <c r="G54" s="12">
        <f>SUM(H51:H54)</f>
        <v>120</v>
      </c>
      <c r="H54" s="12">
        <v>10</v>
      </c>
      <c r="I54" s="12" t="s">
        <v>29</v>
      </c>
      <c r="J54" s="12" t="s">
        <v>30</v>
      </c>
      <c r="T54" s="12">
        <v>0</v>
      </c>
    </row>
    <row r="55" spans="1:23" s="4" customFormat="1" x14ac:dyDescent="0.3">
      <c r="A55" s="3" t="s">
        <v>23</v>
      </c>
      <c r="B55" s="4" t="s">
        <v>24</v>
      </c>
      <c r="C55" s="4" t="s">
        <v>25</v>
      </c>
      <c r="D55" s="4">
        <v>2</v>
      </c>
      <c r="E55" s="4">
        <v>48</v>
      </c>
      <c r="F55" s="5">
        <v>46074</v>
      </c>
      <c r="H55" s="6">
        <v>70</v>
      </c>
      <c r="I55" s="4" t="s">
        <v>28</v>
      </c>
      <c r="J55" s="4">
        <v>38</v>
      </c>
      <c r="K55" s="4" t="s">
        <v>28</v>
      </c>
      <c r="L55" s="4">
        <v>37.5</v>
      </c>
      <c r="M55" s="4" t="s">
        <v>28</v>
      </c>
      <c r="N55" s="4">
        <v>34</v>
      </c>
      <c r="O55" s="4" t="s">
        <v>28</v>
      </c>
      <c r="P55" s="4">
        <v>40</v>
      </c>
      <c r="Q55" s="4" t="s">
        <v>28</v>
      </c>
      <c r="R55" s="6">
        <v>42</v>
      </c>
      <c r="S55" s="4" t="s">
        <v>28</v>
      </c>
      <c r="T55" s="4">
        <v>42</v>
      </c>
      <c r="U55" s="4" t="s">
        <v>28</v>
      </c>
      <c r="V55" s="4" t="s">
        <v>40</v>
      </c>
    </row>
    <row r="56" spans="1:23" x14ac:dyDescent="0.3">
      <c r="A56" s="8" t="s">
        <v>23</v>
      </c>
      <c r="B56" t="s">
        <v>24</v>
      </c>
      <c r="C56" t="s">
        <v>25</v>
      </c>
      <c r="D56">
        <v>2</v>
      </c>
      <c r="E56">
        <v>48</v>
      </c>
      <c r="F56" s="9">
        <v>46074</v>
      </c>
      <c r="H56">
        <v>20</v>
      </c>
      <c r="I56" t="s">
        <v>31</v>
      </c>
      <c r="J56" t="s">
        <v>30</v>
      </c>
      <c r="T56">
        <v>0</v>
      </c>
    </row>
    <row r="57" spans="1:23" x14ac:dyDescent="0.3">
      <c r="A57" s="8" t="s">
        <v>23</v>
      </c>
      <c r="B57" t="s">
        <v>24</v>
      </c>
      <c r="C57" t="s">
        <v>25</v>
      </c>
      <c r="D57">
        <v>2</v>
      </c>
      <c r="E57">
        <v>48</v>
      </c>
      <c r="F57" s="9">
        <v>46074</v>
      </c>
      <c r="H57">
        <v>25</v>
      </c>
      <c r="I57" t="s">
        <v>36</v>
      </c>
      <c r="J57" t="s">
        <v>30</v>
      </c>
      <c r="T57">
        <v>0</v>
      </c>
    </row>
    <row r="58" spans="1:23" s="12" customFormat="1" ht="15" thickBot="1" x14ac:dyDescent="0.35">
      <c r="A58" s="11" t="s">
        <v>23</v>
      </c>
      <c r="B58" s="12" t="s">
        <v>24</v>
      </c>
      <c r="C58" s="12" t="s">
        <v>25</v>
      </c>
      <c r="D58" s="12">
        <v>2</v>
      </c>
      <c r="E58" s="12">
        <v>48</v>
      </c>
      <c r="F58" s="13">
        <v>46074</v>
      </c>
      <c r="G58" s="12">
        <f>SUM(H55:H58)</f>
        <v>130</v>
      </c>
      <c r="H58" s="12">
        <v>15</v>
      </c>
      <c r="I58" s="12" t="s">
        <v>29</v>
      </c>
      <c r="J58" s="12" t="s">
        <v>30</v>
      </c>
      <c r="T58" s="12">
        <v>0</v>
      </c>
    </row>
    <row r="59" spans="1:23" s="4" customFormat="1" x14ac:dyDescent="0.3">
      <c r="A59" s="3" t="s">
        <v>23</v>
      </c>
      <c r="B59" s="4" t="s">
        <v>24</v>
      </c>
      <c r="C59" s="4" t="s">
        <v>41</v>
      </c>
      <c r="D59" s="4">
        <v>1</v>
      </c>
      <c r="E59" s="4">
        <v>0.5</v>
      </c>
      <c r="F59" s="5">
        <v>46073</v>
      </c>
      <c r="H59" s="4">
        <v>10</v>
      </c>
      <c r="I59" s="4" t="s">
        <v>42</v>
      </c>
      <c r="J59" s="4" t="s">
        <v>30</v>
      </c>
      <c r="T59" s="4">
        <v>0</v>
      </c>
    </row>
    <row r="60" spans="1:23" s="31" customFormat="1" x14ac:dyDescent="0.3">
      <c r="A60" s="30" t="s">
        <v>23</v>
      </c>
      <c r="B60" s="31" t="s">
        <v>24</v>
      </c>
      <c r="C60" s="31" t="s">
        <v>41</v>
      </c>
      <c r="D60" s="31">
        <v>1</v>
      </c>
      <c r="E60" s="31">
        <v>0.5</v>
      </c>
      <c r="F60" s="32">
        <v>46073</v>
      </c>
      <c r="H60" s="31">
        <v>60</v>
      </c>
      <c r="I60" s="31" t="s">
        <v>31</v>
      </c>
      <c r="J60" s="31">
        <v>15</v>
      </c>
      <c r="K60" s="31" t="s">
        <v>43</v>
      </c>
      <c r="L60" s="31">
        <v>18</v>
      </c>
      <c r="N60" s="31">
        <v>13</v>
      </c>
      <c r="P60" s="31">
        <v>10</v>
      </c>
      <c r="R60" s="31">
        <v>20.5</v>
      </c>
      <c r="T60" s="31">
        <v>20.5</v>
      </c>
      <c r="V60" s="33">
        <v>0.43958333333333333</v>
      </c>
    </row>
    <row r="61" spans="1:23" x14ac:dyDescent="0.3">
      <c r="A61" s="8" t="s">
        <v>23</v>
      </c>
      <c r="B61" t="s">
        <v>24</v>
      </c>
      <c r="C61" t="s">
        <v>41</v>
      </c>
      <c r="D61">
        <v>1</v>
      </c>
      <c r="E61">
        <v>0.5</v>
      </c>
      <c r="F61" s="9">
        <v>46073</v>
      </c>
      <c r="H61">
        <v>40</v>
      </c>
      <c r="I61" t="s">
        <v>28</v>
      </c>
      <c r="J61">
        <v>26</v>
      </c>
      <c r="K61" t="s">
        <v>28</v>
      </c>
      <c r="L61">
        <v>28</v>
      </c>
      <c r="M61" t="s">
        <v>28</v>
      </c>
      <c r="N61">
        <v>21.5</v>
      </c>
      <c r="O61" t="s">
        <v>28</v>
      </c>
      <c r="P61">
        <v>29</v>
      </c>
      <c r="Q61" t="s">
        <v>28</v>
      </c>
      <c r="R61">
        <v>26.5</v>
      </c>
      <c r="S61" t="s">
        <v>28</v>
      </c>
      <c r="T61">
        <v>29</v>
      </c>
      <c r="U61" t="s">
        <v>28</v>
      </c>
    </row>
    <row r="62" spans="1:23" s="12" customFormat="1" ht="15" thickBot="1" x14ac:dyDescent="0.35">
      <c r="A62" s="11" t="s">
        <v>23</v>
      </c>
      <c r="B62" s="12" t="s">
        <v>24</v>
      </c>
      <c r="C62" s="12" t="s">
        <v>41</v>
      </c>
      <c r="D62" s="12">
        <v>1</v>
      </c>
      <c r="E62" s="12">
        <v>0.5</v>
      </c>
      <c r="F62" s="13">
        <v>46073</v>
      </c>
      <c r="G62" s="12">
        <f>SUM(H59:H62)</f>
        <v>125</v>
      </c>
      <c r="H62" s="12">
        <v>15</v>
      </c>
      <c r="I62" s="12" t="s">
        <v>29</v>
      </c>
      <c r="J62" s="12" t="s">
        <v>30</v>
      </c>
      <c r="T62" s="12">
        <v>0</v>
      </c>
    </row>
    <row r="63" spans="1:23" s="4" customFormat="1" x14ac:dyDescent="0.3">
      <c r="A63" s="3" t="s">
        <v>23</v>
      </c>
      <c r="B63" s="4" t="s">
        <v>24</v>
      </c>
      <c r="C63" s="4" t="s">
        <v>41</v>
      </c>
      <c r="D63" s="4">
        <v>1</v>
      </c>
      <c r="E63" s="4">
        <v>2</v>
      </c>
      <c r="F63" s="5">
        <v>46073</v>
      </c>
      <c r="H63" s="4">
        <v>15</v>
      </c>
      <c r="I63" s="4" t="s">
        <v>31</v>
      </c>
      <c r="J63" s="4" t="s">
        <v>30</v>
      </c>
      <c r="T63" s="4">
        <v>0</v>
      </c>
      <c r="W63" s="4" t="s">
        <v>87</v>
      </c>
    </row>
    <row r="64" spans="1:23" s="31" customFormat="1" x14ac:dyDescent="0.3">
      <c r="A64" s="30" t="s">
        <v>23</v>
      </c>
      <c r="B64" s="31" t="s">
        <v>24</v>
      </c>
      <c r="C64" s="31" t="s">
        <v>41</v>
      </c>
      <c r="D64" s="31">
        <v>1</v>
      </c>
      <c r="E64" s="31">
        <v>2</v>
      </c>
      <c r="F64" s="32">
        <v>46073</v>
      </c>
      <c r="H64" s="31">
        <v>50</v>
      </c>
      <c r="I64" s="31" t="s">
        <v>28</v>
      </c>
      <c r="J64" s="31">
        <v>29</v>
      </c>
      <c r="K64" s="31" t="s">
        <v>28</v>
      </c>
      <c r="L64" s="31">
        <v>31</v>
      </c>
      <c r="M64" s="31" t="s">
        <v>28</v>
      </c>
      <c r="N64" s="31">
        <v>29</v>
      </c>
      <c r="O64" s="31" t="s">
        <v>28</v>
      </c>
      <c r="P64" s="31">
        <v>28</v>
      </c>
      <c r="Q64" s="31" t="s">
        <v>28</v>
      </c>
      <c r="R64" s="31">
        <v>27.5</v>
      </c>
      <c r="S64" s="31" t="s">
        <v>28</v>
      </c>
      <c r="T64" s="31">
        <v>31</v>
      </c>
      <c r="U64" s="31" t="s">
        <v>28</v>
      </c>
      <c r="V64" s="33">
        <v>0.45347222222222222</v>
      </c>
    </row>
    <row r="65" spans="1:23" s="12" customFormat="1" ht="15" thickBot="1" x14ac:dyDescent="0.35">
      <c r="A65" s="11" t="s">
        <v>23</v>
      </c>
      <c r="B65" s="12" t="s">
        <v>24</v>
      </c>
      <c r="C65" s="12" t="s">
        <v>41</v>
      </c>
      <c r="D65" s="12">
        <v>1</v>
      </c>
      <c r="E65" s="12">
        <v>2</v>
      </c>
      <c r="F65" s="13">
        <v>46073</v>
      </c>
      <c r="G65" s="12">
        <f>SUM(H63:H65)</f>
        <v>100</v>
      </c>
      <c r="H65" s="12">
        <v>35</v>
      </c>
      <c r="I65" s="12" t="s">
        <v>29</v>
      </c>
      <c r="J65" s="12" t="s">
        <v>30</v>
      </c>
      <c r="T65" s="12">
        <v>0</v>
      </c>
    </row>
    <row r="66" spans="1:23" s="4" customFormat="1" x14ac:dyDescent="0.3">
      <c r="A66" s="3" t="s">
        <v>23</v>
      </c>
      <c r="B66" s="4" t="s">
        <v>24</v>
      </c>
      <c r="C66" s="4" t="s">
        <v>41</v>
      </c>
      <c r="D66" s="4">
        <v>1</v>
      </c>
      <c r="E66" s="4">
        <v>6</v>
      </c>
      <c r="F66" s="5">
        <v>46073</v>
      </c>
      <c r="H66" s="4">
        <v>80</v>
      </c>
      <c r="I66" s="4" t="s">
        <v>28</v>
      </c>
      <c r="J66" s="4">
        <v>39</v>
      </c>
      <c r="K66" s="4" t="s">
        <v>28</v>
      </c>
      <c r="L66" s="4">
        <v>42.5</v>
      </c>
      <c r="M66" s="4" t="s">
        <v>28</v>
      </c>
      <c r="N66" s="4">
        <v>39</v>
      </c>
      <c r="O66" s="4" t="s">
        <v>28</v>
      </c>
      <c r="P66" s="4">
        <v>40</v>
      </c>
      <c r="Q66" s="4" t="s">
        <v>28</v>
      </c>
      <c r="R66" s="4">
        <v>35</v>
      </c>
      <c r="S66" s="4" t="s">
        <v>28</v>
      </c>
      <c r="T66" s="4">
        <v>42.5</v>
      </c>
      <c r="U66" s="4" t="s">
        <v>28</v>
      </c>
      <c r="V66" s="7">
        <v>0.46180555555555558</v>
      </c>
    </row>
    <row r="67" spans="1:23" x14ac:dyDescent="0.3">
      <c r="A67" s="8" t="s">
        <v>23</v>
      </c>
      <c r="B67" t="s">
        <v>24</v>
      </c>
      <c r="C67" t="s">
        <v>41</v>
      </c>
      <c r="D67">
        <v>1</v>
      </c>
      <c r="E67">
        <v>6</v>
      </c>
      <c r="F67" s="9">
        <v>46073</v>
      </c>
      <c r="H67">
        <v>5</v>
      </c>
      <c r="I67" t="s">
        <v>44</v>
      </c>
      <c r="J67" t="s">
        <v>30</v>
      </c>
      <c r="T67">
        <v>0</v>
      </c>
    </row>
    <row r="68" spans="1:23" s="12" customFormat="1" ht="15" thickBot="1" x14ac:dyDescent="0.35">
      <c r="A68" s="11" t="s">
        <v>23</v>
      </c>
      <c r="B68" s="12" t="s">
        <v>24</v>
      </c>
      <c r="C68" s="12" t="s">
        <v>41</v>
      </c>
      <c r="D68" s="12">
        <v>1</v>
      </c>
      <c r="E68" s="12">
        <v>6</v>
      </c>
      <c r="F68" s="13">
        <v>46073</v>
      </c>
      <c r="G68" s="12">
        <f>SUM(H66:H68)</f>
        <v>105</v>
      </c>
      <c r="H68" s="12">
        <v>20</v>
      </c>
      <c r="I68" s="12" t="s">
        <v>29</v>
      </c>
      <c r="J68" s="12" t="s">
        <v>30</v>
      </c>
      <c r="T68" s="12">
        <v>0</v>
      </c>
    </row>
    <row r="69" spans="1:23" s="4" customFormat="1" x14ac:dyDescent="0.3">
      <c r="A69" s="3" t="s">
        <v>23</v>
      </c>
      <c r="B69" s="4" t="s">
        <v>24</v>
      </c>
      <c r="C69" s="4" t="s">
        <v>41</v>
      </c>
      <c r="D69" s="4">
        <v>1</v>
      </c>
      <c r="E69" s="4">
        <v>12</v>
      </c>
      <c r="F69" s="5">
        <v>46073</v>
      </c>
      <c r="H69" s="4">
        <v>60</v>
      </c>
      <c r="I69" s="4" t="s">
        <v>28</v>
      </c>
      <c r="J69" s="4">
        <v>51</v>
      </c>
      <c r="K69" s="4" t="s">
        <v>28</v>
      </c>
      <c r="L69" s="4">
        <v>44</v>
      </c>
      <c r="M69" s="4" t="s">
        <v>28</v>
      </c>
      <c r="N69" s="4">
        <v>71</v>
      </c>
      <c r="O69" s="4" t="s">
        <v>28</v>
      </c>
      <c r="P69" s="4">
        <v>48.5</v>
      </c>
      <c r="Q69" s="4" t="s">
        <v>28</v>
      </c>
      <c r="R69" s="4">
        <v>41.5</v>
      </c>
      <c r="S69" s="4" t="s">
        <v>28</v>
      </c>
      <c r="T69" s="4">
        <v>71</v>
      </c>
      <c r="U69" s="4" t="s">
        <v>28</v>
      </c>
      <c r="V69" s="7">
        <v>0.46875</v>
      </c>
    </row>
    <row r="70" spans="1:23" s="12" customFormat="1" ht="15" thickBot="1" x14ac:dyDescent="0.35">
      <c r="A70" s="11" t="s">
        <v>23</v>
      </c>
      <c r="B70" s="12" t="s">
        <v>24</v>
      </c>
      <c r="C70" s="12" t="s">
        <v>41</v>
      </c>
      <c r="D70" s="12">
        <v>1</v>
      </c>
      <c r="E70" s="12">
        <v>12</v>
      </c>
      <c r="F70" s="13">
        <v>46073</v>
      </c>
      <c r="G70" s="12">
        <f>SUM(H69:H70)</f>
        <v>100</v>
      </c>
      <c r="H70" s="12">
        <v>40</v>
      </c>
      <c r="I70" s="12" t="s">
        <v>29</v>
      </c>
      <c r="J70" s="12" t="s">
        <v>30</v>
      </c>
      <c r="T70" s="12">
        <v>0</v>
      </c>
    </row>
    <row r="71" spans="1:23" s="4" customFormat="1" x14ac:dyDescent="0.3">
      <c r="A71" s="3" t="s">
        <v>23</v>
      </c>
      <c r="B71" s="4" t="s">
        <v>24</v>
      </c>
      <c r="C71" s="4" t="s">
        <v>41</v>
      </c>
      <c r="D71" s="4">
        <v>1</v>
      </c>
      <c r="E71" s="4">
        <v>18</v>
      </c>
      <c r="F71" s="5">
        <v>46073</v>
      </c>
      <c r="H71" s="4">
        <v>80</v>
      </c>
      <c r="I71" s="4" t="s">
        <v>28</v>
      </c>
      <c r="J71" s="4">
        <v>38</v>
      </c>
      <c r="K71" s="4" t="s">
        <v>28</v>
      </c>
      <c r="L71" s="4">
        <v>33</v>
      </c>
      <c r="M71" s="4" t="s">
        <v>28</v>
      </c>
      <c r="N71" s="4">
        <v>32</v>
      </c>
      <c r="O71" s="4" t="s">
        <v>28</v>
      </c>
      <c r="P71" s="4">
        <v>42</v>
      </c>
      <c r="Q71" s="4" t="s">
        <v>28</v>
      </c>
      <c r="R71" s="4">
        <v>44</v>
      </c>
      <c r="S71" s="4" t="s">
        <v>28</v>
      </c>
      <c r="T71" s="4">
        <v>44</v>
      </c>
      <c r="U71" s="4" t="s">
        <v>28</v>
      </c>
      <c r="V71" s="7">
        <v>0.47569444444444442</v>
      </c>
    </row>
    <row r="72" spans="1:23" s="12" customFormat="1" ht="15" thickBot="1" x14ac:dyDescent="0.35">
      <c r="A72" s="11" t="s">
        <v>23</v>
      </c>
      <c r="B72" s="12" t="s">
        <v>24</v>
      </c>
      <c r="C72" s="12" t="s">
        <v>41</v>
      </c>
      <c r="D72" s="12">
        <v>1</v>
      </c>
      <c r="E72" s="12">
        <v>18</v>
      </c>
      <c r="F72" s="13">
        <v>46073</v>
      </c>
      <c r="G72" s="12">
        <f>SUM(H71:H72)</f>
        <v>100</v>
      </c>
      <c r="H72" s="12">
        <v>20</v>
      </c>
      <c r="I72" s="12" t="s">
        <v>29</v>
      </c>
      <c r="J72" s="12" t="s">
        <v>30</v>
      </c>
      <c r="T72" s="12">
        <v>0</v>
      </c>
    </row>
    <row r="73" spans="1:23" s="4" customFormat="1" x14ac:dyDescent="0.3">
      <c r="A73" s="3" t="s">
        <v>23</v>
      </c>
      <c r="B73" s="4" t="s">
        <v>24</v>
      </c>
      <c r="C73" s="4" t="s">
        <v>41</v>
      </c>
      <c r="D73" s="4">
        <v>1</v>
      </c>
      <c r="E73" s="4">
        <v>24</v>
      </c>
      <c r="F73" s="5">
        <v>46073</v>
      </c>
      <c r="H73" s="4">
        <v>15</v>
      </c>
      <c r="I73" s="4" t="s">
        <v>29</v>
      </c>
      <c r="J73" s="4" t="s">
        <v>30</v>
      </c>
      <c r="T73" s="4">
        <v>0</v>
      </c>
    </row>
    <row r="74" spans="1:23" x14ac:dyDescent="0.3">
      <c r="A74" s="8" t="s">
        <v>23</v>
      </c>
      <c r="B74" t="s">
        <v>24</v>
      </c>
      <c r="C74" t="s">
        <v>41</v>
      </c>
      <c r="D74">
        <v>1</v>
      </c>
      <c r="E74">
        <v>24</v>
      </c>
      <c r="F74" s="9">
        <v>46073</v>
      </c>
      <c r="H74">
        <v>85</v>
      </c>
      <c r="I74" t="s">
        <v>28</v>
      </c>
      <c r="J74">
        <v>36</v>
      </c>
      <c r="K74" t="s">
        <v>28</v>
      </c>
      <c r="L74">
        <v>33</v>
      </c>
      <c r="M74" t="s">
        <v>28</v>
      </c>
      <c r="N74">
        <v>35</v>
      </c>
      <c r="O74" t="s">
        <v>28</v>
      </c>
      <c r="P74">
        <v>37</v>
      </c>
      <c r="Q74" t="s">
        <v>28</v>
      </c>
      <c r="R74">
        <v>38</v>
      </c>
      <c r="S74" t="s">
        <v>28</v>
      </c>
      <c r="T74">
        <v>38</v>
      </c>
      <c r="U74" t="s">
        <v>28</v>
      </c>
      <c r="V74" s="16">
        <v>0.48194444444444445</v>
      </c>
    </row>
    <row r="75" spans="1:23" s="12" customFormat="1" ht="15" thickBot="1" x14ac:dyDescent="0.35">
      <c r="A75" s="11" t="s">
        <v>23</v>
      </c>
      <c r="B75" s="12" t="s">
        <v>24</v>
      </c>
      <c r="C75" s="12" t="s">
        <v>41</v>
      </c>
      <c r="D75" s="12">
        <v>1</v>
      </c>
      <c r="E75" s="12">
        <v>24</v>
      </c>
      <c r="F75" s="13">
        <v>46073</v>
      </c>
      <c r="G75" s="12">
        <f>SUM(H73:H75)</f>
        <v>140</v>
      </c>
      <c r="H75" s="12">
        <v>40</v>
      </c>
      <c r="I75" s="12" t="s">
        <v>36</v>
      </c>
      <c r="J75" s="12" t="s">
        <v>30</v>
      </c>
      <c r="T75" s="12">
        <v>0</v>
      </c>
      <c r="W75" s="12" t="s">
        <v>88</v>
      </c>
    </row>
    <row r="76" spans="1:23" s="4" customFormat="1" x14ac:dyDescent="0.3">
      <c r="A76" s="3" t="s">
        <v>23</v>
      </c>
      <c r="B76" s="4" t="s">
        <v>24</v>
      </c>
      <c r="C76" s="4" t="s">
        <v>41</v>
      </c>
      <c r="D76" s="4">
        <v>1</v>
      </c>
      <c r="E76" s="4">
        <v>48</v>
      </c>
      <c r="F76" s="5">
        <v>46073</v>
      </c>
      <c r="H76" s="4">
        <v>40</v>
      </c>
      <c r="I76" s="4" t="s">
        <v>35</v>
      </c>
      <c r="J76" s="4" t="s">
        <v>30</v>
      </c>
      <c r="T76" s="4">
        <v>0</v>
      </c>
    </row>
    <row r="77" spans="1:23" x14ac:dyDescent="0.3">
      <c r="A77" s="8" t="s">
        <v>23</v>
      </c>
      <c r="B77" t="s">
        <v>24</v>
      </c>
      <c r="C77" t="s">
        <v>41</v>
      </c>
      <c r="D77">
        <v>1</v>
      </c>
      <c r="E77">
        <v>48</v>
      </c>
      <c r="F77" s="9">
        <v>46073</v>
      </c>
      <c r="H77">
        <v>10</v>
      </c>
      <c r="I77" t="s">
        <v>45</v>
      </c>
      <c r="J77" t="s">
        <v>30</v>
      </c>
      <c r="T77">
        <v>0</v>
      </c>
    </row>
    <row r="78" spans="1:23" x14ac:dyDescent="0.3">
      <c r="A78" s="8" t="s">
        <v>23</v>
      </c>
      <c r="B78" t="s">
        <v>24</v>
      </c>
      <c r="C78" t="s">
        <v>41</v>
      </c>
      <c r="D78">
        <v>1</v>
      </c>
      <c r="E78">
        <v>48</v>
      </c>
      <c r="F78" s="9">
        <v>46073</v>
      </c>
      <c r="H78">
        <v>45</v>
      </c>
      <c r="I78" t="s">
        <v>28</v>
      </c>
      <c r="J78">
        <v>36</v>
      </c>
      <c r="K78" t="s">
        <v>28</v>
      </c>
      <c r="L78">
        <v>45</v>
      </c>
      <c r="M78" t="s">
        <v>28</v>
      </c>
      <c r="N78">
        <v>42</v>
      </c>
      <c r="O78" t="s">
        <v>28</v>
      </c>
      <c r="P78">
        <v>29</v>
      </c>
      <c r="Q78" t="s">
        <v>28</v>
      </c>
      <c r="R78">
        <v>28.5</v>
      </c>
      <c r="S78" t="s">
        <v>28</v>
      </c>
      <c r="T78">
        <v>45</v>
      </c>
      <c r="U78" t="s">
        <v>28</v>
      </c>
      <c r="V78" s="16">
        <v>0.48888888888888887</v>
      </c>
      <c r="W78" t="s">
        <v>90</v>
      </c>
    </row>
    <row r="79" spans="1:23" x14ac:dyDescent="0.3">
      <c r="A79" s="8" t="s">
        <v>23</v>
      </c>
      <c r="B79" t="s">
        <v>24</v>
      </c>
      <c r="C79" t="s">
        <v>41</v>
      </c>
      <c r="D79">
        <v>1</v>
      </c>
      <c r="E79">
        <v>48</v>
      </c>
      <c r="F79" s="9">
        <v>46073</v>
      </c>
      <c r="H79">
        <v>40</v>
      </c>
      <c r="I79" t="s">
        <v>36</v>
      </c>
      <c r="J79" t="s">
        <v>30</v>
      </c>
      <c r="T79">
        <v>0</v>
      </c>
      <c r="W79" t="s">
        <v>88</v>
      </c>
    </row>
    <row r="80" spans="1:23" s="12" customFormat="1" ht="15" thickBot="1" x14ac:dyDescent="0.35">
      <c r="A80" s="11" t="s">
        <v>23</v>
      </c>
      <c r="B80" s="12" t="s">
        <v>24</v>
      </c>
      <c r="C80" s="12" t="s">
        <v>41</v>
      </c>
      <c r="D80" s="12">
        <v>1</v>
      </c>
      <c r="E80" s="12">
        <v>48</v>
      </c>
      <c r="F80" s="13">
        <v>46073</v>
      </c>
      <c r="G80" s="12">
        <f>SUM(H76:H80)</f>
        <v>145</v>
      </c>
      <c r="H80" s="12">
        <v>10</v>
      </c>
      <c r="I80" s="12" t="s">
        <v>29</v>
      </c>
      <c r="J80" s="12" t="s">
        <v>30</v>
      </c>
      <c r="T80" s="12">
        <v>0</v>
      </c>
      <c r="W80" s="12" t="s">
        <v>89</v>
      </c>
    </row>
    <row r="81" spans="1:22" s="4" customFormat="1" x14ac:dyDescent="0.3">
      <c r="A81" s="3" t="s">
        <v>23</v>
      </c>
      <c r="B81" s="4" t="s">
        <v>24</v>
      </c>
      <c r="C81" s="4" t="s">
        <v>41</v>
      </c>
      <c r="D81" s="4">
        <v>2</v>
      </c>
      <c r="E81" s="4">
        <v>0.5</v>
      </c>
      <c r="F81" s="5">
        <v>46073</v>
      </c>
      <c r="H81" s="4">
        <v>30</v>
      </c>
      <c r="I81" s="4" t="s">
        <v>46</v>
      </c>
      <c r="J81" s="4" t="s">
        <v>30</v>
      </c>
      <c r="T81" s="4">
        <v>0</v>
      </c>
    </row>
    <row r="82" spans="1:22" x14ac:dyDescent="0.3">
      <c r="A82" s="8" t="s">
        <v>23</v>
      </c>
      <c r="B82" t="s">
        <v>24</v>
      </c>
      <c r="C82" t="s">
        <v>41</v>
      </c>
      <c r="D82">
        <v>2</v>
      </c>
      <c r="E82">
        <v>0.5</v>
      </c>
      <c r="F82" s="9">
        <v>46073</v>
      </c>
      <c r="H82">
        <v>10</v>
      </c>
      <c r="I82" t="s">
        <v>28</v>
      </c>
      <c r="J82">
        <v>28</v>
      </c>
      <c r="K82" t="s">
        <v>28</v>
      </c>
      <c r="L82">
        <v>28</v>
      </c>
      <c r="M82" t="s">
        <v>28</v>
      </c>
      <c r="N82" t="s">
        <v>30</v>
      </c>
      <c r="O82" t="s">
        <v>28</v>
      </c>
      <c r="P82" t="s">
        <v>30</v>
      </c>
      <c r="Q82" t="s">
        <v>28</v>
      </c>
      <c r="R82" t="s">
        <v>30</v>
      </c>
      <c r="S82" t="s">
        <v>28</v>
      </c>
      <c r="T82">
        <v>28</v>
      </c>
      <c r="U82" t="s">
        <v>28</v>
      </c>
      <c r="V82" t="s">
        <v>47</v>
      </c>
    </row>
    <row r="83" spans="1:22" s="12" customFormat="1" ht="15" thickBot="1" x14ac:dyDescent="0.35">
      <c r="A83" s="11" t="s">
        <v>23</v>
      </c>
      <c r="B83" s="12" t="s">
        <v>24</v>
      </c>
      <c r="C83" s="12" t="s">
        <v>41</v>
      </c>
      <c r="D83" s="12">
        <v>2</v>
      </c>
      <c r="E83" s="12">
        <v>0.5</v>
      </c>
      <c r="F83" s="13">
        <v>46073</v>
      </c>
      <c r="G83" s="12">
        <f>SUM(H81:H83)</f>
        <v>55</v>
      </c>
      <c r="H83" s="12">
        <v>15</v>
      </c>
      <c r="I83" s="12" t="s">
        <v>29</v>
      </c>
      <c r="J83" s="12" t="s">
        <v>30</v>
      </c>
      <c r="T83" s="12">
        <v>0</v>
      </c>
    </row>
    <row r="84" spans="1:22" s="4" customFormat="1" x14ac:dyDescent="0.3">
      <c r="A84" s="3" t="s">
        <v>23</v>
      </c>
      <c r="B84" s="4" t="s">
        <v>24</v>
      </c>
      <c r="C84" s="4" t="s">
        <v>41</v>
      </c>
      <c r="D84" s="4">
        <v>2</v>
      </c>
      <c r="E84" s="4">
        <v>2</v>
      </c>
      <c r="F84" s="5">
        <v>46073</v>
      </c>
      <c r="H84" s="4">
        <v>50</v>
      </c>
      <c r="I84" s="4" t="s">
        <v>28</v>
      </c>
      <c r="J84" s="4">
        <f>AVERAGE(L84, N84, P84, R84)</f>
        <v>23.375</v>
      </c>
      <c r="K84" s="4" t="s">
        <v>28</v>
      </c>
      <c r="L84" s="4">
        <v>29</v>
      </c>
      <c r="N84" s="4">
        <v>25</v>
      </c>
      <c r="P84" s="4">
        <v>19</v>
      </c>
      <c r="R84" s="4">
        <v>20.5</v>
      </c>
      <c r="S84" s="4" t="s">
        <v>28</v>
      </c>
      <c r="T84" s="4">
        <v>29</v>
      </c>
    </row>
    <row r="85" spans="1:22" x14ac:dyDescent="0.3">
      <c r="A85" s="8" t="s">
        <v>23</v>
      </c>
      <c r="B85" t="s">
        <v>24</v>
      </c>
      <c r="C85" t="s">
        <v>41</v>
      </c>
      <c r="D85">
        <v>2</v>
      </c>
      <c r="E85">
        <v>2</v>
      </c>
      <c r="F85" s="9">
        <v>46073</v>
      </c>
      <c r="H85">
        <v>50</v>
      </c>
      <c r="I85" t="s">
        <v>29</v>
      </c>
      <c r="J85" t="s">
        <v>30</v>
      </c>
      <c r="T85">
        <v>0</v>
      </c>
    </row>
    <row r="86" spans="1:22" s="12" customFormat="1" ht="15" thickBot="1" x14ac:dyDescent="0.35">
      <c r="A86" s="11" t="s">
        <v>23</v>
      </c>
      <c r="B86" s="12" t="s">
        <v>24</v>
      </c>
      <c r="C86" s="12" t="s">
        <v>41</v>
      </c>
      <c r="D86" s="12">
        <v>2</v>
      </c>
      <c r="E86" s="12">
        <v>2</v>
      </c>
      <c r="F86" s="13">
        <v>46073</v>
      </c>
      <c r="G86" s="12">
        <f>SUM(H84:H86)</f>
        <v>105</v>
      </c>
      <c r="H86" s="12">
        <v>5</v>
      </c>
      <c r="I86" s="12" t="s">
        <v>48</v>
      </c>
      <c r="J86" s="12" t="s">
        <v>30</v>
      </c>
      <c r="T86" s="12">
        <v>0</v>
      </c>
      <c r="V86" s="15">
        <v>0.41249999999999998</v>
      </c>
    </row>
    <row r="87" spans="1:22" s="4" customFormat="1" x14ac:dyDescent="0.3">
      <c r="A87" s="3" t="s">
        <v>23</v>
      </c>
      <c r="B87" s="4" t="s">
        <v>24</v>
      </c>
      <c r="C87" s="4" t="s">
        <v>41</v>
      </c>
      <c r="D87" s="4">
        <v>2</v>
      </c>
      <c r="E87" s="4">
        <v>6</v>
      </c>
      <c r="F87" s="5">
        <v>46073</v>
      </c>
      <c r="H87" s="4">
        <v>90</v>
      </c>
      <c r="I87" s="4" t="s">
        <v>28</v>
      </c>
      <c r="J87" s="4">
        <v>33</v>
      </c>
      <c r="K87" s="4" t="s">
        <v>28</v>
      </c>
      <c r="L87" s="4">
        <v>32.5</v>
      </c>
      <c r="M87" s="4" t="s">
        <v>28</v>
      </c>
      <c r="N87" s="4">
        <v>31</v>
      </c>
      <c r="O87" s="4" t="s">
        <v>28</v>
      </c>
      <c r="P87" s="4">
        <v>32</v>
      </c>
      <c r="Q87" s="4" t="s">
        <v>28</v>
      </c>
      <c r="R87" s="4">
        <v>37.5</v>
      </c>
      <c r="S87" s="4" t="s">
        <v>28</v>
      </c>
      <c r="T87" s="4">
        <v>37.5</v>
      </c>
      <c r="U87" s="4" t="s">
        <v>28</v>
      </c>
      <c r="V87" s="7">
        <v>0.39930555555555558</v>
      </c>
    </row>
    <row r="88" spans="1:22" x14ac:dyDescent="0.3">
      <c r="A88" s="8" t="s">
        <v>23</v>
      </c>
      <c r="B88" t="s">
        <v>24</v>
      </c>
      <c r="C88" t="s">
        <v>41</v>
      </c>
      <c r="D88">
        <v>2</v>
      </c>
      <c r="E88">
        <v>6</v>
      </c>
      <c r="F88" s="9">
        <v>46073</v>
      </c>
      <c r="H88">
        <v>20</v>
      </c>
      <c r="I88" t="s">
        <v>49</v>
      </c>
      <c r="J88" t="s">
        <v>30</v>
      </c>
      <c r="T88">
        <v>0</v>
      </c>
    </row>
    <row r="89" spans="1:22" x14ac:dyDescent="0.3">
      <c r="A89" s="8" t="s">
        <v>23</v>
      </c>
      <c r="B89" t="s">
        <v>24</v>
      </c>
      <c r="C89" t="s">
        <v>41</v>
      </c>
      <c r="D89">
        <v>2</v>
      </c>
      <c r="E89">
        <v>6</v>
      </c>
      <c r="F89" s="9">
        <v>46073</v>
      </c>
      <c r="H89">
        <v>15</v>
      </c>
      <c r="I89" t="s">
        <v>50</v>
      </c>
      <c r="J89" t="s">
        <v>30</v>
      </c>
      <c r="T89">
        <v>0</v>
      </c>
    </row>
    <row r="90" spans="1:22" s="12" customFormat="1" ht="15" thickBot="1" x14ac:dyDescent="0.35">
      <c r="A90" s="11" t="s">
        <v>23</v>
      </c>
      <c r="B90" s="12" t="s">
        <v>24</v>
      </c>
      <c r="C90" s="12" t="s">
        <v>41</v>
      </c>
      <c r="D90" s="12">
        <v>2</v>
      </c>
      <c r="E90" s="12">
        <v>6</v>
      </c>
      <c r="F90" s="13">
        <v>46073</v>
      </c>
      <c r="G90" s="12">
        <f>SUM(H87:H90)</f>
        <v>130</v>
      </c>
      <c r="H90" s="12">
        <v>5</v>
      </c>
      <c r="I90" s="12" t="s">
        <v>29</v>
      </c>
      <c r="J90" s="12" t="s">
        <v>30</v>
      </c>
      <c r="T90" s="12">
        <v>0</v>
      </c>
    </row>
    <row r="91" spans="1:22" s="4" customFormat="1" x14ac:dyDescent="0.3">
      <c r="A91" s="3" t="s">
        <v>23</v>
      </c>
      <c r="B91" s="4" t="s">
        <v>24</v>
      </c>
      <c r="C91" s="4" t="s">
        <v>41</v>
      </c>
      <c r="D91" s="4">
        <v>2</v>
      </c>
      <c r="E91" s="4">
        <v>12</v>
      </c>
      <c r="F91" s="5">
        <v>46073</v>
      </c>
      <c r="H91" s="4">
        <v>90</v>
      </c>
      <c r="I91" s="4" t="s">
        <v>28</v>
      </c>
      <c r="J91" s="4">
        <v>39</v>
      </c>
      <c r="K91" s="4" t="s">
        <v>28</v>
      </c>
      <c r="L91" s="4">
        <v>36</v>
      </c>
      <c r="M91" s="4" t="s">
        <v>28</v>
      </c>
      <c r="N91" s="4">
        <v>33</v>
      </c>
      <c r="O91" s="4" t="s">
        <v>28</v>
      </c>
      <c r="P91" s="4">
        <v>43</v>
      </c>
      <c r="Q91" s="4" t="s">
        <v>28</v>
      </c>
      <c r="R91" s="4">
        <v>45.5</v>
      </c>
      <c r="S91" s="4" t="s">
        <v>28</v>
      </c>
      <c r="T91" s="4">
        <v>45.5</v>
      </c>
      <c r="U91" s="4" t="s">
        <v>28</v>
      </c>
      <c r="V91" s="7">
        <v>0.38958333333333334</v>
      </c>
    </row>
    <row r="92" spans="1:22" s="12" customFormat="1" ht="15" thickBot="1" x14ac:dyDescent="0.35">
      <c r="A92" s="11" t="s">
        <v>23</v>
      </c>
      <c r="B92" s="12" t="s">
        <v>24</v>
      </c>
      <c r="C92" s="12" t="s">
        <v>41</v>
      </c>
      <c r="D92" s="12">
        <v>2</v>
      </c>
      <c r="E92" s="12">
        <v>12</v>
      </c>
      <c r="F92" s="13">
        <v>46073</v>
      </c>
      <c r="G92" s="12">
        <f>SUM(H91:H92)</f>
        <v>100</v>
      </c>
      <c r="H92" s="12">
        <v>10</v>
      </c>
      <c r="I92" s="12" t="s">
        <v>29</v>
      </c>
      <c r="J92" s="12" t="s">
        <v>30</v>
      </c>
      <c r="T92" s="12">
        <v>0</v>
      </c>
    </row>
    <row r="93" spans="1:22" s="4" customFormat="1" x14ac:dyDescent="0.3">
      <c r="A93" s="3" t="s">
        <v>23</v>
      </c>
      <c r="B93" s="4" t="s">
        <v>24</v>
      </c>
      <c r="C93" s="4" t="s">
        <v>41</v>
      </c>
      <c r="D93" s="4">
        <v>2</v>
      </c>
      <c r="E93" s="4">
        <v>18</v>
      </c>
      <c r="F93" s="5">
        <v>46073</v>
      </c>
      <c r="H93" s="4">
        <v>75</v>
      </c>
      <c r="I93" s="4" t="s">
        <v>28</v>
      </c>
      <c r="J93" s="4">
        <v>37</v>
      </c>
      <c r="K93" s="4" t="s">
        <v>28</v>
      </c>
      <c r="L93" s="4">
        <v>43</v>
      </c>
      <c r="M93" s="4" t="s">
        <v>28</v>
      </c>
      <c r="N93" s="4">
        <v>37</v>
      </c>
      <c r="O93" s="4" t="s">
        <v>28</v>
      </c>
      <c r="P93" s="4">
        <v>31</v>
      </c>
      <c r="Q93" s="4" t="s">
        <v>28</v>
      </c>
      <c r="R93" s="4">
        <v>38</v>
      </c>
      <c r="S93" s="4" t="s">
        <v>28</v>
      </c>
      <c r="T93" s="4">
        <v>43</v>
      </c>
      <c r="U93" s="4" t="s">
        <v>28</v>
      </c>
      <c r="V93" s="7">
        <v>0.38194444444444442</v>
      </c>
    </row>
    <row r="94" spans="1:22" s="12" customFormat="1" ht="15" thickBot="1" x14ac:dyDescent="0.35">
      <c r="A94" s="11" t="s">
        <v>23</v>
      </c>
      <c r="B94" s="12" t="s">
        <v>24</v>
      </c>
      <c r="C94" s="12" t="s">
        <v>41</v>
      </c>
      <c r="D94" s="12">
        <v>2</v>
      </c>
      <c r="E94" s="12">
        <v>18</v>
      </c>
      <c r="F94" s="13">
        <v>46073</v>
      </c>
      <c r="G94" s="12">
        <f>SUM(H93:H94)</f>
        <v>100</v>
      </c>
      <c r="H94" s="12">
        <v>25</v>
      </c>
      <c r="I94" s="12" t="s">
        <v>29</v>
      </c>
      <c r="J94" s="12" t="s">
        <v>30</v>
      </c>
      <c r="T94" s="12">
        <v>0</v>
      </c>
    </row>
    <row r="95" spans="1:22" s="4" customFormat="1" x14ac:dyDescent="0.3">
      <c r="A95" s="3" t="s">
        <v>23</v>
      </c>
      <c r="B95" s="4" t="s">
        <v>24</v>
      </c>
      <c r="C95" s="4" t="s">
        <v>41</v>
      </c>
      <c r="D95" s="4">
        <v>2</v>
      </c>
      <c r="E95" s="4">
        <v>24</v>
      </c>
      <c r="F95" s="5">
        <v>46073</v>
      </c>
      <c r="H95" s="4">
        <v>70</v>
      </c>
      <c r="I95" s="4" t="s">
        <v>28</v>
      </c>
      <c r="J95" s="4">
        <v>41</v>
      </c>
      <c r="K95" s="4" t="s">
        <v>28</v>
      </c>
      <c r="L95" s="4">
        <v>37</v>
      </c>
      <c r="M95" s="4" t="s">
        <v>28</v>
      </c>
      <c r="N95" s="4">
        <v>38</v>
      </c>
      <c r="O95" s="4" t="s">
        <v>28</v>
      </c>
      <c r="P95" s="4">
        <v>46</v>
      </c>
      <c r="Q95" s="4" t="s">
        <v>28</v>
      </c>
      <c r="R95" s="4">
        <v>43.5</v>
      </c>
      <c r="S95" s="4" t="s">
        <v>28</v>
      </c>
      <c r="T95" s="4">
        <v>46</v>
      </c>
      <c r="U95" s="4" t="s">
        <v>28</v>
      </c>
      <c r="V95" s="7">
        <v>0.37083333333333335</v>
      </c>
    </row>
    <row r="96" spans="1:22" s="12" customFormat="1" ht="15" thickBot="1" x14ac:dyDescent="0.35">
      <c r="A96" s="11" t="s">
        <v>23</v>
      </c>
      <c r="B96" s="12" t="s">
        <v>24</v>
      </c>
      <c r="C96" s="12" t="s">
        <v>41</v>
      </c>
      <c r="D96" s="12">
        <v>2</v>
      </c>
      <c r="E96" s="12">
        <v>24</v>
      </c>
      <c r="F96" s="13">
        <v>46073</v>
      </c>
      <c r="G96" s="12">
        <f>SUM(H95:H96)</f>
        <v>105</v>
      </c>
      <c r="H96" s="12">
        <v>35</v>
      </c>
      <c r="I96" s="12" t="s">
        <v>29</v>
      </c>
      <c r="J96" s="12" t="s">
        <v>30</v>
      </c>
      <c r="T96" s="12">
        <v>0</v>
      </c>
    </row>
    <row r="97" spans="1:22" s="4" customFormat="1" x14ac:dyDescent="0.3">
      <c r="A97" s="3" t="s">
        <v>23</v>
      </c>
      <c r="B97" s="4" t="s">
        <v>24</v>
      </c>
      <c r="C97" s="4" t="s">
        <v>41</v>
      </c>
      <c r="D97" s="4">
        <v>2</v>
      </c>
      <c r="E97" s="4">
        <v>48</v>
      </c>
      <c r="F97" s="5">
        <v>46073</v>
      </c>
      <c r="H97" s="4">
        <v>90</v>
      </c>
      <c r="I97" s="4" t="s">
        <v>28</v>
      </c>
      <c r="J97" s="4">
        <v>37</v>
      </c>
      <c r="K97" s="4" t="s">
        <v>28</v>
      </c>
      <c r="L97" s="4">
        <v>26</v>
      </c>
      <c r="M97" s="4" t="s">
        <v>28</v>
      </c>
      <c r="N97" s="4">
        <v>43</v>
      </c>
      <c r="O97" s="4" t="s">
        <v>28</v>
      </c>
      <c r="P97" s="4">
        <v>39.5</v>
      </c>
      <c r="Q97" s="4" t="s">
        <v>28</v>
      </c>
      <c r="R97" s="4">
        <v>38</v>
      </c>
      <c r="S97" s="4" t="s">
        <v>28</v>
      </c>
      <c r="T97" s="4">
        <v>43</v>
      </c>
      <c r="U97" s="4" t="s">
        <v>28</v>
      </c>
      <c r="V97" s="4" t="s">
        <v>51</v>
      </c>
    </row>
    <row r="98" spans="1:22" s="12" customFormat="1" ht="15" thickBot="1" x14ac:dyDescent="0.35">
      <c r="A98" s="11" t="s">
        <v>23</v>
      </c>
      <c r="B98" s="12" t="s">
        <v>24</v>
      </c>
      <c r="C98" s="12" t="s">
        <v>41</v>
      </c>
      <c r="D98" s="12">
        <v>2</v>
      </c>
      <c r="E98" s="12">
        <v>48</v>
      </c>
      <c r="F98" s="13">
        <v>46073</v>
      </c>
      <c r="G98" s="12">
        <f>SUM(H97:H98)</f>
        <v>100</v>
      </c>
      <c r="H98" s="12">
        <v>10</v>
      </c>
      <c r="I98" s="12" t="s">
        <v>29</v>
      </c>
      <c r="J98" s="12" t="s">
        <v>30</v>
      </c>
      <c r="T98" s="12">
        <v>0</v>
      </c>
    </row>
    <row r="99" spans="1:22" s="22" customFormat="1" ht="15" thickBot="1" x14ac:dyDescent="0.35">
      <c r="A99" s="21" t="s">
        <v>23</v>
      </c>
      <c r="B99" s="22" t="s">
        <v>24</v>
      </c>
      <c r="C99" s="22" t="s">
        <v>52</v>
      </c>
      <c r="D99" s="22">
        <v>1</v>
      </c>
      <c r="E99" s="22">
        <v>0.5</v>
      </c>
      <c r="F99" s="23">
        <v>46060</v>
      </c>
      <c r="H99" s="22">
        <v>55</v>
      </c>
      <c r="I99" s="22" t="s">
        <v>31</v>
      </c>
      <c r="J99" s="22">
        <f>R99</f>
        <v>16</v>
      </c>
      <c r="K99" s="22" t="s">
        <v>31</v>
      </c>
      <c r="R99" s="22">
        <v>16</v>
      </c>
      <c r="T99" s="22">
        <v>16</v>
      </c>
      <c r="V99" s="22" t="s">
        <v>100</v>
      </c>
    </row>
    <row r="100" spans="1:22" s="25" customFormat="1" x14ac:dyDescent="0.3">
      <c r="A100" s="24" t="s">
        <v>23</v>
      </c>
      <c r="B100" s="25" t="s">
        <v>24</v>
      </c>
      <c r="C100" s="25" t="s">
        <v>52</v>
      </c>
      <c r="D100" s="25">
        <v>1</v>
      </c>
      <c r="E100" s="25">
        <v>0.5</v>
      </c>
      <c r="F100" s="26">
        <v>46060</v>
      </c>
      <c r="H100" s="25">
        <v>70</v>
      </c>
      <c r="I100" s="25" t="s">
        <v>36</v>
      </c>
      <c r="J100" s="25">
        <f>AVERAGE(L100, N100, P100)</f>
        <v>13.833333333333334</v>
      </c>
      <c r="L100" s="22">
        <v>15</v>
      </c>
      <c r="M100" s="22"/>
      <c r="N100" s="22">
        <v>13.5</v>
      </c>
      <c r="O100" s="22"/>
      <c r="P100" s="22">
        <v>13</v>
      </c>
      <c r="T100" s="25">
        <v>15</v>
      </c>
    </row>
    <row r="101" spans="1:22" s="25" customFormat="1" x14ac:dyDescent="0.3">
      <c r="A101" s="24" t="s">
        <v>23</v>
      </c>
      <c r="B101" s="25" t="s">
        <v>24</v>
      </c>
      <c r="C101" s="25" t="s">
        <v>52</v>
      </c>
      <c r="D101" s="25">
        <v>1</v>
      </c>
      <c r="E101" s="25">
        <v>0.5</v>
      </c>
      <c r="F101" s="26">
        <v>46060</v>
      </c>
      <c r="H101" s="25">
        <v>15</v>
      </c>
      <c r="I101" s="25" t="s">
        <v>28</v>
      </c>
      <c r="J101" s="25">
        <v>22</v>
      </c>
      <c r="K101" s="25" t="s">
        <v>28</v>
      </c>
      <c r="L101" s="25">
        <v>25</v>
      </c>
      <c r="M101" s="25" t="s">
        <v>28</v>
      </c>
      <c r="N101" s="25">
        <v>24</v>
      </c>
      <c r="O101" s="25" t="s">
        <v>28</v>
      </c>
      <c r="P101" s="25">
        <v>22</v>
      </c>
      <c r="Q101" s="25" t="s">
        <v>28</v>
      </c>
      <c r="R101" s="25">
        <v>15</v>
      </c>
      <c r="S101" s="25" t="s">
        <v>28</v>
      </c>
      <c r="T101" s="25">
        <v>25</v>
      </c>
      <c r="U101" s="25" t="s">
        <v>28</v>
      </c>
      <c r="V101" s="25" t="s">
        <v>53</v>
      </c>
    </row>
    <row r="102" spans="1:22" s="28" customFormat="1" ht="15" thickBot="1" x14ac:dyDescent="0.35">
      <c r="A102" s="27" t="s">
        <v>23</v>
      </c>
      <c r="B102" s="28" t="s">
        <v>24</v>
      </c>
      <c r="C102" s="28" t="s">
        <v>52</v>
      </c>
      <c r="D102" s="28">
        <v>1</v>
      </c>
      <c r="E102" s="28">
        <v>0.5</v>
      </c>
      <c r="F102" s="29">
        <v>46060</v>
      </c>
      <c r="G102" s="28">
        <f>SUM(H99:H102)</f>
        <v>150</v>
      </c>
      <c r="H102" s="28">
        <v>10</v>
      </c>
      <c r="I102" s="28" t="s">
        <v>29</v>
      </c>
      <c r="J102" s="28" t="s">
        <v>30</v>
      </c>
      <c r="T102" s="28">
        <v>0</v>
      </c>
      <c r="V102" s="28" t="s">
        <v>99</v>
      </c>
    </row>
    <row r="103" spans="1:22" s="4" customFormat="1" x14ac:dyDescent="0.3">
      <c r="A103" s="3" t="s">
        <v>23</v>
      </c>
      <c r="B103" s="4" t="s">
        <v>24</v>
      </c>
      <c r="C103" s="4" t="s">
        <v>52</v>
      </c>
      <c r="D103" s="4">
        <v>1</v>
      </c>
      <c r="E103" s="4">
        <v>2</v>
      </c>
      <c r="F103" s="5">
        <v>46060</v>
      </c>
      <c r="H103" s="4">
        <v>40</v>
      </c>
      <c r="I103" s="4" t="s">
        <v>31</v>
      </c>
      <c r="J103" s="4">
        <v>21</v>
      </c>
      <c r="L103" s="4">
        <v>16</v>
      </c>
      <c r="N103" s="4">
        <v>24</v>
      </c>
      <c r="P103" s="4">
        <v>22</v>
      </c>
      <c r="T103" s="4">
        <v>24</v>
      </c>
      <c r="V103" s="4" t="s">
        <v>101</v>
      </c>
    </row>
    <row r="104" spans="1:22" x14ac:dyDescent="0.3">
      <c r="A104" s="8" t="s">
        <v>23</v>
      </c>
      <c r="B104" t="s">
        <v>24</v>
      </c>
      <c r="C104" t="s">
        <v>52</v>
      </c>
      <c r="D104">
        <v>1</v>
      </c>
      <c r="E104">
        <v>2</v>
      </c>
      <c r="F104" s="9">
        <v>46060</v>
      </c>
      <c r="H104">
        <v>10</v>
      </c>
      <c r="I104" t="s">
        <v>28</v>
      </c>
      <c r="J104" t="s">
        <v>30</v>
      </c>
      <c r="K104">
        <v>35</v>
      </c>
      <c r="T104">
        <v>35</v>
      </c>
      <c r="V104" s="25" t="s">
        <v>102</v>
      </c>
    </row>
    <row r="105" spans="1:22" x14ac:dyDescent="0.3">
      <c r="A105" s="8" t="s">
        <v>23</v>
      </c>
      <c r="B105" t="s">
        <v>24</v>
      </c>
      <c r="C105" t="s">
        <v>52</v>
      </c>
      <c r="D105">
        <v>1</v>
      </c>
      <c r="E105">
        <v>2</v>
      </c>
      <c r="F105" s="9">
        <v>46060</v>
      </c>
      <c r="H105">
        <v>70</v>
      </c>
      <c r="I105" t="s">
        <v>36</v>
      </c>
      <c r="J105">
        <v>15</v>
      </c>
      <c r="K105" t="s">
        <v>36</v>
      </c>
      <c r="L105">
        <v>17</v>
      </c>
      <c r="N105">
        <v>12</v>
      </c>
      <c r="P105">
        <v>17.5</v>
      </c>
      <c r="R105">
        <v>14</v>
      </c>
      <c r="T105">
        <v>17.5</v>
      </c>
      <c r="V105" t="s">
        <v>54</v>
      </c>
    </row>
    <row r="106" spans="1:22" s="12" customFormat="1" ht="15" thickBot="1" x14ac:dyDescent="0.35">
      <c r="A106" s="11" t="s">
        <v>23</v>
      </c>
      <c r="B106" s="12" t="s">
        <v>24</v>
      </c>
      <c r="C106" s="12" t="s">
        <v>52</v>
      </c>
      <c r="D106" s="12">
        <v>1</v>
      </c>
      <c r="E106" s="12">
        <v>2</v>
      </c>
      <c r="F106" s="13">
        <v>46060</v>
      </c>
      <c r="G106" s="12">
        <f>SUM(H103:H106)</f>
        <v>125</v>
      </c>
      <c r="H106" s="12">
        <v>5</v>
      </c>
      <c r="I106" s="12" t="s">
        <v>29</v>
      </c>
      <c r="J106" s="12" t="s">
        <v>30</v>
      </c>
      <c r="T106" s="12">
        <v>0</v>
      </c>
      <c r="V106" s="12" t="s">
        <v>79</v>
      </c>
    </row>
    <row r="107" spans="1:22" s="4" customFormat="1" x14ac:dyDescent="0.3">
      <c r="A107" s="3" t="s">
        <v>23</v>
      </c>
      <c r="B107" s="4" t="s">
        <v>24</v>
      </c>
      <c r="C107" s="4" t="s">
        <v>52</v>
      </c>
      <c r="D107" s="4">
        <v>1</v>
      </c>
      <c r="E107" s="4">
        <v>6</v>
      </c>
      <c r="F107" s="5">
        <v>46060</v>
      </c>
      <c r="H107" s="4">
        <v>90</v>
      </c>
      <c r="I107" s="4" t="s">
        <v>31</v>
      </c>
      <c r="J107" s="4">
        <v>25</v>
      </c>
      <c r="K107" s="4" t="s">
        <v>31</v>
      </c>
      <c r="L107" s="4">
        <v>31</v>
      </c>
      <c r="N107" s="4">
        <v>22</v>
      </c>
      <c r="P107" s="4">
        <v>22</v>
      </c>
      <c r="R107" s="4">
        <v>23</v>
      </c>
      <c r="T107" s="4">
        <v>31</v>
      </c>
    </row>
    <row r="108" spans="1:22" x14ac:dyDescent="0.3">
      <c r="A108" s="8" t="s">
        <v>23</v>
      </c>
      <c r="B108" t="s">
        <v>24</v>
      </c>
      <c r="C108" t="s">
        <v>52</v>
      </c>
      <c r="D108">
        <v>1</v>
      </c>
      <c r="E108">
        <v>6</v>
      </c>
      <c r="F108" s="9">
        <v>46060</v>
      </c>
      <c r="H108">
        <v>10</v>
      </c>
      <c r="I108" t="s">
        <v>29</v>
      </c>
      <c r="J108" t="s">
        <v>30</v>
      </c>
      <c r="T108">
        <v>0</v>
      </c>
    </row>
    <row r="109" spans="1:22" x14ac:dyDescent="0.3">
      <c r="A109" s="8" t="s">
        <v>23</v>
      </c>
      <c r="B109" t="s">
        <v>24</v>
      </c>
      <c r="C109" t="s">
        <v>52</v>
      </c>
      <c r="D109">
        <v>1</v>
      </c>
      <c r="E109">
        <v>6</v>
      </c>
      <c r="F109" s="9">
        <v>46060</v>
      </c>
      <c r="H109">
        <v>15</v>
      </c>
      <c r="I109" t="s">
        <v>28</v>
      </c>
      <c r="J109">
        <v>31</v>
      </c>
      <c r="K109" t="s">
        <v>28</v>
      </c>
      <c r="M109" t="s">
        <v>28</v>
      </c>
      <c r="O109" t="s">
        <v>28</v>
      </c>
      <c r="P109">
        <v>30.5</v>
      </c>
      <c r="Q109" t="s">
        <v>28</v>
      </c>
      <c r="S109" t="s">
        <v>28</v>
      </c>
      <c r="T109">
        <v>30.5</v>
      </c>
      <c r="U109" t="s">
        <v>28</v>
      </c>
      <c r="V109" t="s">
        <v>55</v>
      </c>
    </row>
    <row r="110" spans="1:22" s="12" customFormat="1" ht="15" thickBot="1" x14ac:dyDescent="0.35">
      <c r="A110" s="11" t="s">
        <v>23</v>
      </c>
      <c r="B110" s="12" t="s">
        <v>24</v>
      </c>
      <c r="C110" s="12" t="s">
        <v>52</v>
      </c>
      <c r="D110" s="12">
        <v>1</v>
      </c>
      <c r="E110" s="12">
        <v>6</v>
      </c>
      <c r="F110" s="13">
        <v>46060</v>
      </c>
      <c r="G110" s="12">
        <f>SUM(H107:H110)</f>
        <v>120</v>
      </c>
      <c r="H110" s="12">
        <v>5</v>
      </c>
      <c r="I110" s="12" t="s">
        <v>36</v>
      </c>
      <c r="J110" s="12" t="s">
        <v>30</v>
      </c>
      <c r="T110" s="12">
        <v>0</v>
      </c>
      <c r="V110" s="12" t="s">
        <v>103</v>
      </c>
    </row>
    <row r="111" spans="1:22" s="4" customFormat="1" x14ac:dyDescent="0.3">
      <c r="A111" s="3" t="s">
        <v>23</v>
      </c>
      <c r="B111" s="4" t="s">
        <v>24</v>
      </c>
      <c r="C111" s="4" t="s">
        <v>52</v>
      </c>
      <c r="D111" s="4">
        <v>1</v>
      </c>
      <c r="E111" s="4">
        <v>12</v>
      </c>
      <c r="F111" s="5">
        <v>46060</v>
      </c>
      <c r="H111" s="4">
        <v>50</v>
      </c>
      <c r="I111" s="4" t="s">
        <v>28</v>
      </c>
      <c r="J111" s="4">
        <v>53</v>
      </c>
      <c r="K111" s="4" t="s">
        <v>28</v>
      </c>
      <c r="L111" s="4">
        <v>49</v>
      </c>
      <c r="M111" s="4" t="s">
        <v>28</v>
      </c>
      <c r="N111" s="4">
        <v>62</v>
      </c>
      <c r="O111" s="4" t="s">
        <v>28</v>
      </c>
      <c r="P111" s="4">
        <v>52</v>
      </c>
      <c r="Q111" s="4" t="s">
        <v>28</v>
      </c>
      <c r="R111" s="4">
        <v>48.5</v>
      </c>
      <c r="S111" s="4" t="s">
        <v>28</v>
      </c>
      <c r="T111" s="4">
        <v>62</v>
      </c>
      <c r="U111" s="4" t="s">
        <v>28</v>
      </c>
      <c r="V111" s="7">
        <v>0.43333333333333335</v>
      </c>
    </row>
    <row r="112" spans="1:22" x14ac:dyDescent="0.3">
      <c r="A112" s="8" t="s">
        <v>23</v>
      </c>
      <c r="B112" t="s">
        <v>24</v>
      </c>
      <c r="C112" t="s">
        <v>52</v>
      </c>
      <c r="D112">
        <v>1</v>
      </c>
      <c r="E112">
        <v>12</v>
      </c>
      <c r="F112" s="9">
        <v>46060</v>
      </c>
      <c r="H112">
        <v>15</v>
      </c>
      <c r="I112" t="s">
        <v>56</v>
      </c>
      <c r="J112">
        <v>81</v>
      </c>
      <c r="K112" t="s">
        <v>26</v>
      </c>
      <c r="L112">
        <v>59.5</v>
      </c>
      <c r="N112">
        <v>98</v>
      </c>
      <c r="P112">
        <v>85</v>
      </c>
      <c r="R112" t="s">
        <v>30</v>
      </c>
      <c r="T112">
        <v>98</v>
      </c>
    </row>
    <row r="113" spans="1:23" x14ac:dyDescent="0.3">
      <c r="A113" s="8" t="s">
        <v>23</v>
      </c>
      <c r="B113" t="s">
        <v>24</v>
      </c>
      <c r="C113" t="s">
        <v>52</v>
      </c>
      <c r="D113">
        <v>1</v>
      </c>
      <c r="E113">
        <v>12</v>
      </c>
      <c r="F113" s="9">
        <v>46060</v>
      </c>
      <c r="H113">
        <v>5</v>
      </c>
      <c r="I113" t="s">
        <v>50</v>
      </c>
      <c r="J113" t="s">
        <v>30</v>
      </c>
      <c r="T113">
        <v>0</v>
      </c>
      <c r="V113" t="s">
        <v>104</v>
      </c>
    </row>
    <row r="114" spans="1:23" s="12" customFormat="1" ht="15" thickBot="1" x14ac:dyDescent="0.35">
      <c r="A114" s="11" t="s">
        <v>23</v>
      </c>
      <c r="B114" s="12" t="s">
        <v>24</v>
      </c>
      <c r="C114" s="12" t="s">
        <v>52</v>
      </c>
      <c r="D114" s="12">
        <v>1</v>
      </c>
      <c r="E114" s="12">
        <v>12</v>
      </c>
      <c r="F114" s="13">
        <v>46060</v>
      </c>
      <c r="G114" s="12">
        <f>SUM(H111:H114)</f>
        <v>120</v>
      </c>
      <c r="H114" s="12">
        <v>50</v>
      </c>
      <c r="I114" s="12" t="s">
        <v>29</v>
      </c>
      <c r="J114" s="12" t="s">
        <v>30</v>
      </c>
      <c r="T114" s="12">
        <v>0</v>
      </c>
    </row>
    <row r="115" spans="1:23" s="4" customFormat="1" x14ac:dyDescent="0.3">
      <c r="A115" s="3" t="s">
        <v>23</v>
      </c>
      <c r="B115" s="4" t="s">
        <v>24</v>
      </c>
      <c r="C115" s="4" t="s">
        <v>52</v>
      </c>
      <c r="D115" s="4">
        <v>1</v>
      </c>
      <c r="E115" s="4">
        <v>18</v>
      </c>
      <c r="F115" s="5">
        <v>46060</v>
      </c>
      <c r="H115" s="4">
        <v>65</v>
      </c>
      <c r="I115" s="4" t="s">
        <v>28</v>
      </c>
      <c r="J115" s="4">
        <v>46</v>
      </c>
      <c r="K115" s="4" t="s">
        <v>28</v>
      </c>
      <c r="L115" s="4">
        <v>48</v>
      </c>
      <c r="M115" s="4" t="s">
        <v>28</v>
      </c>
      <c r="N115" s="4">
        <v>43</v>
      </c>
      <c r="O115" s="4" t="s">
        <v>28</v>
      </c>
      <c r="P115" s="4">
        <v>45</v>
      </c>
      <c r="Q115" s="4" t="s">
        <v>28</v>
      </c>
      <c r="R115" s="4">
        <v>47</v>
      </c>
      <c r="S115" s="4" t="s">
        <v>28</v>
      </c>
      <c r="T115" s="4">
        <v>48</v>
      </c>
      <c r="U115" s="4" t="s">
        <v>28</v>
      </c>
      <c r="V115" s="4" t="s">
        <v>57</v>
      </c>
    </row>
    <row r="116" spans="1:23" x14ac:dyDescent="0.3">
      <c r="A116" s="8" t="s">
        <v>23</v>
      </c>
      <c r="B116" t="s">
        <v>24</v>
      </c>
      <c r="C116" t="s">
        <v>52</v>
      </c>
      <c r="D116">
        <v>1</v>
      </c>
      <c r="E116">
        <v>18</v>
      </c>
      <c r="F116" s="9">
        <v>46060</v>
      </c>
      <c r="H116">
        <v>10</v>
      </c>
      <c r="I116" t="s">
        <v>31</v>
      </c>
      <c r="J116" t="s">
        <v>30</v>
      </c>
      <c r="T116">
        <v>0</v>
      </c>
    </row>
    <row r="117" spans="1:23" x14ac:dyDescent="0.3">
      <c r="A117" s="8" t="s">
        <v>23</v>
      </c>
      <c r="B117" t="s">
        <v>24</v>
      </c>
      <c r="C117" t="s">
        <v>52</v>
      </c>
      <c r="D117">
        <v>1</v>
      </c>
      <c r="E117">
        <v>18</v>
      </c>
      <c r="F117" s="9">
        <v>46060</v>
      </c>
      <c r="H117">
        <v>30</v>
      </c>
      <c r="I117" t="s">
        <v>26</v>
      </c>
      <c r="J117">
        <v>73</v>
      </c>
      <c r="K117" t="s">
        <v>26</v>
      </c>
      <c r="L117">
        <v>81</v>
      </c>
      <c r="N117">
        <v>78</v>
      </c>
      <c r="P117">
        <v>61.5</v>
      </c>
      <c r="R117">
        <v>71.5</v>
      </c>
      <c r="T117">
        <v>81</v>
      </c>
    </row>
    <row r="118" spans="1:23" s="12" customFormat="1" ht="15" thickBot="1" x14ac:dyDescent="0.35">
      <c r="A118" s="11" t="s">
        <v>23</v>
      </c>
      <c r="B118" s="12" t="s">
        <v>24</v>
      </c>
      <c r="C118" s="12" t="s">
        <v>52</v>
      </c>
      <c r="D118" s="12">
        <v>1</v>
      </c>
      <c r="E118" s="12">
        <v>18</v>
      </c>
      <c r="F118" s="13">
        <v>46060</v>
      </c>
      <c r="G118" s="12">
        <f>SUM(H115:H118)</f>
        <v>170</v>
      </c>
      <c r="H118" s="12">
        <v>65</v>
      </c>
      <c r="I118" s="12" t="s">
        <v>29</v>
      </c>
      <c r="J118" s="12" t="s">
        <v>30</v>
      </c>
      <c r="T118" s="12">
        <v>0</v>
      </c>
    </row>
    <row r="119" spans="1:23" s="4" customFormat="1" x14ac:dyDescent="0.3">
      <c r="A119" s="3" t="s">
        <v>23</v>
      </c>
      <c r="B119" s="4" t="s">
        <v>24</v>
      </c>
      <c r="C119" s="4" t="s">
        <v>52</v>
      </c>
      <c r="D119" s="4">
        <v>1</v>
      </c>
      <c r="E119" s="4">
        <v>24</v>
      </c>
      <c r="F119" s="5">
        <v>46060</v>
      </c>
      <c r="H119" s="4">
        <v>70</v>
      </c>
      <c r="I119" s="4" t="s">
        <v>28</v>
      </c>
      <c r="J119" s="4">
        <v>46</v>
      </c>
      <c r="K119" s="4" t="s">
        <v>28</v>
      </c>
      <c r="L119" s="4">
        <v>41</v>
      </c>
      <c r="M119" s="4" t="s">
        <v>28</v>
      </c>
      <c r="N119" s="4">
        <v>45</v>
      </c>
      <c r="O119" s="4" t="s">
        <v>28</v>
      </c>
      <c r="P119" s="4">
        <v>41.5</v>
      </c>
      <c r="Q119" s="4" t="s">
        <v>28</v>
      </c>
      <c r="R119" s="4">
        <v>56</v>
      </c>
      <c r="S119" s="4" t="s">
        <v>28</v>
      </c>
      <c r="T119" s="4">
        <v>56</v>
      </c>
      <c r="U119" s="4" t="s">
        <v>28</v>
      </c>
      <c r="V119" s="7">
        <v>0.40763888888888888</v>
      </c>
      <c r="W119" s="4" t="s">
        <v>106</v>
      </c>
    </row>
    <row r="120" spans="1:23" x14ac:dyDescent="0.3">
      <c r="A120" s="8" t="s">
        <v>23</v>
      </c>
      <c r="B120" t="s">
        <v>24</v>
      </c>
      <c r="C120" t="s">
        <v>52</v>
      </c>
      <c r="D120">
        <v>1</v>
      </c>
      <c r="E120">
        <v>24</v>
      </c>
      <c r="F120" s="9">
        <v>46060</v>
      </c>
      <c r="H120">
        <v>35</v>
      </c>
      <c r="I120" t="s">
        <v>36</v>
      </c>
      <c r="J120" t="s">
        <v>30</v>
      </c>
      <c r="T120">
        <v>0</v>
      </c>
    </row>
    <row r="121" spans="1:23" x14ac:dyDescent="0.3">
      <c r="A121" s="8" t="s">
        <v>23</v>
      </c>
      <c r="B121" t="s">
        <v>24</v>
      </c>
      <c r="C121" t="s">
        <v>52</v>
      </c>
      <c r="D121">
        <v>1</v>
      </c>
      <c r="E121">
        <v>24</v>
      </c>
      <c r="F121" s="9">
        <v>46060</v>
      </c>
      <c r="H121">
        <v>30</v>
      </c>
      <c r="I121" t="s">
        <v>26</v>
      </c>
      <c r="J121">
        <v>68</v>
      </c>
      <c r="K121" t="s">
        <v>26</v>
      </c>
      <c r="L121">
        <v>74</v>
      </c>
      <c r="N121">
        <v>60</v>
      </c>
      <c r="P121">
        <v>70</v>
      </c>
      <c r="R121">
        <v>66</v>
      </c>
      <c r="T121">
        <v>74</v>
      </c>
      <c r="V121" t="s">
        <v>105</v>
      </c>
    </row>
    <row r="122" spans="1:23" x14ac:dyDescent="0.3">
      <c r="A122" s="8" t="s">
        <v>23</v>
      </c>
      <c r="B122" t="s">
        <v>24</v>
      </c>
      <c r="C122" t="s">
        <v>52</v>
      </c>
      <c r="D122">
        <v>1</v>
      </c>
      <c r="E122">
        <v>24</v>
      </c>
      <c r="F122" s="9">
        <v>46060</v>
      </c>
      <c r="H122">
        <v>25</v>
      </c>
      <c r="I122" t="s">
        <v>29</v>
      </c>
      <c r="J122" t="s">
        <v>30</v>
      </c>
      <c r="T122">
        <v>0</v>
      </c>
    </row>
    <row r="123" spans="1:23" s="12" customFormat="1" ht="15" thickBot="1" x14ac:dyDescent="0.35">
      <c r="A123" s="11" t="s">
        <v>23</v>
      </c>
      <c r="B123" s="12" t="s">
        <v>24</v>
      </c>
      <c r="C123" s="12" t="s">
        <v>52</v>
      </c>
      <c r="D123" s="12">
        <v>1</v>
      </c>
      <c r="E123" s="12">
        <v>24</v>
      </c>
      <c r="F123" s="13">
        <v>46060</v>
      </c>
      <c r="G123" s="12">
        <f>SUM(H119:H123)</f>
        <v>195</v>
      </c>
      <c r="H123" s="12">
        <v>35</v>
      </c>
      <c r="I123" s="12" t="s">
        <v>50</v>
      </c>
      <c r="J123" s="12" t="s">
        <v>30</v>
      </c>
      <c r="T123" s="12">
        <v>0</v>
      </c>
    </row>
    <row r="124" spans="1:23" s="4" customFormat="1" x14ac:dyDescent="0.3">
      <c r="A124" s="3" t="s">
        <v>23</v>
      </c>
      <c r="B124" s="4" t="s">
        <v>24</v>
      </c>
      <c r="C124" s="4" t="s">
        <v>52</v>
      </c>
      <c r="D124" s="4">
        <v>1</v>
      </c>
      <c r="E124" s="4">
        <v>48</v>
      </c>
      <c r="F124" s="5">
        <v>46060</v>
      </c>
      <c r="H124" s="4">
        <v>15</v>
      </c>
      <c r="I124" s="4" t="s">
        <v>29</v>
      </c>
      <c r="J124" s="4" t="s">
        <v>30</v>
      </c>
      <c r="T124" s="4">
        <v>0</v>
      </c>
    </row>
    <row r="125" spans="1:23" x14ac:dyDescent="0.3">
      <c r="A125" s="8" t="s">
        <v>23</v>
      </c>
      <c r="B125" t="s">
        <v>24</v>
      </c>
      <c r="C125" t="s">
        <v>52</v>
      </c>
      <c r="D125">
        <v>1</v>
      </c>
      <c r="E125">
        <v>48</v>
      </c>
      <c r="F125" s="9">
        <v>46060</v>
      </c>
      <c r="H125">
        <v>75</v>
      </c>
      <c r="I125" t="s">
        <v>31</v>
      </c>
      <c r="J125">
        <v>34</v>
      </c>
      <c r="K125" t="s">
        <v>31</v>
      </c>
      <c r="L125">
        <v>33</v>
      </c>
      <c r="N125">
        <v>39</v>
      </c>
      <c r="P125">
        <v>33.5</v>
      </c>
      <c r="R125">
        <v>32</v>
      </c>
      <c r="T125">
        <v>39</v>
      </c>
      <c r="V125" s="16">
        <v>0.39583333333333331</v>
      </c>
    </row>
    <row r="126" spans="1:23" s="12" customFormat="1" ht="15" thickBot="1" x14ac:dyDescent="0.35">
      <c r="A126" s="11" t="s">
        <v>23</v>
      </c>
      <c r="B126" s="12" t="s">
        <v>24</v>
      </c>
      <c r="C126" s="12" t="s">
        <v>52</v>
      </c>
      <c r="D126" s="12">
        <v>1</v>
      </c>
      <c r="E126" s="12">
        <v>48</v>
      </c>
      <c r="F126" s="13">
        <v>46060</v>
      </c>
      <c r="G126" s="12">
        <v>105</v>
      </c>
      <c r="H126" s="12">
        <v>15</v>
      </c>
      <c r="I126" s="12" t="s">
        <v>28</v>
      </c>
      <c r="J126" s="12" t="s">
        <v>30</v>
      </c>
      <c r="T126" s="12">
        <v>0</v>
      </c>
      <c r="W126" s="12" t="s">
        <v>107</v>
      </c>
    </row>
    <row r="127" spans="1:23" s="4" customFormat="1" x14ac:dyDescent="0.3">
      <c r="A127" s="3" t="s">
        <v>23</v>
      </c>
      <c r="B127" s="4" t="s">
        <v>24</v>
      </c>
      <c r="C127" s="4" t="s">
        <v>52</v>
      </c>
      <c r="D127" s="4">
        <v>2</v>
      </c>
      <c r="E127" s="4">
        <v>0.5</v>
      </c>
      <c r="F127" s="5">
        <v>46060</v>
      </c>
      <c r="H127" s="4">
        <v>55</v>
      </c>
      <c r="I127" s="4" t="s">
        <v>28</v>
      </c>
      <c r="J127" s="4">
        <v>35</v>
      </c>
      <c r="K127" s="4" t="s">
        <v>28</v>
      </c>
      <c r="L127" s="4">
        <v>37.5</v>
      </c>
      <c r="M127" s="4" t="s">
        <v>28</v>
      </c>
      <c r="N127" s="4">
        <v>39</v>
      </c>
      <c r="O127" s="4" t="s">
        <v>28</v>
      </c>
      <c r="P127" s="4">
        <v>25.5</v>
      </c>
      <c r="Q127" s="4" t="s">
        <v>28</v>
      </c>
      <c r="R127" s="4">
        <v>37</v>
      </c>
      <c r="S127" s="4" t="s">
        <v>28</v>
      </c>
      <c r="T127" s="4">
        <v>39</v>
      </c>
      <c r="U127" s="4" t="s">
        <v>28</v>
      </c>
      <c r="V127" s="7">
        <v>0.48680555555555555</v>
      </c>
    </row>
    <row r="128" spans="1:23" x14ac:dyDescent="0.3">
      <c r="A128" s="8" t="s">
        <v>23</v>
      </c>
      <c r="B128" t="s">
        <v>24</v>
      </c>
      <c r="C128" t="s">
        <v>52</v>
      </c>
      <c r="D128">
        <v>2</v>
      </c>
      <c r="E128">
        <v>0.5</v>
      </c>
      <c r="F128" s="9">
        <v>46060</v>
      </c>
      <c r="H128">
        <v>50</v>
      </c>
      <c r="I128" t="s">
        <v>36</v>
      </c>
      <c r="J128" t="s">
        <v>30</v>
      </c>
      <c r="T128">
        <v>0</v>
      </c>
      <c r="W128" t="s">
        <v>108</v>
      </c>
    </row>
    <row r="129" spans="1:23" x14ac:dyDescent="0.3">
      <c r="A129" s="8" t="s">
        <v>23</v>
      </c>
      <c r="B129" t="s">
        <v>24</v>
      </c>
      <c r="C129" t="s">
        <v>52</v>
      </c>
      <c r="D129">
        <v>2</v>
      </c>
      <c r="E129">
        <v>0.5</v>
      </c>
      <c r="F129" s="9">
        <v>46060</v>
      </c>
      <c r="H129">
        <v>35</v>
      </c>
      <c r="I129" t="s">
        <v>31</v>
      </c>
      <c r="J129" t="s">
        <v>30</v>
      </c>
      <c r="T129">
        <v>0</v>
      </c>
    </row>
    <row r="130" spans="1:23" s="12" customFormat="1" ht="15" thickBot="1" x14ac:dyDescent="0.35">
      <c r="A130" s="11" t="s">
        <v>23</v>
      </c>
      <c r="B130" s="12" t="s">
        <v>24</v>
      </c>
      <c r="C130" s="12" t="s">
        <v>52</v>
      </c>
      <c r="D130" s="12">
        <v>2</v>
      </c>
      <c r="E130" s="12">
        <v>0.5</v>
      </c>
      <c r="F130" s="13">
        <v>46060</v>
      </c>
      <c r="G130" s="12">
        <v>165</v>
      </c>
      <c r="H130" s="12">
        <v>25</v>
      </c>
      <c r="I130" s="12" t="s">
        <v>29</v>
      </c>
      <c r="J130" s="12" t="s">
        <v>30</v>
      </c>
      <c r="T130" s="12">
        <v>0</v>
      </c>
    </row>
    <row r="131" spans="1:23" s="4" customFormat="1" x14ac:dyDescent="0.3">
      <c r="A131" s="3" t="s">
        <v>23</v>
      </c>
      <c r="B131" s="4" t="s">
        <v>24</v>
      </c>
      <c r="C131" s="4" t="s">
        <v>52</v>
      </c>
      <c r="D131" s="4">
        <v>2</v>
      </c>
      <c r="E131" s="4">
        <v>2</v>
      </c>
      <c r="F131" s="5">
        <v>46060</v>
      </c>
      <c r="H131" s="4">
        <v>30</v>
      </c>
      <c r="I131" s="4" t="s">
        <v>28</v>
      </c>
      <c r="J131" s="4">
        <v>32</v>
      </c>
      <c r="K131" s="4" t="s">
        <v>28</v>
      </c>
      <c r="L131" s="4">
        <v>31.5</v>
      </c>
      <c r="M131" s="4" t="s">
        <v>28</v>
      </c>
      <c r="N131" s="4" t="s">
        <v>30</v>
      </c>
      <c r="O131" s="4" t="s">
        <v>28</v>
      </c>
      <c r="P131" s="4" t="s">
        <v>30</v>
      </c>
      <c r="Q131" s="4" t="s">
        <v>28</v>
      </c>
      <c r="R131" s="4" t="s">
        <v>30</v>
      </c>
      <c r="S131" s="4" t="s">
        <v>28</v>
      </c>
      <c r="T131" s="4">
        <v>31.5</v>
      </c>
      <c r="U131" s="4" t="s">
        <v>28</v>
      </c>
      <c r="V131" s="4" t="s">
        <v>58</v>
      </c>
    </row>
    <row r="132" spans="1:23" x14ac:dyDescent="0.3">
      <c r="A132" s="8" t="s">
        <v>23</v>
      </c>
      <c r="B132" t="s">
        <v>24</v>
      </c>
      <c r="C132" t="s">
        <v>52</v>
      </c>
      <c r="D132">
        <v>2</v>
      </c>
      <c r="E132">
        <v>2</v>
      </c>
      <c r="F132" s="9">
        <v>46060</v>
      </c>
      <c r="H132">
        <v>60</v>
      </c>
      <c r="I132" t="s">
        <v>36</v>
      </c>
      <c r="J132">
        <v>13</v>
      </c>
      <c r="K132" t="s">
        <v>36</v>
      </c>
      <c r="L132">
        <v>15</v>
      </c>
      <c r="N132">
        <v>12</v>
      </c>
      <c r="P132">
        <v>13</v>
      </c>
      <c r="R132">
        <v>11</v>
      </c>
      <c r="T132">
        <v>15</v>
      </c>
    </row>
    <row r="133" spans="1:23" x14ac:dyDescent="0.3">
      <c r="A133" s="8" t="s">
        <v>23</v>
      </c>
      <c r="B133" t="s">
        <v>24</v>
      </c>
      <c r="C133" t="s">
        <v>52</v>
      </c>
      <c r="D133">
        <v>2</v>
      </c>
      <c r="E133">
        <v>2</v>
      </c>
      <c r="F133" s="9">
        <v>46060</v>
      </c>
      <c r="H133">
        <v>40</v>
      </c>
      <c r="I133" t="s">
        <v>31</v>
      </c>
      <c r="J133">
        <v>21</v>
      </c>
      <c r="K133" t="s">
        <v>31</v>
      </c>
      <c r="L133" t="s">
        <v>30</v>
      </c>
      <c r="N133">
        <v>20</v>
      </c>
      <c r="P133">
        <v>28</v>
      </c>
      <c r="R133">
        <v>16</v>
      </c>
      <c r="T133">
        <v>28</v>
      </c>
    </row>
    <row r="134" spans="1:23" s="12" customFormat="1" ht="15" thickBot="1" x14ac:dyDescent="0.35">
      <c r="A134" s="11" t="s">
        <v>23</v>
      </c>
      <c r="B134" s="12" t="s">
        <v>24</v>
      </c>
      <c r="C134" s="12" t="s">
        <v>52</v>
      </c>
      <c r="D134" s="12">
        <v>2</v>
      </c>
      <c r="E134" s="12">
        <v>2</v>
      </c>
      <c r="F134" s="13">
        <v>46060</v>
      </c>
      <c r="G134" s="12">
        <v>140</v>
      </c>
      <c r="H134" s="12">
        <v>10</v>
      </c>
      <c r="I134" s="12" t="s">
        <v>29</v>
      </c>
      <c r="J134" s="12" t="s">
        <v>30</v>
      </c>
      <c r="T134" s="12">
        <v>0</v>
      </c>
    </row>
    <row r="135" spans="1:23" s="4" customFormat="1" x14ac:dyDescent="0.3">
      <c r="A135" s="3" t="s">
        <v>23</v>
      </c>
      <c r="B135" s="4" t="s">
        <v>24</v>
      </c>
      <c r="C135" s="4" t="s">
        <v>52</v>
      </c>
      <c r="D135" s="4">
        <v>2</v>
      </c>
      <c r="E135" s="4">
        <v>6</v>
      </c>
      <c r="F135" s="5">
        <v>46060</v>
      </c>
      <c r="H135" s="4">
        <v>45</v>
      </c>
      <c r="I135" s="4" t="s">
        <v>28</v>
      </c>
      <c r="J135" s="4">
        <v>48</v>
      </c>
      <c r="K135" s="4" t="s">
        <v>28</v>
      </c>
      <c r="L135" s="4">
        <v>38</v>
      </c>
      <c r="M135" s="4" t="s">
        <v>28</v>
      </c>
      <c r="N135" s="4">
        <v>47</v>
      </c>
      <c r="O135" s="4" t="s">
        <v>28</v>
      </c>
      <c r="P135" s="4">
        <v>57</v>
      </c>
      <c r="Q135" s="4" t="s">
        <v>28</v>
      </c>
      <c r="R135" s="4">
        <v>51</v>
      </c>
      <c r="S135" s="4" t="s">
        <v>28</v>
      </c>
      <c r="T135" s="4">
        <v>57</v>
      </c>
      <c r="U135" s="4" t="s">
        <v>28</v>
      </c>
      <c r="V135" s="7">
        <v>0.50277777777777777</v>
      </c>
    </row>
    <row r="136" spans="1:23" x14ac:dyDescent="0.3">
      <c r="A136" s="8" t="s">
        <v>23</v>
      </c>
      <c r="B136" t="s">
        <v>24</v>
      </c>
      <c r="C136" t="s">
        <v>52</v>
      </c>
      <c r="D136">
        <v>2</v>
      </c>
      <c r="E136">
        <v>6</v>
      </c>
      <c r="F136" s="9">
        <v>46060</v>
      </c>
      <c r="H136">
        <v>30</v>
      </c>
      <c r="I136" t="s">
        <v>36</v>
      </c>
      <c r="J136" t="s">
        <v>30</v>
      </c>
      <c r="T136">
        <v>0</v>
      </c>
      <c r="V136" t="s">
        <v>76</v>
      </c>
    </row>
    <row r="137" spans="1:23" x14ac:dyDescent="0.3">
      <c r="A137" s="8" t="s">
        <v>23</v>
      </c>
      <c r="B137" t="s">
        <v>24</v>
      </c>
      <c r="C137" t="s">
        <v>52</v>
      </c>
      <c r="D137">
        <v>2</v>
      </c>
      <c r="E137">
        <v>6</v>
      </c>
      <c r="F137" s="9">
        <v>46060</v>
      </c>
      <c r="H137">
        <v>30</v>
      </c>
      <c r="I137" t="s">
        <v>31</v>
      </c>
      <c r="J137" t="s">
        <v>30</v>
      </c>
      <c r="T137">
        <v>0</v>
      </c>
    </row>
    <row r="138" spans="1:23" x14ac:dyDescent="0.3">
      <c r="A138" s="8" t="s">
        <v>23</v>
      </c>
      <c r="B138" t="s">
        <v>24</v>
      </c>
      <c r="C138" t="s">
        <v>52</v>
      </c>
      <c r="D138">
        <v>2</v>
      </c>
      <c r="E138">
        <v>6</v>
      </c>
      <c r="F138" s="9">
        <v>46060</v>
      </c>
      <c r="H138">
        <v>20</v>
      </c>
      <c r="I138" t="s">
        <v>26</v>
      </c>
      <c r="J138">
        <v>70</v>
      </c>
      <c r="K138" t="s">
        <v>26</v>
      </c>
      <c r="L138">
        <v>66</v>
      </c>
      <c r="N138" t="s">
        <v>30</v>
      </c>
      <c r="P138">
        <v>81</v>
      </c>
      <c r="R138">
        <v>63</v>
      </c>
      <c r="T138">
        <v>81</v>
      </c>
    </row>
    <row r="139" spans="1:23" s="12" customFormat="1" ht="15" thickBot="1" x14ac:dyDescent="0.35">
      <c r="A139" s="11" t="s">
        <v>23</v>
      </c>
      <c r="B139" s="12" t="s">
        <v>24</v>
      </c>
      <c r="C139" s="12" t="s">
        <v>52</v>
      </c>
      <c r="D139" s="12">
        <v>2</v>
      </c>
      <c r="E139" s="12">
        <v>6</v>
      </c>
      <c r="F139" s="13">
        <v>46060</v>
      </c>
      <c r="G139" s="12">
        <v>155</v>
      </c>
      <c r="H139" s="12">
        <v>30</v>
      </c>
      <c r="I139" s="12" t="s">
        <v>29</v>
      </c>
      <c r="J139" s="12" t="s">
        <v>30</v>
      </c>
      <c r="T139" s="12">
        <v>0</v>
      </c>
    </row>
    <row r="140" spans="1:23" s="4" customFormat="1" x14ac:dyDescent="0.3">
      <c r="A140" s="3" t="s">
        <v>23</v>
      </c>
      <c r="B140" s="4" t="s">
        <v>24</v>
      </c>
      <c r="C140" s="4" t="s">
        <v>52</v>
      </c>
      <c r="D140" s="4">
        <v>2</v>
      </c>
      <c r="E140" s="4">
        <v>12</v>
      </c>
      <c r="F140" s="5">
        <v>46060</v>
      </c>
      <c r="H140" s="4">
        <v>70</v>
      </c>
      <c r="I140" s="4" t="s">
        <v>29</v>
      </c>
      <c r="J140" s="4" t="s">
        <v>30</v>
      </c>
      <c r="T140" s="4">
        <v>0</v>
      </c>
      <c r="V140" s="7">
        <v>0.51111111111111107</v>
      </c>
    </row>
    <row r="141" spans="1:23" x14ac:dyDescent="0.3">
      <c r="A141" s="8" t="s">
        <v>23</v>
      </c>
      <c r="B141" t="s">
        <v>24</v>
      </c>
      <c r="C141" t="s">
        <v>52</v>
      </c>
      <c r="D141">
        <v>2</v>
      </c>
      <c r="E141">
        <v>12</v>
      </c>
      <c r="F141" s="9">
        <v>46060</v>
      </c>
      <c r="H141">
        <v>50</v>
      </c>
      <c r="I141" t="s">
        <v>28</v>
      </c>
      <c r="J141">
        <v>45</v>
      </c>
      <c r="K141" t="s">
        <v>28</v>
      </c>
      <c r="L141">
        <v>55</v>
      </c>
      <c r="M141" t="s">
        <v>28</v>
      </c>
      <c r="N141">
        <v>26</v>
      </c>
      <c r="O141" t="s">
        <v>28</v>
      </c>
      <c r="P141">
        <v>42.5</v>
      </c>
      <c r="Q141" t="s">
        <v>28</v>
      </c>
      <c r="R141">
        <v>57</v>
      </c>
      <c r="S141" t="s">
        <v>28</v>
      </c>
      <c r="T141">
        <v>57</v>
      </c>
      <c r="U141" t="s">
        <v>28</v>
      </c>
    </row>
    <row r="142" spans="1:23" x14ac:dyDescent="0.3">
      <c r="A142" s="8" t="s">
        <v>23</v>
      </c>
      <c r="B142" t="s">
        <v>24</v>
      </c>
      <c r="C142" t="s">
        <v>52</v>
      </c>
      <c r="D142">
        <v>2</v>
      </c>
      <c r="E142">
        <v>12</v>
      </c>
      <c r="F142" s="9">
        <v>46060</v>
      </c>
      <c r="H142">
        <v>30</v>
      </c>
      <c r="I142" t="s">
        <v>36</v>
      </c>
      <c r="J142" t="s">
        <v>30</v>
      </c>
      <c r="T142">
        <v>0</v>
      </c>
      <c r="W142" t="s">
        <v>109</v>
      </c>
    </row>
    <row r="143" spans="1:23" x14ac:dyDescent="0.3">
      <c r="A143" s="8" t="s">
        <v>23</v>
      </c>
      <c r="B143" t="s">
        <v>24</v>
      </c>
      <c r="C143" t="s">
        <v>52</v>
      </c>
      <c r="D143">
        <v>2</v>
      </c>
      <c r="E143">
        <v>12</v>
      </c>
      <c r="F143" s="9">
        <v>46060</v>
      </c>
      <c r="H143">
        <v>20</v>
      </c>
      <c r="I143" t="s">
        <v>31</v>
      </c>
      <c r="J143" t="s">
        <v>30</v>
      </c>
      <c r="T143">
        <v>0</v>
      </c>
    </row>
    <row r="144" spans="1:23" s="12" customFormat="1" ht="15" thickBot="1" x14ac:dyDescent="0.35">
      <c r="A144" s="11" t="s">
        <v>23</v>
      </c>
      <c r="B144" s="12" t="s">
        <v>24</v>
      </c>
      <c r="C144" s="12" t="s">
        <v>52</v>
      </c>
      <c r="D144" s="12">
        <v>2</v>
      </c>
      <c r="E144" s="12">
        <v>12</v>
      </c>
      <c r="F144" s="13">
        <v>46060</v>
      </c>
      <c r="G144" s="12">
        <v>185</v>
      </c>
      <c r="H144" s="12">
        <v>15</v>
      </c>
      <c r="I144" s="12" t="s">
        <v>26</v>
      </c>
      <c r="J144" s="12">
        <v>55</v>
      </c>
      <c r="K144" s="12" t="s">
        <v>26</v>
      </c>
      <c r="L144" s="12" t="s">
        <v>30</v>
      </c>
      <c r="N144" s="12">
        <v>46.5</v>
      </c>
      <c r="P144" s="12">
        <v>59.5</v>
      </c>
      <c r="R144" s="12">
        <v>59.5</v>
      </c>
      <c r="T144" s="12">
        <v>59.5</v>
      </c>
    </row>
    <row r="145" spans="1:23" s="4" customFormat="1" x14ac:dyDescent="0.3">
      <c r="A145" s="3" t="s">
        <v>23</v>
      </c>
      <c r="B145" s="4" t="s">
        <v>24</v>
      </c>
      <c r="C145" s="4" t="s">
        <v>52</v>
      </c>
      <c r="D145" s="4">
        <v>2</v>
      </c>
      <c r="E145" s="4">
        <v>18</v>
      </c>
      <c r="F145" s="5">
        <v>46060</v>
      </c>
      <c r="H145" s="4">
        <v>60</v>
      </c>
      <c r="I145" s="4" t="s">
        <v>29</v>
      </c>
      <c r="J145" s="4" t="s">
        <v>30</v>
      </c>
      <c r="T145" s="4">
        <v>0</v>
      </c>
      <c r="V145" s="7">
        <v>0.5180555555555556</v>
      </c>
    </row>
    <row r="146" spans="1:23" x14ac:dyDescent="0.3">
      <c r="A146" s="8" t="s">
        <v>23</v>
      </c>
      <c r="B146" t="s">
        <v>24</v>
      </c>
      <c r="C146" t="s">
        <v>52</v>
      </c>
      <c r="D146">
        <v>2</v>
      </c>
      <c r="E146">
        <v>18</v>
      </c>
      <c r="F146" s="9">
        <v>46060</v>
      </c>
      <c r="H146">
        <v>45</v>
      </c>
      <c r="I146" t="s">
        <v>28</v>
      </c>
      <c r="J146">
        <v>48</v>
      </c>
      <c r="K146" t="s">
        <v>28</v>
      </c>
      <c r="L146">
        <v>42.5</v>
      </c>
      <c r="M146" t="s">
        <v>28</v>
      </c>
      <c r="N146">
        <v>50</v>
      </c>
      <c r="O146" t="s">
        <v>28</v>
      </c>
      <c r="P146">
        <v>55</v>
      </c>
      <c r="Q146" t="s">
        <v>28</v>
      </c>
      <c r="R146">
        <v>44</v>
      </c>
      <c r="S146" t="s">
        <v>28</v>
      </c>
      <c r="T146">
        <v>55</v>
      </c>
      <c r="U146" t="s">
        <v>28</v>
      </c>
    </row>
    <row r="147" spans="1:23" x14ac:dyDescent="0.3">
      <c r="A147" s="8" t="s">
        <v>23</v>
      </c>
      <c r="B147" t="s">
        <v>24</v>
      </c>
      <c r="C147" t="s">
        <v>52</v>
      </c>
      <c r="D147">
        <v>2</v>
      </c>
      <c r="E147">
        <v>18</v>
      </c>
      <c r="F147" s="9">
        <v>46060</v>
      </c>
      <c r="H147">
        <v>40</v>
      </c>
      <c r="I147" t="s">
        <v>26</v>
      </c>
      <c r="J147">
        <v>66</v>
      </c>
      <c r="K147" t="s">
        <v>26</v>
      </c>
      <c r="L147">
        <v>58.5</v>
      </c>
      <c r="N147">
        <v>68</v>
      </c>
      <c r="P147">
        <v>70</v>
      </c>
      <c r="R147">
        <v>66</v>
      </c>
      <c r="T147">
        <v>70</v>
      </c>
    </row>
    <row r="148" spans="1:23" x14ac:dyDescent="0.3">
      <c r="A148" s="8" t="s">
        <v>23</v>
      </c>
      <c r="B148" t="s">
        <v>24</v>
      </c>
      <c r="C148" t="s">
        <v>52</v>
      </c>
      <c r="D148">
        <v>2</v>
      </c>
      <c r="E148">
        <v>18</v>
      </c>
      <c r="F148" s="9">
        <v>46060</v>
      </c>
      <c r="H148">
        <v>35</v>
      </c>
      <c r="I148" t="s">
        <v>36</v>
      </c>
      <c r="J148" t="s">
        <v>30</v>
      </c>
      <c r="T148">
        <v>0</v>
      </c>
      <c r="W148" t="s">
        <v>76</v>
      </c>
    </row>
    <row r="149" spans="1:23" s="12" customFormat="1" ht="15" thickBot="1" x14ac:dyDescent="0.35">
      <c r="A149" s="11" t="s">
        <v>23</v>
      </c>
      <c r="B149" s="12" t="s">
        <v>24</v>
      </c>
      <c r="C149" s="12" t="s">
        <v>52</v>
      </c>
      <c r="D149" s="12">
        <v>2</v>
      </c>
      <c r="E149" s="12">
        <v>18</v>
      </c>
      <c r="F149" s="13">
        <v>46060</v>
      </c>
      <c r="G149" s="12">
        <v>190</v>
      </c>
      <c r="H149" s="12">
        <v>10</v>
      </c>
      <c r="I149" s="12" t="s">
        <v>44</v>
      </c>
      <c r="J149" s="12" t="s">
        <v>30</v>
      </c>
      <c r="T149" s="12">
        <v>0</v>
      </c>
    </row>
    <row r="150" spans="1:23" s="4" customFormat="1" x14ac:dyDescent="0.3">
      <c r="A150" s="3" t="s">
        <v>23</v>
      </c>
      <c r="B150" s="4" t="s">
        <v>24</v>
      </c>
      <c r="C150" s="4" t="s">
        <v>52</v>
      </c>
      <c r="D150" s="4">
        <v>2</v>
      </c>
      <c r="E150" s="4">
        <v>24</v>
      </c>
      <c r="F150" s="5">
        <v>46060</v>
      </c>
      <c r="H150" s="4">
        <v>30</v>
      </c>
      <c r="I150" s="4" t="s">
        <v>29</v>
      </c>
      <c r="J150" s="4" t="s">
        <v>30</v>
      </c>
      <c r="T150" s="4">
        <v>0</v>
      </c>
    </row>
    <row r="151" spans="1:23" x14ac:dyDescent="0.3">
      <c r="A151" s="8" t="s">
        <v>23</v>
      </c>
      <c r="B151" t="s">
        <v>24</v>
      </c>
      <c r="C151" t="s">
        <v>52</v>
      </c>
      <c r="D151">
        <v>2</v>
      </c>
      <c r="E151">
        <v>24</v>
      </c>
      <c r="F151" s="9">
        <v>46060</v>
      </c>
      <c r="H151">
        <v>15</v>
      </c>
      <c r="I151" t="s">
        <v>26</v>
      </c>
      <c r="J151">
        <v>60</v>
      </c>
      <c r="K151" t="s">
        <v>26</v>
      </c>
      <c r="L151" t="s">
        <v>30</v>
      </c>
      <c r="N151" t="s">
        <v>30</v>
      </c>
      <c r="P151">
        <v>55</v>
      </c>
      <c r="R151">
        <v>65</v>
      </c>
      <c r="T151">
        <v>65</v>
      </c>
    </row>
    <row r="152" spans="1:23" x14ac:dyDescent="0.3">
      <c r="A152" s="8" t="s">
        <v>23</v>
      </c>
      <c r="B152" t="s">
        <v>24</v>
      </c>
      <c r="C152" t="s">
        <v>52</v>
      </c>
      <c r="D152">
        <v>2</v>
      </c>
      <c r="E152">
        <v>24</v>
      </c>
      <c r="F152" s="9">
        <v>46060</v>
      </c>
      <c r="H152">
        <v>45</v>
      </c>
      <c r="I152" t="s">
        <v>28</v>
      </c>
      <c r="J152">
        <v>42</v>
      </c>
      <c r="K152" t="s">
        <v>28</v>
      </c>
      <c r="L152">
        <v>52</v>
      </c>
      <c r="M152" t="s">
        <v>28</v>
      </c>
      <c r="N152">
        <v>33</v>
      </c>
      <c r="O152" t="s">
        <v>28</v>
      </c>
      <c r="P152">
        <v>41</v>
      </c>
      <c r="Q152" t="s">
        <v>28</v>
      </c>
      <c r="R152">
        <v>40</v>
      </c>
      <c r="S152" t="s">
        <v>28</v>
      </c>
      <c r="T152">
        <v>52</v>
      </c>
      <c r="U152" t="s">
        <v>28</v>
      </c>
      <c r="V152" s="16">
        <v>0.52638888888888891</v>
      </c>
    </row>
    <row r="153" spans="1:23" x14ac:dyDescent="0.3">
      <c r="A153" s="8" t="s">
        <v>23</v>
      </c>
      <c r="B153" t="s">
        <v>24</v>
      </c>
      <c r="C153" t="s">
        <v>52</v>
      </c>
      <c r="D153">
        <v>2</v>
      </c>
      <c r="E153">
        <v>24</v>
      </c>
      <c r="F153" s="9">
        <v>46060</v>
      </c>
      <c r="H153">
        <v>25</v>
      </c>
      <c r="I153" t="s">
        <v>31</v>
      </c>
      <c r="J153" t="s">
        <v>30</v>
      </c>
      <c r="T153">
        <v>0</v>
      </c>
    </row>
    <row r="154" spans="1:23" s="12" customFormat="1" ht="15" thickBot="1" x14ac:dyDescent="0.35">
      <c r="A154" s="11" t="s">
        <v>23</v>
      </c>
      <c r="B154" s="12" t="s">
        <v>24</v>
      </c>
      <c r="C154" s="12" t="s">
        <v>52</v>
      </c>
      <c r="D154" s="12">
        <v>2</v>
      </c>
      <c r="E154" s="12">
        <v>24</v>
      </c>
      <c r="F154" s="13">
        <v>46060</v>
      </c>
      <c r="G154" s="12">
        <v>140</v>
      </c>
      <c r="H154" s="12">
        <v>25</v>
      </c>
      <c r="I154" s="12" t="s">
        <v>36</v>
      </c>
      <c r="J154" s="12" t="s">
        <v>30</v>
      </c>
      <c r="T154" s="12">
        <v>0</v>
      </c>
      <c r="W154" s="12" t="s">
        <v>109</v>
      </c>
    </row>
    <row r="155" spans="1:23" s="4" customFormat="1" x14ac:dyDescent="0.3">
      <c r="A155" s="3" t="s">
        <v>23</v>
      </c>
      <c r="B155" s="4" t="s">
        <v>24</v>
      </c>
      <c r="C155" s="4" t="s">
        <v>52</v>
      </c>
      <c r="D155" s="4">
        <v>2</v>
      </c>
      <c r="E155" s="4">
        <v>48</v>
      </c>
      <c r="F155" s="5">
        <v>46060</v>
      </c>
      <c r="H155" s="4">
        <v>5</v>
      </c>
      <c r="I155" s="4" t="s">
        <v>29</v>
      </c>
      <c r="J155" s="4" t="s">
        <v>30</v>
      </c>
      <c r="T155" s="4">
        <v>0</v>
      </c>
      <c r="V155" s="4" t="s">
        <v>59</v>
      </c>
    </row>
    <row r="156" spans="1:23" x14ac:dyDescent="0.3">
      <c r="A156" s="8" t="s">
        <v>23</v>
      </c>
      <c r="B156" t="s">
        <v>24</v>
      </c>
      <c r="C156" t="s">
        <v>52</v>
      </c>
      <c r="D156">
        <v>2</v>
      </c>
      <c r="E156">
        <v>48</v>
      </c>
      <c r="F156" s="9">
        <v>46060</v>
      </c>
      <c r="H156">
        <v>10</v>
      </c>
      <c r="I156" t="s">
        <v>36</v>
      </c>
      <c r="J156" t="s">
        <v>30</v>
      </c>
      <c r="T156">
        <v>0</v>
      </c>
    </row>
    <row r="157" spans="1:23" x14ac:dyDescent="0.3">
      <c r="A157" s="8" t="s">
        <v>23</v>
      </c>
      <c r="B157" t="s">
        <v>24</v>
      </c>
      <c r="C157" t="s">
        <v>52</v>
      </c>
      <c r="D157">
        <v>2</v>
      </c>
      <c r="E157">
        <v>48</v>
      </c>
      <c r="F157" s="9">
        <v>46060</v>
      </c>
      <c r="H157">
        <v>95</v>
      </c>
      <c r="I157" t="s">
        <v>31</v>
      </c>
      <c r="J157">
        <v>34</v>
      </c>
      <c r="K157" t="s">
        <v>31</v>
      </c>
      <c r="L157">
        <v>37</v>
      </c>
      <c r="N157">
        <v>28.5</v>
      </c>
      <c r="P157">
        <v>28</v>
      </c>
      <c r="R157">
        <v>44</v>
      </c>
      <c r="T157">
        <v>44</v>
      </c>
      <c r="V157" t="s">
        <v>110</v>
      </c>
    </row>
    <row r="158" spans="1:23" s="12" customFormat="1" ht="15" thickBot="1" x14ac:dyDescent="0.35">
      <c r="A158" s="11" t="s">
        <v>23</v>
      </c>
      <c r="B158" s="12" t="s">
        <v>24</v>
      </c>
      <c r="C158" s="12" t="s">
        <v>52</v>
      </c>
      <c r="D158" s="12">
        <v>2</v>
      </c>
      <c r="E158" s="12">
        <v>48</v>
      </c>
      <c r="F158" s="13">
        <v>46060</v>
      </c>
      <c r="G158" s="12">
        <v>115</v>
      </c>
      <c r="H158" s="12">
        <v>5</v>
      </c>
      <c r="I158" s="12" t="s">
        <v>26</v>
      </c>
      <c r="J158" s="12">
        <v>58</v>
      </c>
      <c r="K158" s="12" t="s">
        <v>26</v>
      </c>
      <c r="L158" s="12">
        <v>57.5</v>
      </c>
      <c r="N158" s="12" t="s">
        <v>30</v>
      </c>
      <c r="P158" s="12" t="s">
        <v>30</v>
      </c>
      <c r="R158" s="12" t="s">
        <v>30</v>
      </c>
      <c r="T158" s="12">
        <v>57.5</v>
      </c>
    </row>
    <row r="159" spans="1:23" s="4" customFormat="1" x14ac:dyDescent="0.3">
      <c r="A159" s="3" t="s">
        <v>23</v>
      </c>
      <c r="B159" s="4" t="s">
        <v>24</v>
      </c>
      <c r="C159" s="4" t="s">
        <v>60</v>
      </c>
      <c r="D159" s="4">
        <v>1</v>
      </c>
      <c r="E159" s="4">
        <v>0.5</v>
      </c>
      <c r="F159" s="5">
        <v>46059</v>
      </c>
      <c r="H159" s="4">
        <v>65</v>
      </c>
      <c r="I159" s="4" t="s">
        <v>28</v>
      </c>
      <c r="J159" s="4">
        <v>57</v>
      </c>
      <c r="K159" s="4" t="s">
        <v>28</v>
      </c>
      <c r="L159" s="4">
        <v>50</v>
      </c>
      <c r="M159" s="4" t="s">
        <v>28</v>
      </c>
      <c r="N159" s="4">
        <v>48.5</v>
      </c>
      <c r="O159" s="4" t="s">
        <v>28</v>
      </c>
      <c r="P159" s="4">
        <v>66</v>
      </c>
      <c r="Q159" s="4" t="s">
        <v>28</v>
      </c>
      <c r="R159" s="4">
        <v>63.5</v>
      </c>
      <c r="S159" s="4" t="s">
        <v>28</v>
      </c>
      <c r="T159" s="4">
        <v>66</v>
      </c>
      <c r="U159" s="4" t="s">
        <v>28</v>
      </c>
      <c r="V159" s="4" t="s">
        <v>61</v>
      </c>
    </row>
    <row r="160" spans="1:23" x14ac:dyDescent="0.3">
      <c r="A160" s="8" t="s">
        <v>23</v>
      </c>
      <c r="B160" t="s">
        <v>24</v>
      </c>
      <c r="C160" t="s">
        <v>60</v>
      </c>
      <c r="D160">
        <v>1</v>
      </c>
      <c r="E160">
        <v>0.5</v>
      </c>
      <c r="F160" s="9">
        <v>46059</v>
      </c>
      <c r="H160">
        <v>20</v>
      </c>
      <c r="I160" t="s">
        <v>26</v>
      </c>
      <c r="J160" t="s">
        <v>30</v>
      </c>
      <c r="T160">
        <v>0</v>
      </c>
    </row>
    <row r="161" spans="1:23" s="12" customFormat="1" ht="15" thickBot="1" x14ac:dyDescent="0.35">
      <c r="A161" s="11" t="s">
        <v>23</v>
      </c>
      <c r="B161" s="12" t="s">
        <v>24</v>
      </c>
      <c r="C161" s="12" t="s">
        <v>60</v>
      </c>
      <c r="D161" s="12">
        <v>1</v>
      </c>
      <c r="E161" s="12">
        <v>0.5</v>
      </c>
      <c r="F161" s="13">
        <v>46059</v>
      </c>
      <c r="G161" s="12">
        <v>105</v>
      </c>
      <c r="H161" s="12">
        <v>20</v>
      </c>
      <c r="I161" s="12" t="s">
        <v>29</v>
      </c>
      <c r="J161" s="12" t="s">
        <v>30</v>
      </c>
      <c r="T161" s="12">
        <v>0</v>
      </c>
    </row>
    <row r="162" spans="1:23" s="4" customFormat="1" x14ac:dyDescent="0.3">
      <c r="A162" s="3" t="s">
        <v>23</v>
      </c>
      <c r="B162" s="4" t="s">
        <v>24</v>
      </c>
      <c r="C162" s="4" t="s">
        <v>60</v>
      </c>
      <c r="D162" s="4">
        <v>1</v>
      </c>
      <c r="E162" s="4">
        <v>2</v>
      </c>
      <c r="F162" s="5">
        <v>46059</v>
      </c>
      <c r="H162" s="4">
        <v>60</v>
      </c>
      <c r="I162" s="4" t="s">
        <v>62</v>
      </c>
      <c r="J162" s="4" t="s">
        <v>30</v>
      </c>
      <c r="T162" s="4">
        <v>0</v>
      </c>
    </row>
    <row r="163" spans="1:23" x14ac:dyDescent="0.3">
      <c r="A163" s="8" t="s">
        <v>23</v>
      </c>
      <c r="B163" t="s">
        <v>24</v>
      </c>
      <c r="C163" t="s">
        <v>60</v>
      </c>
      <c r="D163">
        <v>1</v>
      </c>
      <c r="E163">
        <v>2</v>
      </c>
      <c r="F163" s="9">
        <v>46059</v>
      </c>
      <c r="H163">
        <v>70</v>
      </c>
      <c r="I163" t="s">
        <v>28</v>
      </c>
      <c r="J163">
        <v>53</v>
      </c>
      <c r="K163" t="s">
        <v>28</v>
      </c>
      <c r="L163">
        <v>53</v>
      </c>
      <c r="M163" t="s">
        <v>28</v>
      </c>
      <c r="N163">
        <v>62.5</v>
      </c>
      <c r="O163" t="s">
        <v>28</v>
      </c>
      <c r="P163">
        <v>48</v>
      </c>
      <c r="Q163" t="s">
        <v>28</v>
      </c>
      <c r="R163">
        <v>48</v>
      </c>
      <c r="S163" t="s">
        <v>28</v>
      </c>
      <c r="T163">
        <v>62.5</v>
      </c>
      <c r="U163" t="s">
        <v>28</v>
      </c>
      <c r="V163" s="16">
        <v>0.52013888888888893</v>
      </c>
    </row>
    <row r="164" spans="1:23" s="12" customFormat="1" ht="15" thickBot="1" x14ac:dyDescent="0.35">
      <c r="A164" s="11" t="s">
        <v>23</v>
      </c>
      <c r="B164" s="12" t="s">
        <v>24</v>
      </c>
      <c r="C164" s="12" t="s">
        <v>60</v>
      </c>
      <c r="D164" s="12">
        <v>1</v>
      </c>
      <c r="E164" s="12">
        <v>2</v>
      </c>
      <c r="F164" s="13">
        <v>46059</v>
      </c>
      <c r="G164" s="12">
        <v>180</v>
      </c>
      <c r="H164" s="12">
        <v>50</v>
      </c>
      <c r="I164" s="12" t="s">
        <v>29</v>
      </c>
      <c r="J164" s="12" t="s">
        <v>30</v>
      </c>
      <c r="T164" s="12">
        <v>0</v>
      </c>
      <c r="W164" s="12" t="s">
        <v>121</v>
      </c>
    </row>
    <row r="165" spans="1:23" s="4" customFormat="1" x14ac:dyDescent="0.3">
      <c r="A165" s="3" t="s">
        <v>23</v>
      </c>
      <c r="B165" s="4" t="s">
        <v>24</v>
      </c>
      <c r="C165" s="4" t="s">
        <v>60</v>
      </c>
      <c r="D165" s="4">
        <v>1</v>
      </c>
      <c r="E165" s="4">
        <v>6</v>
      </c>
      <c r="F165" s="5">
        <v>46059</v>
      </c>
      <c r="H165" s="4">
        <v>50</v>
      </c>
      <c r="I165" s="4" t="s">
        <v>63</v>
      </c>
      <c r="J165" s="4" t="s">
        <v>30</v>
      </c>
      <c r="T165" s="4">
        <v>0</v>
      </c>
    </row>
    <row r="166" spans="1:23" s="12" customFormat="1" ht="15" thickBot="1" x14ac:dyDescent="0.35">
      <c r="A166" s="11" t="s">
        <v>23</v>
      </c>
      <c r="B166" s="12" t="s">
        <v>24</v>
      </c>
      <c r="C166" s="12" t="s">
        <v>60</v>
      </c>
      <c r="D166" s="12">
        <v>1</v>
      </c>
      <c r="E166" s="12">
        <v>6</v>
      </c>
      <c r="F166" s="13">
        <v>46059</v>
      </c>
      <c r="G166" s="12">
        <v>100</v>
      </c>
      <c r="H166" s="12">
        <v>50</v>
      </c>
      <c r="I166" s="12" t="s">
        <v>28</v>
      </c>
      <c r="J166" s="12">
        <v>60</v>
      </c>
      <c r="K166" s="12" t="s">
        <v>28</v>
      </c>
      <c r="L166" s="12">
        <v>59.5</v>
      </c>
      <c r="M166" s="12" t="s">
        <v>28</v>
      </c>
      <c r="N166" s="12">
        <v>61</v>
      </c>
      <c r="O166" s="12" t="s">
        <v>28</v>
      </c>
      <c r="P166" s="12">
        <v>63</v>
      </c>
      <c r="Q166" s="12" t="s">
        <v>28</v>
      </c>
      <c r="R166" s="12">
        <v>57</v>
      </c>
      <c r="S166" s="12" t="s">
        <v>28</v>
      </c>
      <c r="T166" s="12">
        <v>63</v>
      </c>
      <c r="U166" s="12" t="s">
        <v>28</v>
      </c>
      <c r="V166" s="15">
        <v>0.52569444444444446</v>
      </c>
      <c r="W166" s="12" t="s">
        <v>122</v>
      </c>
    </row>
    <row r="167" spans="1:23" s="4" customFormat="1" x14ac:dyDescent="0.3">
      <c r="A167" s="3" t="s">
        <v>23</v>
      </c>
      <c r="B167" s="4" t="s">
        <v>24</v>
      </c>
      <c r="C167" s="4" t="s">
        <v>60</v>
      </c>
      <c r="D167" s="4">
        <v>1</v>
      </c>
      <c r="E167" s="4">
        <v>12</v>
      </c>
      <c r="F167" s="5">
        <v>46059</v>
      </c>
      <c r="H167" s="4">
        <v>65</v>
      </c>
      <c r="I167" s="4" t="s">
        <v>28</v>
      </c>
      <c r="J167" s="4">
        <v>50</v>
      </c>
      <c r="K167" s="4" t="s">
        <v>28</v>
      </c>
      <c r="L167" s="4">
        <v>50</v>
      </c>
      <c r="M167" s="4" t="s">
        <v>28</v>
      </c>
      <c r="N167" s="4">
        <v>49</v>
      </c>
      <c r="O167" s="4" t="s">
        <v>28</v>
      </c>
      <c r="P167" s="4">
        <v>51</v>
      </c>
      <c r="Q167" s="4" t="s">
        <v>28</v>
      </c>
      <c r="R167" s="4">
        <v>48</v>
      </c>
      <c r="S167" s="4" t="s">
        <v>28</v>
      </c>
      <c r="T167" s="4">
        <v>51</v>
      </c>
      <c r="U167" s="4" t="s">
        <v>28</v>
      </c>
      <c r="V167" s="7">
        <v>0.53194444444444444</v>
      </c>
    </row>
    <row r="168" spans="1:23" s="12" customFormat="1" ht="15" thickBot="1" x14ac:dyDescent="0.35">
      <c r="A168" s="11" t="s">
        <v>23</v>
      </c>
      <c r="B168" s="12" t="s">
        <v>24</v>
      </c>
      <c r="C168" s="12" t="s">
        <v>60</v>
      </c>
      <c r="D168" s="12">
        <v>1</v>
      </c>
      <c r="E168" s="12">
        <v>12</v>
      </c>
      <c r="F168" s="13">
        <v>46059</v>
      </c>
      <c r="G168" s="12">
        <v>100</v>
      </c>
      <c r="H168" s="12">
        <v>35</v>
      </c>
      <c r="I168" s="12" t="s">
        <v>29</v>
      </c>
      <c r="J168" s="12" t="s">
        <v>30</v>
      </c>
      <c r="T168" s="12">
        <v>0</v>
      </c>
      <c r="W168" s="12" t="s">
        <v>103</v>
      </c>
    </row>
    <row r="169" spans="1:23" s="4" customFormat="1" x14ac:dyDescent="0.3">
      <c r="A169" s="3" t="s">
        <v>23</v>
      </c>
      <c r="B169" s="4" t="s">
        <v>24</v>
      </c>
      <c r="C169" s="4" t="s">
        <v>60</v>
      </c>
      <c r="D169" s="4">
        <v>1</v>
      </c>
      <c r="E169" s="4">
        <v>18</v>
      </c>
      <c r="F169" s="5">
        <v>46059</v>
      </c>
      <c r="H169" s="4">
        <v>80</v>
      </c>
      <c r="I169" s="4" t="s">
        <v>28</v>
      </c>
      <c r="J169" s="4">
        <v>63</v>
      </c>
      <c r="K169" s="4" t="s">
        <v>28</v>
      </c>
      <c r="L169" s="4">
        <v>65.5</v>
      </c>
      <c r="M169" s="4" t="s">
        <v>28</v>
      </c>
      <c r="N169" s="4">
        <v>66.5</v>
      </c>
      <c r="O169" s="4" t="s">
        <v>28</v>
      </c>
      <c r="P169" s="4">
        <v>58.5</v>
      </c>
      <c r="Q169" s="4" t="s">
        <v>28</v>
      </c>
      <c r="R169" s="4">
        <v>61</v>
      </c>
      <c r="S169" s="4" t="s">
        <v>28</v>
      </c>
      <c r="T169" s="4">
        <v>66.5</v>
      </c>
      <c r="U169" s="4" t="s">
        <v>28</v>
      </c>
      <c r="V169" s="7">
        <v>0.53749999999999998</v>
      </c>
    </row>
    <row r="170" spans="1:23" x14ac:dyDescent="0.3">
      <c r="A170" s="8" t="s">
        <v>23</v>
      </c>
      <c r="B170" t="s">
        <v>24</v>
      </c>
      <c r="C170" t="s">
        <v>60</v>
      </c>
      <c r="D170">
        <v>1</v>
      </c>
      <c r="E170">
        <v>18</v>
      </c>
      <c r="F170" s="9">
        <v>46059</v>
      </c>
      <c r="H170">
        <v>20</v>
      </c>
      <c r="I170" t="s">
        <v>29</v>
      </c>
      <c r="J170" t="s">
        <v>30</v>
      </c>
      <c r="T170">
        <v>0</v>
      </c>
    </row>
    <row r="171" spans="1:23" s="12" customFormat="1" ht="15" thickBot="1" x14ac:dyDescent="0.35">
      <c r="A171" s="11" t="s">
        <v>23</v>
      </c>
      <c r="B171" s="12" t="s">
        <v>24</v>
      </c>
      <c r="C171" s="12" t="s">
        <v>60</v>
      </c>
      <c r="D171" s="12">
        <v>1</v>
      </c>
      <c r="E171" s="12">
        <v>18</v>
      </c>
      <c r="F171" s="13">
        <v>46059</v>
      </c>
      <c r="G171" s="12">
        <v>100</v>
      </c>
      <c r="H171" s="12" t="s">
        <v>64</v>
      </c>
      <c r="I171" s="12" t="s">
        <v>65</v>
      </c>
      <c r="J171" s="12" t="s">
        <v>30</v>
      </c>
      <c r="T171" s="12">
        <v>0</v>
      </c>
    </row>
    <row r="172" spans="1:23" s="4" customFormat="1" x14ac:dyDescent="0.3">
      <c r="A172" s="3" t="s">
        <v>23</v>
      </c>
      <c r="B172" s="4" t="s">
        <v>24</v>
      </c>
      <c r="C172" s="4" t="s">
        <v>60</v>
      </c>
      <c r="D172" s="4">
        <v>1</v>
      </c>
      <c r="E172" s="4">
        <v>24</v>
      </c>
      <c r="F172" s="5">
        <v>46059</v>
      </c>
      <c r="H172" s="4">
        <v>15</v>
      </c>
      <c r="I172" s="4" t="s">
        <v>50</v>
      </c>
      <c r="J172" s="4" t="s">
        <v>30</v>
      </c>
      <c r="T172" s="4">
        <v>0</v>
      </c>
    </row>
    <row r="173" spans="1:23" x14ac:dyDescent="0.3">
      <c r="A173" s="8" t="s">
        <v>23</v>
      </c>
      <c r="B173" t="s">
        <v>24</v>
      </c>
      <c r="C173" t="s">
        <v>60</v>
      </c>
      <c r="D173">
        <v>1</v>
      </c>
      <c r="E173">
        <v>24</v>
      </c>
      <c r="F173" s="9">
        <v>46059</v>
      </c>
      <c r="H173">
        <v>85</v>
      </c>
      <c r="I173" t="s">
        <v>28</v>
      </c>
      <c r="J173">
        <v>57</v>
      </c>
      <c r="K173" t="s">
        <v>28</v>
      </c>
      <c r="L173">
        <v>57</v>
      </c>
      <c r="M173" t="s">
        <v>28</v>
      </c>
      <c r="N173">
        <v>55.5</v>
      </c>
      <c r="O173" t="s">
        <v>28</v>
      </c>
      <c r="P173">
        <v>60</v>
      </c>
      <c r="Q173" t="s">
        <v>28</v>
      </c>
      <c r="R173">
        <v>57</v>
      </c>
      <c r="S173" t="s">
        <v>28</v>
      </c>
      <c r="T173">
        <v>60</v>
      </c>
      <c r="V173" s="16">
        <v>0.54374999999999996</v>
      </c>
    </row>
    <row r="174" spans="1:23" s="12" customFormat="1" ht="15" thickBot="1" x14ac:dyDescent="0.35">
      <c r="A174" s="11" t="s">
        <v>23</v>
      </c>
      <c r="B174" s="12" t="s">
        <v>24</v>
      </c>
      <c r="C174" s="12" t="s">
        <v>60</v>
      </c>
      <c r="D174" s="12">
        <v>1</v>
      </c>
      <c r="E174" s="12">
        <v>24</v>
      </c>
      <c r="F174" s="13">
        <v>46059</v>
      </c>
      <c r="G174" s="12">
        <v>115</v>
      </c>
      <c r="H174" s="12">
        <v>15</v>
      </c>
      <c r="I174" s="12" t="s">
        <v>29</v>
      </c>
      <c r="J174" s="12" t="s">
        <v>30</v>
      </c>
      <c r="T174" s="12">
        <v>0</v>
      </c>
    </row>
    <row r="175" spans="1:23" s="4" customFormat="1" x14ac:dyDescent="0.3">
      <c r="A175" s="3" t="s">
        <v>23</v>
      </c>
      <c r="B175" s="4" t="s">
        <v>24</v>
      </c>
      <c r="C175" s="4" t="s">
        <v>60</v>
      </c>
      <c r="D175" s="4">
        <v>1</v>
      </c>
      <c r="E175" s="4">
        <v>48</v>
      </c>
      <c r="F175" s="5">
        <v>46059</v>
      </c>
      <c r="H175" s="4">
        <v>90</v>
      </c>
      <c r="I175" s="4" t="s">
        <v>28</v>
      </c>
      <c r="J175" s="4">
        <v>56</v>
      </c>
      <c r="K175" s="4" t="s">
        <v>28</v>
      </c>
      <c r="L175" s="4">
        <v>61.5</v>
      </c>
      <c r="M175" s="4" t="s">
        <v>28</v>
      </c>
      <c r="N175" s="4">
        <v>50</v>
      </c>
      <c r="O175" s="4" t="s">
        <v>28</v>
      </c>
      <c r="P175" s="4">
        <v>50.5</v>
      </c>
      <c r="R175" s="4">
        <v>51.5</v>
      </c>
      <c r="T175" s="4">
        <v>61.5</v>
      </c>
      <c r="V175" s="7">
        <v>0.55069444444444449</v>
      </c>
    </row>
    <row r="176" spans="1:23" s="12" customFormat="1" ht="15" thickBot="1" x14ac:dyDescent="0.35">
      <c r="A176" s="11" t="s">
        <v>23</v>
      </c>
      <c r="B176" s="12" t="s">
        <v>24</v>
      </c>
      <c r="C176" s="12" t="s">
        <v>60</v>
      </c>
      <c r="D176" s="12">
        <v>1</v>
      </c>
      <c r="E176" s="12">
        <v>48</v>
      </c>
      <c r="F176" s="13">
        <v>46059</v>
      </c>
      <c r="G176" s="12">
        <v>100</v>
      </c>
      <c r="H176" s="12">
        <v>10</v>
      </c>
      <c r="I176" s="12" t="s">
        <v>29</v>
      </c>
      <c r="J176" s="12" t="s">
        <v>30</v>
      </c>
      <c r="T176" s="12">
        <v>0</v>
      </c>
    </row>
    <row r="177" spans="1:22" s="4" customFormat="1" x14ac:dyDescent="0.3">
      <c r="A177" s="3" t="s">
        <v>23</v>
      </c>
      <c r="B177" s="4" t="s">
        <v>24</v>
      </c>
      <c r="C177" s="4" t="s">
        <v>60</v>
      </c>
      <c r="D177" s="4">
        <v>2</v>
      </c>
      <c r="E177" s="4">
        <v>0.5</v>
      </c>
      <c r="F177" s="5">
        <v>46059</v>
      </c>
      <c r="H177" s="4">
        <v>50</v>
      </c>
      <c r="I177" s="4" t="s">
        <v>29</v>
      </c>
      <c r="J177" s="4" t="s">
        <v>30</v>
      </c>
      <c r="T177" s="4">
        <v>0</v>
      </c>
    </row>
    <row r="178" spans="1:22" x14ac:dyDescent="0.3">
      <c r="A178" s="8" t="s">
        <v>23</v>
      </c>
      <c r="B178" t="s">
        <v>24</v>
      </c>
      <c r="C178" t="s">
        <v>60</v>
      </c>
      <c r="D178">
        <v>2</v>
      </c>
      <c r="E178">
        <v>0.5</v>
      </c>
      <c r="F178" s="9">
        <v>46059</v>
      </c>
      <c r="H178">
        <v>20</v>
      </c>
      <c r="I178" t="s">
        <v>26</v>
      </c>
      <c r="J178" t="s">
        <v>30</v>
      </c>
      <c r="L178" t="s">
        <v>30</v>
      </c>
      <c r="N178">
        <v>66.5</v>
      </c>
      <c r="P178" t="s">
        <v>30</v>
      </c>
      <c r="R178">
        <v>67.5</v>
      </c>
      <c r="T178">
        <v>67.5</v>
      </c>
      <c r="V178" t="s">
        <v>123</v>
      </c>
    </row>
    <row r="179" spans="1:22" x14ac:dyDescent="0.3">
      <c r="A179" s="8" t="s">
        <v>23</v>
      </c>
      <c r="B179" t="s">
        <v>24</v>
      </c>
      <c r="C179" t="s">
        <v>60</v>
      </c>
      <c r="D179">
        <v>2</v>
      </c>
      <c r="E179">
        <v>0.5</v>
      </c>
      <c r="F179" s="9">
        <v>46059</v>
      </c>
      <c r="H179">
        <v>30</v>
      </c>
      <c r="I179" t="s">
        <v>28</v>
      </c>
      <c r="J179">
        <v>52</v>
      </c>
      <c r="K179" t="s">
        <v>28</v>
      </c>
      <c r="L179">
        <v>43.5</v>
      </c>
      <c r="M179" t="s">
        <v>28</v>
      </c>
      <c r="N179">
        <v>42</v>
      </c>
      <c r="O179" t="s">
        <v>28</v>
      </c>
      <c r="P179">
        <v>46</v>
      </c>
      <c r="Q179" t="s">
        <v>28</v>
      </c>
      <c r="R179">
        <v>57</v>
      </c>
      <c r="S179" t="s">
        <v>28</v>
      </c>
      <c r="T179">
        <v>57</v>
      </c>
      <c r="U179" t="s">
        <v>28</v>
      </c>
    </row>
    <row r="180" spans="1:22" s="12" customFormat="1" ht="15" thickBot="1" x14ac:dyDescent="0.35">
      <c r="A180" s="11" t="s">
        <v>23</v>
      </c>
      <c r="B180" s="12" t="s">
        <v>24</v>
      </c>
      <c r="C180" s="12" t="s">
        <v>60</v>
      </c>
      <c r="D180" s="12">
        <v>2</v>
      </c>
      <c r="E180" s="12">
        <v>0.5</v>
      </c>
      <c r="F180" s="13">
        <v>46059</v>
      </c>
      <c r="G180" s="12">
        <v>200</v>
      </c>
      <c r="H180" s="12">
        <v>50</v>
      </c>
      <c r="I180" s="12" t="s">
        <v>66</v>
      </c>
      <c r="J180" s="12" t="s">
        <v>30</v>
      </c>
      <c r="T180" s="12">
        <v>0</v>
      </c>
    </row>
    <row r="181" spans="1:22" s="4" customFormat="1" x14ac:dyDescent="0.3">
      <c r="A181" s="3" t="s">
        <v>23</v>
      </c>
      <c r="B181" s="4" t="s">
        <v>24</v>
      </c>
      <c r="C181" s="4" t="s">
        <v>60</v>
      </c>
      <c r="D181" s="4">
        <v>2</v>
      </c>
      <c r="E181" s="4">
        <v>2</v>
      </c>
      <c r="F181" s="5">
        <v>46059</v>
      </c>
      <c r="H181" s="4">
        <v>20</v>
      </c>
      <c r="I181" s="4" t="s">
        <v>26</v>
      </c>
      <c r="J181" s="4">
        <v>70</v>
      </c>
      <c r="K181" s="4" t="s">
        <v>26</v>
      </c>
      <c r="L181" s="4" t="s">
        <v>30</v>
      </c>
      <c r="N181" s="4">
        <v>79</v>
      </c>
      <c r="P181" s="4">
        <v>60.5</v>
      </c>
      <c r="R181" s="4" t="s">
        <v>30</v>
      </c>
      <c r="T181" s="4">
        <v>79</v>
      </c>
    </row>
    <row r="182" spans="1:22" x14ac:dyDescent="0.3">
      <c r="A182" s="8" t="s">
        <v>23</v>
      </c>
      <c r="B182" t="s">
        <v>24</v>
      </c>
      <c r="C182" t="s">
        <v>60</v>
      </c>
      <c r="D182">
        <v>2</v>
      </c>
      <c r="E182">
        <v>2</v>
      </c>
      <c r="F182" s="9">
        <v>46059</v>
      </c>
      <c r="H182">
        <v>35</v>
      </c>
      <c r="I182" t="s">
        <v>28</v>
      </c>
      <c r="J182">
        <v>55</v>
      </c>
      <c r="K182" t="s">
        <v>28</v>
      </c>
      <c r="L182">
        <v>65.5</v>
      </c>
      <c r="M182" t="s">
        <v>28</v>
      </c>
      <c r="N182">
        <v>54</v>
      </c>
      <c r="O182" t="s">
        <v>28</v>
      </c>
      <c r="P182">
        <v>50</v>
      </c>
      <c r="Q182" t="s">
        <v>28</v>
      </c>
      <c r="R182">
        <v>49</v>
      </c>
      <c r="S182" t="s">
        <v>28</v>
      </c>
      <c r="T182">
        <v>65.5</v>
      </c>
      <c r="U182" t="s">
        <v>28</v>
      </c>
      <c r="V182" t="s">
        <v>124</v>
      </c>
    </row>
    <row r="183" spans="1:22" x14ac:dyDescent="0.3">
      <c r="A183" s="8" t="s">
        <v>23</v>
      </c>
      <c r="B183" t="s">
        <v>24</v>
      </c>
      <c r="C183" t="s">
        <v>60</v>
      </c>
      <c r="D183">
        <v>2</v>
      </c>
      <c r="E183">
        <v>2</v>
      </c>
      <c r="F183" s="9">
        <v>46059</v>
      </c>
      <c r="H183">
        <v>50</v>
      </c>
      <c r="I183" t="s">
        <v>63</v>
      </c>
      <c r="J183" t="s">
        <v>30</v>
      </c>
      <c r="T183">
        <v>0</v>
      </c>
      <c r="V183" t="s">
        <v>123</v>
      </c>
    </row>
    <row r="184" spans="1:22" s="12" customFormat="1" ht="15" thickBot="1" x14ac:dyDescent="0.35">
      <c r="A184" s="11" t="s">
        <v>23</v>
      </c>
      <c r="B184" s="12" t="s">
        <v>24</v>
      </c>
      <c r="C184" s="12" t="s">
        <v>60</v>
      </c>
      <c r="D184" s="12">
        <v>2</v>
      </c>
      <c r="E184" s="12">
        <v>2</v>
      </c>
      <c r="F184" s="13">
        <v>46059</v>
      </c>
      <c r="G184" s="12">
        <v>110</v>
      </c>
      <c r="H184" s="12">
        <v>5</v>
      </c>
      <c r="I184" s="12" t="s">
        <v>28</v>
      </c>
      <c r="J184" s="12" t="s">
        <v>30</v>
      </c>
      <c r="T184" s="12">
        <v>0</v>
      </c>
      <c r="V184" s="12" t="s">
        <v>125</v>
      </c>
    </row>
    <row r="185" spans="1:22" s="4" customFormat="1" x14ac:dyDescent="0.3">
      <c r="A185" s="3" t="s">
        <v>23</v>
      </c>
      <c r="B185" s="4" t="s">
        <v>24</v>
      </c>
      <c r="C185" s="4" t="s">
        <v>60</v>
      </c>
      <c r="D185" s="4">
        <v>2</v>
      </c>
      <c r="E185" s="4">
        <v>6</v>
      </c>
      <c r="F185" s="5">
        <v>46059</v>
      </c>
      <c r="H185" s="4">
        <v>35</v>
      </c>
      <c r="I185" s="4" t="s">
        <v>29</v>
      </c>
      <c r="J185" s="4" t="s">
        <v>30</v>
      </c>
      <c r="T185" s="4">
        <v>0</v>
      </c>
    </row>
    <row r="186" spans="1:22" x14ac:dyDescent="0.3">
      <c r="A186" s="8" t="s">
        <v>23</v>
      </c>
      <c r="B186" t="s">
        <v>24</v>
      </c>
      <c r="C186" t="s">
        <v>60</v>
      </c>
      <c r="D186">
        <v>2</v>
      </c>
      <c r="E186">
        <v>6</v>
      </c>
      <c r="F186" s="9">
        <v>46059</v>
      </c>
      <c r="H186">
        <v>65</v>
      </c>
      <c r="I186" t="s">
        <v>28</v>
      </c>
      <c r="J186">
        <v>52</v>
      </c>
      <c r="K186" t="s">
        <v>28</v>
      </c>
      <c r="L186">
        <v>50</v>
      </c>
      <c r="M186" t="s">
        <v>28</v>
      </c>
      <c r="N186">
        <v>47</v>
      </c>
      <c r="O186" t="s">
        <v>28</v>
      </c>
      <c r="P186">
        <v>62</v>
      </c>
      <c r="Q186" t="s">
        <v>28</v>
      </c>
      <c r="R186">
        <v>49</v>
      </c>
      <c r="S186" t="s">
        <v>28</v>
      </c>
      <c r="T186">
        <v>62</v>
      </c>
      <c r="U186" t="s">
        <v>28</v>
      </c>
      <c r="V186" t="s">
        <v>123</v>
      </c>
    </row>
    <row r="187" spans="1:22" s="12" customFormat="1" ht="15" thickBot="1" x14ac:dyDescent="0.35">
      <c r="A187" s="11" t="s">
        <v>23</v>
      </c>
      <c r="B187" s="12" t="s">
        <v>24</v>
      </c>
      <c r="C187" s="12" t="s">
        <v>60</v>
      </c>
      <c r="D187" s="12">
        <v>2</v>
      </c>
      <c r="E187" s="12">
        <v>6</v>
      </c>
      <c r="F187" s="13">
        <v>46059</v>
      </c>
      <c r="G187" s="12">
        <v>180</v>
      </c>
      <c r="H187" s="12">
        <v>80</v>
      </c>
      <c r="I187" s="12" t="s">
        <v>67</v>
      </c>
      <c r="J187" s="12" t="s">
        <v>30</v>
      </c>
      <c r="T187" s="12">
        <v>0</v>
      </c>
    </row>
    <row r="188" spans="1:22" s="4" customFormat="1" x14ac:dyDescent="0.3">
      <c r="A188" s="3" t="s">
        <v>23</v>
      </c>
      <c r="B188" s="4" t="s">
        <v>24</v>
      </c>
      <c r="C188" s="4" t="s">
        <v>60</v>
      </c>
      <c r="D188" s="4">
        <v>2</v>
      </c>
      <c r="E188" s="4">
        <v>12</v>
      </c>
      <c r="F188" s="5">
        <v>46059</v>
      </c>
      <c r="H188" s="4">
        <v>5</v>
      </c>
      <c r="I188" s="4" t="s">
        <v>68</v>
      </c>
      <c r="J188" s="4" t="s">
        <v>30</v>
      </c>
      <c r="T188" s="4">
        <v>0</v>
      </c>
    </row>
    <row r="189" spans="1:22" x14ac:dyDescent="0.3">
      <c r="A189" s="8" t="s">
        <v>23</v>
      </c>
      <c r="B189" t="s">
        <v>24</v>
      </c>
      <c r="C189" t="s">
        <v>60</v>
      </c>
      <c r="D189">
        <v>2</v>
      </c>
      <c r="E189">
        <v>12</v>
      </c>
      <c r="F189" s="9">
        <v>46059</v>
      </c>
      <c r="H189">
        <v>75</v>
      </c>
      <c r="I189" t="s">
        <v>28</v>
      </c>
      <c r="J189">
        <v>54</v>
      </c>
      <c r="K189" t="s">
        <v>28</v>
      </c>
      <c r="L189">
        <v>54.5</v>
      </c>
      <c r="M189" t="s">
        <v>28</v>
      </c>
      <c r="N189">
        <v>53</v>
      </c>
      <c r="O189" t="s">
        <v>28</v>
      </c>
      <c r="P189">
        <v>53</v>
      </c>
      <c r="Q189" t="s">
        <v>28</v>
      </c>
      <c r="R189">
        <v>57</v>
      </c>
      <c r="S189" t="s">
        <v>28</v>
      </c>
      <c r="T189">
        <v>57</v>
      </c>
      <c r="U189" t="s">
        <v>28</v>
      </c>
      <c r="V189" t="s">
        <v>123</v>
      </c>
    </row>
    <row r="190" spans="1:22" s="12" customFormat="1" ht="15" thickBot="1" x14ac:dyDescent="0.35">
      <c r="A190" s="11" t="s">
        <v>23</v>
      </c>
      <c r="B190" s="12" t="s">
        <v>24</v>
      </c>
      <c r="C190" s="12" t="s">
        <v>60</v>
      </c>
      <c r="D190" s="12">
        <v>2</v>
      </c>
      <c r="E190" s="12">
        <v>12</v>
      </c>
      <c r="F190" s="13">
        <v>46059</v>
      </c>
      <c r="G190" s="12">
        <v>105</v>
      </c>
      <c r="H190" s="12">
        <v>25</v>
      </c>
      <c r="I190" s="12" t="s">
        <v>29</v>
      </c>
      <c r="J190" s="12" t="s">
        <v>30</v>
      </c>
      <c r="T190" s="12">
        <v>0</v>
      </c>
    </row>
    <row r="191" spans="1:22" s="4" customFormat="1" x14ac:dyDescent="0.3">
      <c r="A191" s="3" t="s">
        <v>23</v>
      </c>
      <c r="B191" s="4" t="s">
        <v>24</v>
      </c>
      <c r="C191" s="4" t="s">
        <v>60</v>
      </c>
      <c r="D191" s="4">
        <v>2</v>
      </c>
      <c r="E191" s="4">
        <v>18</v>
      </c>
      <c r="F191" s="5">
        <v>46059</v>
      </c>
      <c r="H191" s="4">
        <v>10</v>
      </c>
      <c r="I191" s="4" t="s">
        <v>29</v>
      </c>
      <c r="J191" s="4" t="s">
        <v>30</v>
      </c>
      <c r="T191" s="4">
        <v>0</v>
      </c>
    </row>
    <row r="192" spans="1:22" s="12" customFormat="1" ht="15" thickBot="1" x14ac:dyDescent="0.35">
      <c r="A192" s="11" t="s">
        <v>23</v>
      </c>
      <c r="B192" s="12" t="s">
        <v>24</v>
      </c>
      <c r="C192" s="12" t="s">
        <v>60</v>
      </c>
      <c r="D192" s="12">
        <v>2</v>
      </c>
      <c r="E192" s="12">
        <v>18</v>
      </c>
      <c r="F192" s="13">
        <v>46059</v>
      </c>
      <c r="G192" s="12">
        <v>100</v>
      </c>
      <c r="H192" s="12">
        <v>90</v>
      </c>
      <c r="I192" s="12" t="s">
        <v>28</v>
      </c>
      <c r="J192" s="12">
        <v>65</v>
      </c>
      <c r="K192" s="12" t="s">
        <v>28</v>
      </c>
      <c r="L192" s="12">
        <v>64.5</v>
      </c>
      <c r="M192" s="12" t="s">
        <v>28</v>
      </c>
      <c r="N192" s="12">
        <v>61.5</v>
      </c>
      <c r="O192" s="12" t="s">
        <v>28</v>
      </c>
      <c r="P192" s="12">
        <v>68.5</v>
      </c>
      <c r="Q192" s="12" t="s">
        <v>28</v>
      </c>
      <c r="R192" s="12">
        <v>64</v>
      </c>
      <c r="S192" s="12" t="s">
        <v>28</v>
      </c>
      <c r="T192" s="12">
        <v>68.5</v>
      </c>
      <c r="U192" s="12" t="s">
        <v>28</v>
      </c>
      <c r="V192" t="s">
        <v>123</v>
      </c>
    </row>
    <row r="193" spans="1:22" s="4" customFormat="1" x14ac:dyDescent="0.3">
      <c r="A193" s="3" t="s">
        <v>23</v>
      </c>
      <c r="B193" s="4" t="s">
        <v>24</v>
      </c>
      <c r="C193" s="4" t="s">
        <v>60</v>
      </c>
      <c r="D193" s="4">
        <v>2</v>
      </c>
      <c r="E193" s="4">
        <v>24</v>
      </c>
      <c r="F193" s="5">
        <v>46059</v>
      </c>
      <c r="H193" s="4">
        <v>10</v>
      </c>
      <c r="I193" s="4" t="s">
        <v>50</v>
      </c>
      <c r="J193" s="4" t="s">
        <v>30</v>
      </c>
      <c r="T193" s="4">
        <v>0</v>
      </c>
      <c r="V193" t="s">
        <v>123</v>
      </c>
    </row>
    <row r="194" spans="1:22" s="12" customFormat="1" ht="15" thickBot="1" x14ac:dyDescent="0.35">
      <c r="A194" s="11" t="s">
        <v>23</v>
      </c>
      <c r="B194" s="12" t="s">
        <v>24</v>
      </c>
      <c r="C194" s="12" t="s">
        <v>60</v>
      </c>
      <c r="D194" s="12">
        <v>2</v>
      </c>
      <c r="E194" s="12">
        <v>24</v>
      </c>
      <c r="F194" s="13">
        <v>46059</v>
      </c>
      <c r="G194" s="12">
        <v>80</v>
      </c>
      <c r="H194" s="12">
        <v>70</v>
      </c>
      <c r="I194" s="12" t="s">
        <v>28</v>
      </c>
      <c r="J194" s="12">
        <v>57</v>
      </c>
      <c r="K194" s="12" t="s">
        <v>28</v>
      </c>
      <c r="L194" s="12">
        <v>57.5</v>
      </c>
      <c r="M194" s="12" t="s">
        <v>28</v>
      </c>
      <c r="N194" s="12">
        <v>55</v>
      </c>
      <c r="O194" s="12" t="s">
        <v>28</v>
      </c>
      <c r="P194" s="12">
        <v>62.5</v>
      </c>
      <c r="Q194" s="12" t="s">
        <v>28</v>
      </c>
      <c r="R194" s="12">
        <v>51</v>
      </c>
      <c r="S194" s="12" t="s">
        <v>28</v>
      </c>
      <c r="T194" s="12">
        <v>62.5</v>
      </c>
      <c r="U194" s="12" t="s">
        <v>28</v>
      </c>
    </row>
    <row r="195" spans="1:22" s="4" customFormat="1" x14ac:dyDescent="0.3">
      <c r="A195" s="3" t="s">
        <v>23</v>
      </c>
      <c r="B195" s="4" t="s">
        <v>24</v>
      </c>
      <c r="C195" s="4" t="s">
        <v>60</v>
      </c>
      <c r="D195" s="4">
        <v>2</v>
      </c>
      <c r="E195" s="4">
        <v>48</v>
      </c>
      <c r="F195" s="5">
        <v>46059</v>
      </c>
      <c r="H195" s="4">
        <v>75</v>
      </c>
      <c r="I195" s="4" t="s">
        <v>28</v>
      </c>
      <c r="J195" s="4" t="e">
        <v>#DIV/0!</v>
      </c>
      <c r="K195" s="4" t="s">
        <v>28</v>
      </c>
      <c r="L195" s="4" t="s">
        <v>69</v>
      </c>
      <c r="M195" s="4" t="s">
        <v>28</v>
      </c>
      <c r="N195" s="4" t="s">
        <v>70</v>
      </c>
      <c r="O195" s="4" t="s">
        <v>28</v>
      </c>
      <c r="P195" s="4" t="s">
        <v>71</v>
      </c>
      <c r="Q195" s="4" t="s">
        <v>28</v>
      </c>
      <c r="R195" s="4" t="s">
        <v>69</v>
      </c>
      <c r="S195" s="4" t="s">
        <v>28</v>
      </c>
      <c r="T195" s="4" t="s">
        <v>69</v>
      </c>
      <c r="U195" s="4" t="s">
        <v>28</v>
      </c>
      <c r="V195" t="s">
        <v>123</v>
      </c>
    </row>
    <row r="196" spans="1:22" s="12" customFormat="1" ht="15" thickBot="1" x14ac:dyDescent="0.35">
      <c r="A196" s="11" t="s">
        <v>23</v>
      </c>
      <c r="B196" s="12" t="s">
        <v>24</v>
      </c>
      <c r="C196" s="12" t="s">
        <v>60</v>
      </c>
      <c r="D196" s="12">
        <v>2</v>
      </c>
      <c r="E196" s="12">
        <v>48</v>
      </c>
      <c r="F196" s="13">
        <v>46059</v>
      </c>
      <c r="G196" s="12">
        <v>100</v>
      </c>
      <c r="H196" s="12">
        <v>25</v>
      </c>
      <c r="I196" s="12" t="s">
        <v>29</v>
      </c>
      <c r="J196" s="12" t="s">
        <v>30</v>
      </c>
      <c r="T196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CEE9-636F-466F-921D-3147F6CA4EBD}">
  <dimension ref="A1:W185"/>
  <sheetViews>
    <sheetView workbookViewId="0">
      <pane ySplit="1" topLeftCell="A2" activePane="bottomLeft" state="frozen"/>
      <selection pane="bottomLeft" activeCell="D11" sqref="D11"/>
    </sheetView>
  </sheetViews>
  <sheetFormatPr defaultRowHeight="14.4" x14ac:dyDescent="0.3"/>
  <cols>
    <col min="6" max="6" width="9.33203125" bestFit="1" customWidth="1"/>
    <col min="9" max="9" width="12.77734375" customWidth="1"/>
    <col min="10" max="10" width="11.6640625" customWidth="1"/>
    <col min="21" max="21" width="14.5546875" customWidth="1"/>
    <col min="22" max="22" width="11.77734375" customWidth="1"/>
  </cols>
  <sheetData>
    <row r="1" spans="1:23" s="17" customFormat="1" ht="58.2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</row>
    <row r="2" spans="1:23" s="4" customFormat="1" x14ac:dyDescent="0.3">
      <c r="A2" s="3" t="s">
        <v>72</v>
      </c>
      <c r="B2" s="4" t="s">
        <v>73</v>
      </c>
      <c r="C2" s="4" t="s">
        <v>25</v>
      </c>
      <c r="D2" s="4">
        <v>1</v>
      </c>
      <c r="E2" s="4">
        <v>0.5</v>
      </c>
      <c r="F2" s="5">
        <v>46184</v>
      </c>
      <c r="H2" s="4">
        <v>30</v>
      </c>
      <c r="I2" s="4" t="s">
        <v>26</v>
      </c>
      <c r="J2" s="4">
        <f>AVERAGE(L2, N2, P2, R2)</f>
        <v>89.5</v>
      </c>
      <c r="K2" s="4" t="s">
        <v>26</v>
      </c>
      <c r="L2" s="4" t="s">
        <v>80</v>
      </c>
      <c r="M2" s="4" t="s">
        <v>26</v>
      </c>
      <c r="N2" s="4">
        <v>89</v>
      </c>
      <c r="O2" s="4" t="s">
        <v>26</v>
      </c>
      <c r="P2" s="6">
        <v>95.5</v>
      </c>
      <c r="Q2" s="4" t="s">
        <v>26</v>
      </c>
      <c r="R2" s="4">
        <v>84</v>
      </c>
      <c r="S2" s="4" t="s">
        <v>26</v>
      </c>
      <c r="T2" s="4">
        <v>95.5</v>
      </c>
      <c r="U2" s="4" t="s">
        <v>26</v>
      </c>
      <c r="V2" s="7">
        <v>0.66527777777777775</v>
      </c>
    </row>
    <row r="3" spans="1:23" ht="12.6" customHeight="1" x14ac:dyDescent="0.3">
      <c r="A3" s="8" t="s">
        <v>72</v>
      </c>
      <c r="B3" t="s">
        <v>73</v>
      </c>
      <c r="C3" t="s">
        <v>25</v>
      </c>
      <c r="D3">
        <v>1</v>
      </c>
      <c r="E3">
        <v>0.5</v>
      </c>
      <c r="F3" s="9">
        <v>46184</v>
      </c>
      <c r="H3" s="10">
        <v>45</v>
      </c>
      <c r="I3" t="s">
        <v>28</v>
      </c>
      <c r="J3">
        <f>AVERAGE(L3, N3, P3, R3)</f>
        <v>52.75</v>
      </c>
      <c r="K3" t="s">
        <v>28</v>
      </c>
      <c r="L3">
        <v>60</v>
      </c>
      <c r="M3" t="s">
        <v>28</v>
      </c>
      <c r="N3">
        <v>55</v>
      </c>
      <c r="O3" t="s">
        <v>28</v>
      </c>
      <c r="P3">
        <v>43</v>
      </c>
      <c r="Q3" t="s">
        <v>28</v>
      </c>
      <c r="R3">
        <v>53</v>
      </c>
      <c r="S3" t="s">
        <v>28</v>
      </c>
      <c r="T3">
        <v>60</v>
      </c>
      <c r="U3" t="s">
        <v>28</v>
      </c>
    </row>
    <row r="4" spans="1:23" s="12" customFormat="1" ht="15" thickBot="1" x14ac:dyDescent="0.35">
      <c r="A4" s="11" t="s">
        <v>72</v>
      </c>
      <c r="B4" s="12" t="s">
        <v>73</v>
      </c>
      <c r="C4" s="12" t="s">
        <v>25</v>
      </c>
      <c r="D4" s="12">
        <v>1</v>
      </c>
      <c r="E4" s="12">
        <v>0.5</v>
      </c>
      <c r="F4" s="13">
        <v>46184</v>
      </c>
      <c r="G4" s="12">
        <f>SUM(H2:H3)</f>
        <v>75</v>
      </c>
      <c r="H4" s="12">
        <v>25</v>
      </c>
      <c r="I4" s="12" t="s">
        <v>29</v>
      </c>
      <c r="J4" s="12" t="e">
        <f t="shared" ref="J4:J63" si="0">AVERAGE(L4, N4, P4, R4)</f>
        <v>#DIV/0!</v>
      </c>
      <c r="T4" s="12">
        <v>0</v>
      </c>
    </row>
    <row r="5" spans="1:23" s="4" customFormat="1" x14ac:dyDescent="0.3">
      <c r="A5" s="3" t="s">
        <v>72</v>
      </c>
      <c r="B5" s="4" t="s">
        <v>73</v>
      </c>
      <c r="C5" s="4" t="s">
        <v>25</v>
      </c>
      <c r="D5" s="4">
        <v>1</v>
      </c>
      <c r="E5" s="4">
        <v>2</v>
      </c>
      <c r="F5" s="5">
        <v>46184</v>
      </c>
      <c r="H5" s="4">
        <v>10</v>
      </c>
      <c r="I5" s="4" t="s">
        <v>31</v>
      </c>
      <c r="J5" s="4" t="e">
        <f t="shared" si="0"/>
        <v>#DIV/0!</v>
      </c>
      <c r="U5" s="4" t="s">
        <v>28</v>
      </c>
      <c r="V5" s="7">
        <v>0.65972222222222221</v>
      </c>
      <c r="W5" s="4" t="s">
        <v>32</v>
      </c>
    </row>
    <row r="6" spans="1:23" x14ac:dyDescent="0.3">
      <c r="A6" s="8" t="s">
        <v>72</v>
      </c>
      <c r="B6" t="s">
        <v>73</v>
      </c>
      <c r="C6" t="s">
        <v>25</v>
      </c>
      <c r="D6">
        <v>1</v>
      </c>
      <c r="E6">
        <v>2</v>
      </c>
      <c r="F6" s="9">
        <v>46184</v>
      </c>
      <c r="H6" s="10">
        <v>55</v>
      </c>
      <c r="I6" t="s">
        <v>28</v>
      </c>
      <c r="J6">
        <f t="shared" si="0"/>
        <v>38.875</v>
      </c>
      <c r="K6" t="s">
        <v>28</v>
      </c>
      <c r="L6">
        <v>39</v>
      </c>
      <c r="M6" t="s">
        <v>28</v>
      </c>
      <c r="N6">
        <v>39.5</v>
      </c>
      <c r="O6" t="s">
        <v>28</v>
      </c>
      <c r="P6" s="10">
        <v>42</v>
      </c>
      <c r="Q6" t="s">
        <v>28</v>
      </c>
      <c r="R6">
        <v>35</v>
      </c>
      <c r="S6" t="s">
        <v>28</v>
      </c>
      <c r="T6">
        <v>42</v>
      </c>
    </row>
    <row r="7" spans="1:23" s="12" customFormat="1" ht="15" thickBot="1" x14ac:dyDescent="0.35">
      <c r="A7" s="11" t="s">
        <v>72</v>
      </c>
      <c r="B7" s="12" t="s">
        <v>73</v>
      </c>
      <c r="C7" s="12" t="s">
        <v>25</v>
      </c>
      <c r="D7" s="12">
        <v>1</v>
      </c>
      <c r="E7" s="12">
        <v>2</v>
      </c>
      <c r="F7" s="13">
        <v>46184</v>
      </c>
      <c r="G7" s="12">
        <f>SUM(H5:H6)</f>
        <v>65</v>
      </c>
      <c r="H7" s="12">
        <v>35</v>
      </c>
      <c r="I7" s="12" t="s">
        <v>29</v>
      </c>
      <c r="J7" s="12" t="e">
        <f t="shared" si="0"/>
        <v>#DIV/0!</v>
      </c>
      <c r="T7" s="12">
        <v>0</v>
      </c>
    </row>
    <row r="8" spans="1:23" s="4" customFormat="1" x14ac:dyDescent="0.3">
      <c r="A8" s="3" t="s">
        <v>72</v>
      </c>
      <c r="B8" s="4" t="s">
        <v>73</v>
      </c>
      <c r="C8" s="4" t="s">
        <v>25</v>
      </c>
      <c r="D8" s="4">
        <v>1</v>
      </c>
      <c r="E8" s="4">
        <v>6</v>
      </c>
      <c r="F8" s="5">
        <v>46184</v>
      </c>
      <c r="H8" s="4">
        <v>90</v>
      </c>
      <c r="I8" s="4" t="s">
        <v>28</v>
      </c>
      <c r="J8" s="4">
        <f t="shared" si="0"/>
        <v>38.875</v>
      </c>
      <c r="K8" s="4" t="s">
        <v>28</v>
      </c>
      <c r="L8" s="6">
        <v>44</v>
      </c>
      <c r="M8" s="4" t="s">
        <v>28</v>
      </c>
      <c r="N8" s="4">
        <v>35</v>
      </c>
      <c r="O8" s="4" t="s">
        <v>28</v>
      </c>
      <c r="P8" s="4">
        <v>38</v>
      </c>
      <c r="Q8" s="4" t="s">
        <v>28</v>
      </c>
      <c r="R8" s="4">
        <v>38.5</v>
      </c>
      <c r="S8" s="4" t="s">
        <v>28</v>
      </c>
      <c r="T8" s="4">
        <v>44</v>
      </c>
      <c r="U8" s="4" t="s">
        <v>28</v>
      </c>
      <c r="V8" s="7">
        <v>0.64861111111111114</v>
      </c>
      <c r="W8" s="4" t="s">
        <v>74</v>
      </c>
    </row>
    <row r="9" spans="1:23" x14ac:dyDescent="0.3">
      <c r="A9" s="8" t="s">
        <v>72</v>
      </c>
      <c r="B9" t="s">
        <v>73</v>
      </c>
      <c r="C9" t="s">
        <v>25</v>
      </c>
      <c r="D9">
        <v>1</v>
      </c>
      <c r="E9">
        <v>6</v>
      </c>
      <c r="F9" s="9">
        <v>46184</v>
      </c>
      <c r="H9">
        <v>5</v>
      </c>
      <c r="I9" t="s">
        <v>31</v>
      </c>
      <c r="J9" t="e">
        <f t="shared" si="0"/>
        <v>#DIV/0!</v>
      </c>
      <c r="T9">
        <v>0</v>
      </c>
    </row>
    <row r="10" spans="1:23" s="12" customFormat="1" ht="15" thickBot="1" x14ac:dyDescent="0.35">
      <c r="A10" s="11" t="s">
        <v>72</v>
      </c>
      <c r="B10" s="12" t="s">
        <v>73</v>
      </c>
      <c r="C10" s="12" t="s">
        <v>25</v>
      </c>
      <c r="D10" s="12">
        <v>1</v>
      </c>
      <c r="E10" s="12">
        <v>6</v>
      </c>
      <c r="F10" s="13">
        <v>46184</v>
      </c>
      <c r="G10" s="12">
        <f>SUM(H8:H9)</f>
        <v>95</v>
      </c>
      <c r="H10" s="12">
        <v>5</v>
      </c>
      <c r="I10" s="12" t="s">
        <v>29</v>
      </c>
      <c r="J10" s="12" t="e">
        <f t="shared" si="0"/>
        <v>#DIV/0!</v>
      </c>
      <c r="T10" s="12">
        <v>0</v>
      </c>
    </row>
    <row r="11" spans="1:23" s="4" customFormat="1" x14ac:dyDescent="0.3">
      <c r="A11" s="3" t="s">
        <v>72</v>
      </c>
      <c r="B11" s="4" t="s">
        <v>73</v>
      </c>
      <c r="C11" s="4" t="s">
        <v>25</v>
      </c>
      <c r="D11" s="4">
        <v>1</v>
      </c>
      <c r="E11" s="4">
        <v>12</v>
      </c>
      <c r="F11" s="5">
        <v>46184</v>
      </c>
      <c r="H11" s="4">
        <v>10</v>
      </c>
      <c r="I11" s="4" t="s">
        <v>29</v>
      </c>
      <c r="J11" s="4" t="e">
        <f t="shared" si="0"/>
        <v>#DIV/0!</v>
      </c>
      <c r="L11" s="4" t="s">
        <v>33</v>
      </c>
      <c r="T11" s="4">
        <v>0</v>
      </c>
    </row>
    <row r="12" spans="1:23" x14ac:dyDescent="0.3">
      <c r="A12" s="8" t="s">
        <v>72</v>
      </c>
      <c r="B12" t="s">
        <v>73</v>
      </c>
      <c r="C12" t="s">
        <v>25</v>
      </c>
      <c r="D12">
        <v>1</v>
      </c>
      <c r="E12">
        <v>12</v>
      </c>
      <c r="F12" s="9">
        <v>46184</v>
      </c>
      <c r="H12">
        <v>5</v>
      </c>
      <c r="I12" t="s">
        <v>31</v>
      </c>
      <c r="J12" t="e">
        <f t="shared" si="0"/>
        <v>#DIV/0!</v>
      </c>
    </row>
    <row r="13" spans="1:23" s="12" customFormat="1" ht="15" thickBot="1" x14ac:dyDescent="0.35">
      <c r="A13" s="11" t="s">
        <v>72</v>
      </c>
      <c r="B13" s="12" t="s">
        <v>73</v>
      </c>
      <c r="C13" s="12" t="s">
        <v>25</v>
      </c>
      <c r="D13" s="12">
        <v>1</v>
      </c>
      <c r="E13" s="12">
        <v>12</v>
      </c>
      <c r="F13" s="13">
        <v>46184</v>
      </c>
      <c r="G13" s="12">
        <f>SUM(H12:H13)</f>
        <v>95</v>
      </c>
      <c r="H13" s="14">
        <v>90</v>
      </c>
      <c r="I13" s="12" t="s">
        <v>28</v>
      </c>
      <c r="J13" s="12">
        <f t="shared" si="0"/>
        <v>36.875</v>
      </c>
      <c r="K13" s="12" t="s">
        <v>28</v>
      </c>
      <c r="L13" s="12">
        <v>36.5</v>
      </c>
      <c r="M13" s="12" t="s">
        <v>28</v>
      </c>
      <c r="N13" s="12">
        <v>34.5</v>
      </c>
      <c r="O13" s="12" t="s">
        <v>28</v>
      </c>
      <c r="P13" s="12">
        <v>37.5</v>
      </c>
      <c r="Q13" s="12" t="s">
        <v>28</v>
      </c>
      <c r="R13" s="14">
        <v>39</v>
      </c>
      <c r="S13" s="12" t="s">
        <v>28</v>
      </c>
      <c r="T13" s="12">
        <v>39</v>
      </c>
      <c r="U13" s="12" t="s">
        <v>28</v>
      </c>
      <c r="V13" s="15">
        <v>0.64652777777777781</v>
      </c>
    </row>
    <row r="14" spans="1:23" s="4" customFormat="1" x14ac:dyDescent="0.3">
      <c r="A14" s="3" t="s">
        <v>72</v>
      </c>
      <c r="B14" s="4" t="s">
        <v>73</v>
      </c>
      <c r="C14" s="4" t="s">
        <v>25</v>
      </c>
      <c r="D14" s="4">
        <v>1</v>
      </c>
      <c r="E14" s="4">
        <v>18</v>
      </c>
      <c r="F14" s="5">
        <v>46184</v>
      </c>
      <c r="H14" s="4">
        <v>10</v>
      </c>
      <c r="I14" s="4" t="s">
        <v>31</v>
      </c>
      <c r="J14" s="4" t="e">
        <f t="shared" si="0"/>
        <v>#DIV/0!</v>
      </c>
      <c r="T14" s="4">
        <v>0</v>
      </c>
    </row>
    <row r="15" spans="1:23" x14ac:dyDescent="0.3">
      <c r="A15" s="8" t="s">
        <v>72</v>
      </c>
      <c r="B15" t="s">
        <v>73</v>
      </c>
      <c r="C15" t="s">
        <v>25</v>
      </c>
      <c r="D15">
        <v>1</v>
      </c>
      <c r="E15">
        <v>18</v>
      </c>
      <c r="F15" s="9">
        <v>46184</v>
      </c>
      <c r="H15" s="10">
        <v>65</v>
      </c>
      <c r="I15" t="s">
        <v>34</v>
      </c>
      <c r="J15">
        <f t="shared" si="0"/>
        <v>20.75</v>
      </c>
      <c r="K15" t="s">
        <v>34</v>
      </c>
      <c r="L15">
        <v>20</v>
      </c>
      <c r="M15" t="s">
        <v>34</v>
      </c>
      <c r="N15" s="10">
        <v>23</v>
      </c>
      <c r="O15" t="s">
        <v>34</v>
      </c>
      <c r="P15">
        <v>20</v>
      </c>
      <c r="Q15" t="s">
        <v>34</v>
      </c>
      <c r="R15">
        <v>20</v>
      </c>
      <c r="S15" t="s">
        <v>34</v>
      </c>
      <c r="T15">
        <v>18.5</v>
      </c>
      <c r="U15" t="s">
        <v>34</v>
      </c>
      <c r="V15" s="16">
        <v>0.63472222222222219</v>
      </c>
      <c r="W15" t="s">
        <v>81</v>
      </c>
    </row>
    <row r="16" spans="1:23" x14ac:dyDescent="0.3">
      <c r="A16" s="8" t="s">
        <v>72</v>
      </c>
      <c r="B16" t="s">
        <v>73</v>
      </c>
      <c r="C16" t="s">
        <v>25</v>
      </c>
      <c r="D16">
        <v>1</v>
      </c>
      <c r="E16">
        <v>18</v>
      </c>
      <c r="F16" s="9">
        <v>46184</v>
      </c>
      <c r="H16" s="10">
        <v>15</v>
      </c>
      <c r="I16" t="s">
        <v>28</v>
      </c>
      <c r="J16">
        <f t="shared" si="0"/>
        <v>30.75</v>
      </c>
      <c r="K16" t="s">
        <v>28</v>
      </c>
      <c r="L16">
        <v>26.5</v>
      </c>
      <c r="M16" t="s">
        <v>28</v>
      </c>
      <c r="N16" t="s">
        <v>80</v>
      </c>
      <c r="O16" t="s">
        <v>28</v>
      </c>
      <c r="P16" t="s">
        <v>80</v>
      </c>
      <c r="Q16" t="s">
        <v>28</v>
      </c>
      <c r="R16" s="10">
        <v>35</v>
      </c>
      <c r="S16" t="s">
        <v>28</v>
      </c>
      <c r="T16">
        <v>35</v>
      </c>
      <c r="U16" t="s">
        <v>28</v>
      </c>
    </row>
    <row r="17" spans="1:23" x14ac:dyDescent="0.3">
      <c r="A17" s="8" t="s">
        <v>72</v>
      </c>
      <c r="B17" t="s">
        <v>73</v>
      </c>
      <c r="C17" t="s">
        <v>25</v>
      </c>
      <c r="D17">
        <v>1</v>
      </c>
      <c r="E17">
        <v>18</v>
      </c>
      <c r="F17" s="9">
        <v>46184</v>
      </c>
      <c r="H17">
        <v>5</v>
      </c>
      <c r="I17" t="s">
        <v>35</v>
      </c>
      <c r="J17" t="e">
        <f t="shared" si="0"/>
        <v>#DIV/0!</v>
      </c>
      <c r="T17">
        <v>0</v>
      </c>
    </row>
    <row r="18" spans="1:23" x14ac:dyDescent="0.3">
      <c r="A18" s="8" t="s">
        <v>72</v>
      </c>
      <c r="B18" t="s">
        <v>73</v>
      </c>
      <c r="C18" t="s">
        <v>25</v>
      </c>
      <c r="D18">
        <v>1</v>
      </c>
      <c r="E18">
        <v>18</v>
      </c>
      <c r="F18" s="9">
        <v>46184</v>
      </c>
      <c r="H18">
        <v>10</v>
      </c>
      <c r="I18" t="s">
        <v>29</v>
      </c>
      <c r="J18" t="e">
        <f t="shared" si="0"/>
        <v>#DIV/0!</v>
      </c>
      <c r="T18">
        <v>0</v>
      </c>
    </row>
    <row r="19" spans="1:23" s="12" customFormat="1" ht="15" thickBot="1" x14ac:dyDescent="0.35">
      <c r="A19" s="11" t="s">
        <v>72</v>
      </c>
      <c r="B19" s="12" t="s">
        <v>73</v>
      </c>
      <c r="C19" s="12" t="s">
        <v>25</v>
      </c>
      <c r="D19" s="12">
        <v>1</v>
      </c>
      <c r="E19" s="12">
        <v>18</v>
      </c>
      <c r="F19" s="13">
        <v>46184</v>
      </c>
      <c r="G19" s="12">
        <f>SUM(H14:H17, H19)</f>
        <v>105</v>
      </c>
      <c r="H19" s="12">
        <v>10</v>
      </c>
      <c r="I19" s="12" t="s">
        <v>36</v>
      </c>
      <c r="J19" s="12" t="e">
        <f t="shared" si="0"/>
        <v>#DIV/0!</v>
      </c>
      <c r="T19" s="12">
        <v>0</v>
      </c>
    </row>
    <row r="20" spans="1:23" s="4" customFormat="1" x14ac:dyDescent="0.3">
      <c r="A20" s="3" t="s">
        <v>72</v>
      </c>
      <c r="B20" s="4" t="s">
        <v>73</v>
      </c>
      <c r="C20" s="4" t="s">
        <v>25</v>
      </c>
      <c r="D20" s="4">
        <v>1</v>
      </c>
      <c r="E20" s="4">
        <v>24</v>
      </c>
      <c r="F20" s="5">
        <v>46184</v>
      </c>
      <c r="H20" s="6">
        <v>35</v>
      </c>
      <c r="I20" s="4" t="s">
        <v>28</v>
      </c>
      <c r="J20" s="4">
        <f t="shared" si="0"/>
        <v>30.375</v>
      </c>
      <c r="K20" s="4" t="s">
        <v>28</v>
      </c>
      <c r="L20" s="4">
        <v>23</v>
      </c>
      <c r="M20" s="4" t="s">
        <v>28</v>
      </c>
      <c r="N20" s="4">
        <v>34</v>
      </c>
      <c r="O20" s="4" t="s">
        <v>28</v>
      </c>
      <c r="P20" s="6">
        <v>38.5</v>
      </c>
      <c r="Q20" s="4" t="s">
        <v>28</v>
      </c>
      <c r="R20" s="4">
        <v>26</v>
      </c>
      <c r="S20" s="4" t="s">
        <v>28</v>
      </c>
      <c r="T20" s="4">
        <v>38.5</v>
      </c>
      <c r="U20" s="4" t="s">
        <v>28</v>
      </c>
      <c r="V20" s="7">
        <v>0.625</v>
      </c>
      <c r="W20" s="4" t="s">
        <v>37</v>
      </c>
    </row>
    <row r="21" spans="1:23" x14ac:dyDescent="0.3">
      <c r="A21" s="8" t="s">
        <v>72</v>
      </c>
      <c r="B21" t="s">
        <v>73</v>
      </c>
      <c r="C21" t="s">
        <v>25</v>
      </c>
      <c r="D21">
        <v>1</v>
      </c>
      <c r="E21">
        <v>24</v>
      </c>
      <c r="F21" s="9">
        <v>46184</v>
      </c>
      <c r="H21">
        <v>25</v>
      </c>
      <c r="I21" t="s">
        <v>36</v>
      </c>
      <c r="J21" t="e">
        <f t="shared" si="0"/>
        <v>#DIV/0!</v>
      </c>
      <c r="T21">
        <v>17</v>
      </c>
      <c r="U21" t="s">
        <v>36</v>
      </c>
      <c r="W21" t="s">
        <v>82</v>
      </c>
    </row>
    <row r="22" spans="1:23" x14ac:dyDescent="0.3">
      <c r="A22" s="8" t="s">
        <v>72</v>
      </c>
      <c r="B22" t="s">
        <v>73</v>
      </c>
      <c r="C22" t="s">
        <v>25</v>
      </c>
      <c r="D22">
        <v>1</v>
      </c>
      <c r="E22">
        <v>24</v>
      </c>
      <c r="F22" s="9">
        <v>46184</v>
      </c>
      <c r="H22">
        <v>15</v>
      </c>
      <c r="I22" t="s">
        <v>31</v>
      </c>
      <c r="J22" t="e">
        <f t="shared" si="0"/>
        <v>#DIV/0!</v>
      </c>
      <c r="T22">
        <v>0</v>
      </c>
    </row>
    <row r="23" spans="1:23" x14ac:dyDescent="0.3">
      <c r="A23" s="8" t="s">
        <v>72</v>
      </c>
      <c r="B23" t="s">
        <v>73</v>
      </c>
      <c r="C23" t="s">
        <v>25</v>
      </c>
      <c r="D23">
        <v>1</v>
      </c>
      <c r="E23">
        <v>24</v>
      </c>
      <c r="F23" s="9">
        <v>46184</v>
      </c>
      <c r="H23">
        <v>25</v>
      </c>
      <c r="I23" t="s">
        <v>35</v>
      </c>
      <c r="J23" t="e">
        <f t="shared" si="0"/>
        <v>#DIV/0!</v>
      </c>
      <c r="T23">
        <v>0</v>
      </c>
    </row>
    <row r="24" spans="1:23" x14ac:dyDescent="0.3">
      <c r="A24" s="8" t="s">
        <v>72</v>
      </c>
      <c r="B24" t="s">
        <v>73</v>
      </c>
      <c r="C24" t="s">
        <v>25</v>
      </c>
      <c r="D24">
        <v>1</v>
      </c>
      <c r="E24">
        <v>24</v>
      </c>
      <c r="F24" s="9">
        <v>46184</v>
      </c>
      <c r="H24">
        <v>30</v>
      </c>
      <c r="I24" t="s">
        <v>29</v>
      </c>
      <c r="J24" t="e">
        <f t="shared" si="0"/>
        <v>#DIV/0!</v>
      </c>
      <c r="T24">
        <v>0</v>
      </c>
    </row>
    <row r="25" spans="1:23" s="12" customFormat="1" ht="15" thickBot="1" x14ac:dyDescent="0.35">
      <c r="A25" s="11" t="s">
        <v>72</v>
      </c>
      <c r="B25" s="12" t="s">
        <v>73</v>
      </c>
      <c r="C25" s="12" t="s">
        <v>25</v>
      </c>
      <c r="D25" s="12">
        <v>1</v>
      </c>
      <c r="E25" s="12">
        <v>24</v>
      </c>
      <c r="F25" s="13">
        <v>46184</v>
      </c>
      <c r="G25" s="12">
        <f>SUM(H20:H23, H25)</f>
        <v>140</v>
      </c>
      <c r="H25" s="14">
        <v>40</v>
      </c>
      <c r="I25" s="12" t="s">
        <v>34</v>
      </c>
      <c r="J25" s="12">
        <f t="shared" si="0"/>
        <v>15.75</v>
      </c>
      <c r="K25" s="12" t="s">
        <v>38</v>
      </c>
      <c r="L25" s="14">
        <v>17</v>
      </c>
      <c r="N25" s="12">
        <v>12</v>
      </c>
      <c r="P25" s="14">
        <v>17</v>
      </c>
      <c r="R25" s="14">
        <v>17</v>
      </c>
      <c r="T25" s="12">
        <v>18.5</v>
      </c>
      <c r="U25" s="12" t="s">
        <v>38</v>
      </c>
    </row>
    <row r="26" spans="1:23" s="4" customFormat="1" x14ac:dyDescent="0.3">
      <c r="A26" s="3" t="s">
        <v>72</v>
      </c>
      <c r="B26" s="4" t="s">
        <v>73</v>
      </c>
      <c r="C26" s="4" t="s">
        <v>25</v>
      </c>
      <c r="D26" s="4">
        <v>1</v>
      </c>
      <c r="E26" s="4">
        <v>48</v>
      </c>
      <c r="F26" s="5">
        <v>46184</v>
      </c>
      <c r="H26" s="6">
        <v>75</v>
      </c>
      <c r="I26" s="4" t="s">
        <v>28</v>
      </c>
      <c r="J26" s="4">
        <f t="shared" si="0"/>
        <v>35</v>
      </c>
      <c r="K26" s="4" t="s">
        <v>28</v>
      </c>
      <c r="L26" s="4">
        <v>31.5</v>
      </c>
      <c r="M26" s="4" t="s">
        <v>28</v>
      </c>
      <c r="N26" s="6">
        <v>40.5</v>
      </c>
      <c r="O26" s="4" t="s">
        <v>28</v>
      </c>
      <c r="P26" s="6">
        <v>35</v>
      </c>
      <c r="Q26" s="4" t="s">
        <v>28</v>
      </c>
      <c r="R26" s="4">
        <v>33</v>
      </c>
      <c r="S26" s="4" t="s">
        <v>28</v>
      </c>
      <c r="T26" s="4">
        <v>40.5</v>
      </c>
      <c r="U26" s="4" t="s">
        <v>28</v>
      </c>
      <c r="V26" s="7">
        <v>0.61597222222222225</v>
      </c>
    </row>
    <row r="27" spans="1:23" x14ac:dyDescent="0.3">
      <c r="A27" s="8" t="s">
        <v>72</v>
      </c>
      <c r="B27" t="s">
        <v>73</v>
      </c>
      <c r="C27" t="s">
        <v>25</v>
      </c>
      <c r="D27">
        <v>1</v>
      </c>
      <c r="E27">
        <v>48</v>
      </c>
      <c r="F27" s="9">
        <v>46184</v>
      </c>
      <c r="H27">
        <v>15</v>
      </c>
      <c r="I27" t="s">
        <v>36</v>
      </c>
      <c r="J27" t="e">
        <f t="shared" si="0"/>
        <v>#DIV/0!</v>
      </c>
      <c r="T27">
        <v>0</v>
      </c>
      <c r="W27" t="s">
        <v>83</v>
      </c>
    </row>
    <row r="28" spans="1:23" x14ac:dyDescent="0.3">
      <c r="A28" s="8" t="s">
        <v>72</v>
      </c>
      <c r="B28" t="s">
        <v>73</v>
      </c>
      <c r="C28" t="s">
        <v>25</v>
      </c>
      <c r="D28">
        <v>1</v>
      </c>
      <c r="E28">
        <v>48</v>
      </c>
      <c r="F28" s="9">
        <v>46184</v>
      </c>
      <c r="H28">
        <v>5</v>
      </c>
      <c r="I28" t="s">
        <v>29</v>
      </c>
      <c r="J28" t="e">
        <f t="shared" si="0"/>
        <v>#DIV/0!</v>
      </c>
      <c r="T28">
        <v>0</v>
      </c>
    </row>
    <row r="29" spans="1:23" s="12" customFormat="1" ht="15" thickBot="1" x14ac:dyDescent="0.35">
      <c r="A29" s="11" t="s">
        <v>72</v>
      </c>
      <c r="B29" s="12" t="s">
        <v>73</v>
      </c>
      <c r="C29" s="12" t="s">
        <v>25</v>
      </c>
      <c r="D29" s="12">
        <v>1</v>
      </c>
      <c r="E29" s="12">
        <v>48</v>
      </c>
      <c r="F29" s="13">
        <v>46184</v>
      </c>
      <c r="G29" s="12">
        <f>SUM(H26:H27, H29)</f>
        <v>100</v>
      </c>
      <c r="H29" s="12">
        <v>10</v>
      </c>
      <c r="I29" s="12" t="s">
        <v>31</v>
      </c>
      <c r="J29" s="12" t="e">
        <f t="shared" si="0"/>
        <v>#DIV/0!</v>
      </c>
      <c r="T29" s="12">
        <v>0</v>
      </c>
    </row>
    <row r="30" spans="1:23" s="4" customFormat="1" x14ac:dyDescent="0.3">
      <c r="A30" s="3" t="s">
        <v>72</v>
      </c>
      <c r="B30" s="4" t="s">
        <v>73</v>
      </c>
      <c r="C30" s="4" t="s">
        <v>25</v>
      </c>
      <c r="D30" s="4">
        <v>2</v>
      </c>
      <c r="E30" s="4">
        <v>0.5</v>
      </c>
      <c r="F30" s="5">
        <v>46184</v>
      </c>
      <c r="H30" s="6">
        <v>10</v>
      </c>
      <c r="I30" s="4" t="s">
        <v>26</v>
      </c>
      <c r="J30" s="4">
        <f t="shared" si="0"/>
        <v>64.75</v>
      </c>
      <c r="K30" s="4" t="s">
        <v>26</v>
      </c>
      <c r="L30" s="4">
        <v>67</v>
      </c>
      <c r="N30" s="6">
        <v>71.5</v>
      </c>
      <c r="P30" s="4">
        <v>66.5</v>
      </c>
      <c r="R30" s="4">
        <v>54</v>
      </c>
      <c r="T30" s="4">
        <v>71.5</v>
      </c>
      <c r="V30" s="7">
        <v>0.67847222222222225</v>
      </c>
    </row>
    <row r="31" spans="1:23" x14ac:dyDescent="0.3">
      <c r="A31" s="8" t="s">
        <v>72</v>
      </c>
      <c r="B31" t="s">
        <v>73</v>
      </c>
      <c r="C31" t="s">
        <v>25</v>
      </c>
      <c r="D31">
        <v>2</v>
      </c>
      <c r="E31">
        <v>0.5</v>
      </c>
      <c r="F31" s="9">
        <v>46184</v>
      </c>
      <c r="H31" s="10">
        <v>50</v>
      </c>
      <c r="I31" t="s">
        <v>28</v>
      </c>
      <c r="J31">
        <f t="shared" si="0"/>
        <v>40.125</v>
      </c>
      <c r="K31" t="s">
        <v>28</v>
      </c>
      <c r="L31">
        <v>34.5</v>
      </c>
      <c r="M31" t="s">
        <v>28</v>
      </c>
      <c r="N31">
        <v>41</v>
      </c>
      <c r="O31" t="s">
        <v>28</v>
      </c>
      <c r="P31" s="10">
        <v>46</v>
      </c>
      <c r="Q31" t="s">
        <v>28</v>
      </c>
      <c r="R31">
        <v>39</v>
      </c>
      <c r="S31" t="s">
        <v>28</v>
      </c>
      <c r="T31">
        <v>46</v>
      </c>
      <c r="U31" t="s">
        <v>28</v>
      </c>
    </row>
    <row r="32" spans="1:23" x14ac:dyDescent="0.3">
      <c r="A32" s="8" t="s">
        <v>72</v>
      </c>
      <c r="B32" t="s">
        <v>73</v>
      </c>
      <c r="C32" t="s">
        <v>25</v>
      </c>
      <c r="D32">
        <v>2</v>
      </c>
      <c r="E32">
        <v>0.5</v>
      </c>
      <c r="F32" s="9">
        <v>46184</v>
      </c>
      <c r="H32">
        <v>25</v>
      </c>
      <c r="I32" t="s">
        <v>31</v>
      </c>
      <c r="J32" t="e">
        <f t="shared" si="0"/>
        <v>#DIV/0!</v>
      </c>
      <c r="T32">
        <v>0</v>
      </c>
    </row>
    <row r="33" spans="1:23" s="12" customFormat="1" ht="15" thickBot="1" x14ac:dyDescent="0.35">
      <c r="A33" s="11" t="s">
        <v>72</v>
      </c>
      <c r="B33" s="12" t="s">
        <v>73</v>
      </c>
      <c r="C33" s="12" t="s">
        <v>25</v>
      </c>
      <c r="D33" s="12">
        <v>2</v>
      </c>
      <c r="E33" s="12">
        <v>0.5</v>
      </c>
      <c r="F33" s="13">
        <v>46184</v>
      </c>
      <c r="G33" s="12">
        <f>SUM(H30:H33)</f>
        <v>130</v>
      </c>
      <c r="H33" s="12">
        <v>45</v>
      </c>
      <c r="I33" s="12" t="s">
        <v>36</v>
      </c>
      <c r="J33" s="12" t="e">
        <f t="shared" si="0"/>
        <v>#DIV/0!</v>
      </c>
      <c r="T33" s="12">
        <v>32</v>
      </c>
    </row>
    <row r="34" spans="1:23" s="4" customFormat="1" x14ac:dyDescent="0.3">
      <c r="A34" s="3" t="s">
        <v>72</v>
      </c>
      <c r="B34" s="4" t="s">
        <v>73</v>
      </c>
      <c r="C34" s="4" t="s">
        <v>25</v>
      </c>
      <c r="D34" s="4">
        <v>2</v>
      </c>
      <c r="E34" s="4">
        <v>2</v>
      </c>
      <c r="F34" s="5">
        <v>46184</v>
      </c>
      <c r="H34" s="6">
        <v>55</v>
      </c>
      <c r="I34" s="4" t="s">
        <v>28</v>
      </c>
      <c r="J34" s="4">
        <f t="shared" si="0"/>
        <v>33.875</v>
      </c>
      <c r="K34" s="4" t="s">
        <v>28</v>
      </c>
      <c r="L34" s="4">
        <v>32.5</v>
      </c>
      <c r="M34" s="4" t="s">
        <v>28</v>
      </c>
      <c r="N34" s="4">
        <v>33</v>
      </c>
      <c r="O34" s="4" t="s">
        <v>28</v>
      </c>
      <c r="P34" s="6">
        <v>35</v>
      </c>
      <c r="Q34" s="4" t="s">
        <v>28</v>
      </c>
      <c r="R34" s="6">
        <v>35</v>
      </c>
      <c r="S34" s="4" t="s">
        <v>28</v>
      </c>
      <c r="T34" s="4">
        <v>35</v>
      </c>
      <c r="U34" s="4" t="s">
        <v>28</v>
      </c>
      <c r="V34" s="7">
        <v>0.68680555555555556</v>
      </c>
    </row>
    <row r="35" spans="1:23" x14ac:dyDescent="0.3">
      <c r="A35" s="8" t="s">
        <v>72</v>
      </c>
      <c r="B35" t="s">
        <v>73</v>
      </c>
      <c r="C35" t="s">
        <v>25</v>
      </c>
      <c r="D35">
        <v>2</v>
      </c>
      <c r="E35">
        <v>2</v>
      </c>
      <c r="F35" s="9">
        <v>46184</v>
      </c>
      <c r="H35">
        <v>20</v>
      </c>
      <c r="I35" t="s">
        <v>31</v>
      </c>
      <c r="J35" t="e">
        <f t="shared" si="0"/>
        <v>#DIV/0!</v>
      </c>
      <c r="T35">
        <v>0</v>
      </c>
    </row>
    <row r="36" spans="1:23" x14ac:dyDescent="0.3">
      <c r="A36" s="8" t="s">
        <v>72</v>
      </c>
      <c r="B36" t="s">
        <v>73</v>
      </c>
      <c r="C36" t="s">
        <v>25</v>
      </c>
      <c r="D36">
        <v>2</v>
      </c>
      <c r="E36">
        <v>2</v>
      </c>
      <c r="F36" s="9">
        <v>46184</v>
      </c>
      <c r="H36">
        <v>30</v>
      </c>
      <c r="I36" t="s">
        <v>36</v>
      </c>
      <c r="J36" t="e">
        <f t="shared" si="0"/>
        <v>#DIV/0!</v>
      </c>
      <c r="T36">
        <v>0</v>
      </c>
    </row>
    <row r="37" spans="1:23" s="12" customFormat="1" ht="15" thickBot="1" x14ac:dyDescent="0.35">
      <c r="A37" s="11" t="s">
        <v>72</v>
      </c>
      <c r="B37" s="12" t="s">
        <v>73</v>
      </c>
      <c r="C37" s="12" t="s">
        <v>25</v>
      </c>
      <c r="D37" s="12">
        <v>2</v>
      </c>
      <c r="E37" s="12">
        <v>2</v>
      </c>
      <c r="F37" s="13">
        <v>46184</v>
      </c>
      <c r="G37" s="12">
        <f>SUM(H34:H36)</f>
        <v>105</v>
      </c>
      <c r="H37" s="12">
        <v>5</v>
      </c>
      <c r="I37" s="12" t="s">
        <v>29</v>
      </c>
      <c r="J37" s="12" t="e">
        <f t="shared" si="0"/>
        <v>#DIV/0!</v>
      </c>
      <c r="T37" s="12">
        <v>0</v>
      </c>
    </row>
    <row r="38" spans="1:23" s="4" customFormat="1" x14ac:dyDescent="0.3">
      <c r="A38" s="3" t="s">
        <v>72</v>
      </c>
      <c r="B38" s="4" t="s">
        <v>73</v>
      </c>
      <c r="C38" s="4" t="s">
        <v>25</v>
      </c>
      <c r="D38" s="4">
        <v>2</v>
      </c>
      <c r="E38" s="4">
        <v>6</v>
      </c>
      <c r="F38" s="5">
        <v>46184</v>
      </c>
      <c r="H38" s="6">
        <v>85</v>
      </c>
      <c r="I38" s="4" t="s">
        <v>28</v>
      </c>
      <c r="J38" s="4">
        <f t="shared" si="0"/>
        <v>36.5</v>
      </c>
      <c r="K38" s="4" t="s">
        <v>28</v>
      </c>
      <c r="L38" s="4">
        <v>32</v>
      </c>
      <c r="M38" s="4" t="s">
        <v>28</v>
      </c>
      <c r="N38" s="6">
        <v>44</v>
      </c>
      <c r="O38" s="4" t="s">
        <v>28</v>
      </c>
      <c r="P38" s="4">
        <v>35</v>
      </c>
      <c r="Q38" s="4" t="s">
        <v>28</v>
      </c>
      <c r="R38" s="4">
        <v>35</v>
      </c>
      <c r="S38" s="4" t="s">
        <v>28</v>
      </c>
      <c r="T38" s="4">
        <v>44</v>
      </c>
      <c r="U38" s="4" t="s">
        <v>28</v>
      </c>
      <c r="V38" s="7">
        <v>0.69305555555555554</v>
      </c>
      <c r="W38" s="4" t="s">
        <v>78</v>
      </c>
    </row>
    <row r="39" spans="1:23" x14ac:dyDescent="0.3">
      <c r="A39" s="8" t="s">
        <v>72</v>
      </c>
      <c r="B39" t="s">
        <v>73</v>
      </c>
      <c r="C39" t="s">
        <v>25</v>
      </c>
      <c r="D39">
        <v>2</v>
      </c>
      <c r="E39">
        <v>6</v>
      </c>
      <c r="F39" s="9">
        <v>46184</v>
      </c>
      <c r="H39">
        <v>10</v>
      </c>
      <c r="I39" t="s">
        <v>31</v>
      </c>
      <c r="J39" t="e">
        <f t="shared" si="0"/>
        <v>#DIV/0!</v>
      </c>
      <c r="T39">
        <v>0</v>
      </c>
    </row>
    <row r="40" spans="1:23" s="12" customFormat="1" ht="15" thickBot="1" x14ac:dyDescent="0.35">
      <c r="A40" s="11" t="s">
        <v>72</v>
      </c>
      <c r="B40" s="12" t="s">
        <v>73</v>
      </c>
      <c r="C40" s="12" t="s">
        <v>25</v>
      </c>
      <c r="D40" s="12">
        <v>2</v>
      </c>
      <c r="E40" s="12">
        <v>6</v>
      </c>
      <c r="F40" s="13">
        <v>46184</v>
      </c>
      <c r="G40" s="12">
        <f>SUM(H38:H40)</f>
        <v>100</v>
      </c>
      <c r="H40" s="12">
        <v>5</v>
      </c>
      <c r="I40" s="12" t="s">
        <v>36</v>
      </c>
      <c r="J40" s="12" t="e">
        <f t="shared" si="0"/>
        <v>#DIV/0!</v>
      </c>
      <c r="T40" s="12">
        <v>0</v>
      </c>
    </row>
    <row r="41" spans="1:23" s="4" customFormat="1" x14ac:dyDescent="0.3">
      <c r="A41" s="3" t="s">
        <v>72</v>
      </c>
      <c r="B41" s="4" t="s">
        <v>73</v>
      </c>
      <c r="C41" s="4" t="s">
        <v>25</v>
      </c>
      <c r="D41" s="4">
        <v>2</v>
      </c>
      <c r="E41" s="4">
        <v>12</v>
      </c>
      <c r="F41" s="5">
        <v>46184</v>
      </c>
      <c r="H41" s="6">
        <v>75</v>
      </c>
      <c r="I41" s="4" t="s">
        <v>28</v>
      </c>
      <c r="J41" s="4">
        <f t="shared" si="0"/>
        <v>35.25</v>
      </c>
      <c r="K41" s="4" t="s">
        <v>28</v>
      </c>
      <c r="L41" s="4">
        <v>31.5</v>
      </c>
      <c r="M41" s="4" t="s">
        <v>28</v>
      </c>
      <c r="N41" s="4">
        <v>35.5</v>
      </c>
      <c r="O41" s="4" t="s">
        <v>28</v>
      </c>
      <c r="P41" s="4">
        <v>35</v>
      </c>
      <c r="Q41" s="4" t="s">
        <v>28</v>
      </c>
      <c r="R41" s="4">
        <v>39</v>
      </c>
      <c r="S41" s="4" t="s">
        <v>28</v>
      </c>
      <c r="T41" s="6">
        <v>39</v>
      </c>
      <c r="U41" s="4" t="s">
        <v>28</v>
      </c>
      <c r="V41" s="7">
        <v>0.7</v>
      </c>
    </row>
    <row r="42" spans="1:23" x14ac:dyDescent="0.3">
      <c r="A42" s="8" t="s">
        <v>72</v>
      </c>
      <c r="B42" t="s">
        <v>73</v>
      </c>
      <c r="C42" t="s">
        <v>25</v>
      </c>
      <c r="D42">
        <v>2</v>
      </c>
      <c r="E42">
        <v>12</v>
      </c>
      <c r="F42" s="9">
        <v>46184</v>
      </c>
      <c r="H42">
        <v>10</v>
      </c>
      <c r="I42" t="s">
        <v>36</v>
      </c>
      <c r="J42" t="e">
        <f t="shared" si="0"/>
        <v>#DIV/0!</v>
      </c>
      <c r="T42">
        <v>0</v>
      </c>
    </row>
    <row r="43" spans="1:23" x14ac:dyDescent="0.3">
      <c r="A43" s="8" t="s">
        <v>72</v>
      </c>
      <c r="B43" t="s">
        <v>73</v>
      </c>
      <c r="C43" t="s">
        <v>25</v>
      </c>
      <c r="D43">
        <v>2</v>
      </c>
      <c r="E43">
        <v>12</v>
      </c>
      <c r="F43" s="9">
        <v>46184</v>
      </c>
      <c r="H43">
        <v>10</v>
      </c>
      <c r="I43" t="s">
        <v>31</v>
      </c>
      <c r="J43" t="e">
        <f t="shared" si="0"/>
        <v>#DIV/0!</v>
      </c>
      <c r="T43">
        <v>0</v>
      </c>
    </row>
    <row r="44" spans="1:23" s="12" customFormat="1" ht="15" thickBot="1" x14ac:dyDescent="0.35">
      <c r="A44" s="11" t="s">
        <v>72</v>
      </c>
      <c r="B44" s="12" t="s">
        <v>73</v>
      </c>
      <c r="C44" s="12" t="s">
        <v>25</v>
      </c>
      <c r="D44" s="12">
        <v>2</v>
      </c>
      <c r="E44" s="12">
        <v>12</v>
      </c>
      <c r="F44" s="13">
        <v>46184</v>
      </c>
      <c r="G44" s="12">
        <f>SUM(H41:H43)</f>
        <v>95</v>
      </c>
      <c r="H44" s="12">
        <v>5</v>
      </c>
      <c r="I44" s="12" t="s">
        <v>29</v>
      </c>
      <c r="J44" s="12" t="e">
        <f t="shared" si="0"/>
        <v>#DIV/0!</v>
      </c>
      <c r="T44" s="12">
        <v>0</v>
      </c>
    </row>
    <row r="45" spans="1:23" s="4" customFormat="1" x14ac:dyDescent="0.3">
      <c r="A45" s="3" t="s">
        <v>72</v>
      </c>
      <c r="B45" s="4" t="s">
        <v>73</v>
      </c>
      <c r="C45" s="4" t="s">
        <v>25</v>
      </c>
      <c r="D45" s="4">
        <v>2</v>
      </c>
      <c r="E45" s="4">
        <v>18</v>
      </c>
      <c r="F45" s="5">
        <v>46184</v>
      </c>
      <c r="H45" s="4">
        <v>65</v>
      </c>
      <c r="I45" s="4" t="s">
        <v>31</v>
      </c>
      <c r="J45" s="4" t="e">
        <f t="shared" si="0"/>
        <v>#DIV/0!</v>
      </c>
      <c r="T45" s="4">
        <v>0</v>
      </c>
    </row>
    <row r="46" spans="1:23" x14ac:dyDescent="0.3">
      <c r="A46" s="8" t="s">
        <v>72</v>
      </c>
      <c r="B46" t="s">
        <v>73</v>
      </c>
      <c r="C46" t="s">
        <v>25</v>
      </c>
      <c r="D46">
        <v>2</v>
      </c>
      <c r="E46">
        <v>18</v>
      </c>
      <c r="F46" s="9">
        <v>46184</v>
      </c>
      <c r="H46" s="10">
        <v>70</v>
      </c>
      <c r="I46" t="s">
        <v>38</v>
      </c>
      <c r="J46">
        <f t="shared" si="0"/>
        <v>21.5</v>
      </c>
      <c r="K46" t="s">
        <v>38</v>
      </c>
      <c r="L46">
        <v>18</v>
      </c>
      <c r="N46">
        <v>21</v>
      </c>
      <c r="P46">
        <v>20</v>
      </c>
      <c r="R46" s="10">
        <v>27</v>
      </c>
      <c r="T46">
        <v>27</v>
      </c>
      <c r="V46" s="16">
        <v>0.70694444444444449</v>
      </c>
    </row>
    <row r="47" spans="1:23" x14ac:dyDescent="0.3">
      <c r="A47" s="8" t="s">
        <v>72</v>
      </c>
      <c r="B47" t="s">
        <v>73</v>
      </c>
      <c r="C47" t="s">
        <v>25</v>
      </c>
      <c r="D47">
        <v>2</v>
      </c>
      <c r="E47">
        <v>18</v>
      </c>
      <c r="F47" s="9">
        <v>46184</v>
      </c>
      <c r="H47" s="10">
        <v>15</v>
      </c>
      <c r="I47" t="s">
        <v>28</v>
      </c>
      <c r="J47">
        <f t="shared" si="0"/>
        <v>30</v>
      </c>
      <c r="K47" t="s">
        <v>28</v>
      </c>
      <c r="L47" s="10">
        <v>45</v>
      </c>
      <c r="M47" t="s">
        <v>28</v>
      </c>
      <c r="N47">
        <v>29</v>
      </c>
      <c r="O47" t="s">
        <v>28</v>
      </c>
      <c r="P47">
        <v>20</v>
      </c>
      <c r="Q47" t="s">
        <v>28</v>
      </c>
      <c r="R47">
        <v>26</v>
      </c>
      <c r="S47" t="s">
        <v>28</v>
      </c>
      <c r="T47">
        <v>45</v>
      </c>
      <c r="U47" t="s">
        <v>28</v>
      </c>
    </row>
    <row r="48" spans="1:23" s="12" customFormat="1" ht="15" thickBot="1" x14ac:dyDescent="0.35">
      <c r="A48" s="11" t="s">
        <v>72</v>
      </c>
      <c r="B48" s="12" t="s">
        <v>73</v>
      </c>
      <c r="C48" s="12" t="s">
        <v>25</v>
      </c>
      <c r="D48" s="12">
        <v>2</v>
      </c>
      <c r="E48" s="12">
        <v>18</v>
      </c>
      <c r="F48" s="13">
        <v>46184</v>
      </c>
      <c r="G48" s="12">
        <f>SUM(H45:H48)</f>
        <v>170</v>
      </c>
      <c r="H48" s="12">
        <v>20</v>
      </c>
      <c r="I48" s="12" t="s">
        <v>36</v>
      </c>
      <c r="J48" s="12" t="e">
        <f t="shared" si="0"/>
        <v>#DIV/0!</v>
      </c>
      <c r="T48" s="12">
        <v>0</v>
      </c>
      <c r="W48" s="12" t="s">
        <v>85</v>
      </c>
    </row>
    <row r="49" spans="1:23" s="4" customFormat="1" x14ac:dyDescent="0.3">
      <c r="A49" s="3" t="s">
        <v>72</v>
      </c>
      <c r="B49" s="4" t="s">
        <v>73</v>
      </c>
      <c r="C49" s="4" t="s">
        <v>25</v>
      </c>
      <c r="D49" s="4">
        <v>2</v>
      </c>
      <c r="E49" s="4">
        <v>24</v>
      </c>
      <c r="F49" s="5">
        <v>46184</v>
      </c>
      <c r="H49" s="6">
        <v>80</v>
      </c>
      <c r="I49" s="4" t="s">
        <v>28</v>
      </c>
      <c r="J49" s="4">
        <f t="shared" si="0"/>
        <v>42.125</v>
      </c>
      <c r="K49" s="4" t="s">
        <v>28</v>
      </c>
      <c r="L49" s="6">
        <v>55.5</v>
      </c>
      <c r="M49" s="4" t="s">
        <v>28</v>
      </c>
      <c r="N49" s="4">
        <v>48</v>
      </c>
      <c r="O49" s="4" t="s">
        <v>28</v>
      </c>
      <c r="P49" s="4">
        <v>37</v>
      </c>
      <c r="Q49" s="4" t="s">
        <v>28</v>
      </c>
      <c r="R49" s="4">
        <v>28</v>
      </c>
      <c r="S49" s="4" t="s">
        <v>28</v>
      </c>
      <c r="T49" s="4">
        <v>55.5</v>
      </c>
      <c r="U49" s="4" t="s">
        <v>28</v>
      </c>
      <c r="V49" s="7">
        <v>0.71388888888888891</v>
      </c>
    </row>
    <row r="50" spans="1:23" x14ac:dyDescent="0.3">
      <c r="A50" s="8" t="s">
        <v>72</v>
      </c>
      <c r="B50" t="s">
        <v>73</v>
      </c>
      <c r="C50" t="s">
        <v>25</v>
      </c>
      <c r="D50">
        <v>2</v>
      </c>
      <c r="E50">
        <v>24</v>
      </c>
      <c r="F50" s="9">
        <v>46184</v>
      </c>
      <c r="H50">
        <v>15</v>
      </c>
      <c r="I50" t="s">
        <v>36</v>
      </c>
      <c r="J50" t="e">
        <f t="shared" si="0"/>
        <v>#DIV/0!</v>
      </c>
      <c r="T50">
        <v>0</v>
      </c>
      <c r="W50" t="s">
        <v>86</v>
      </c>
    </row>
    <row r="51" spans="1:23" x14ac:dyDescent="0.3">
      <c r="A51" s="8" t="s">
        <v>72</v>
      </c>
      <c r="B51" t="s">
        <v>73</v>
      </c>
      <c r="C51" t="s">
        <v>25</v>
      </c>
      <c r="D51">
        <v>2</v>
      </c>
      <c r="E51">
        <v>24</v>
      </c>
      <c r="F51" s="9">
        <v>46184</v>
      </c>
      <c r="H51">
        <v>10</v>
      </c>
      <c r="I51" t="s">
        <v>31</v>
      </c>
      <c r="J51" t="e">
        <f t="shared" si="0"/>
        <v>#DIV/0!</v>
      </c>
      <c r="T51">
        <v>0</v>
      </c>
    </row>
    <row r="52" spans="1:23" s="12" customFormat="1" ht="15" thickBot="1" x14ac:dyDescent="0.35">
      <c r="A52" s="11" t="s">
        <v>72</v>
      </c>
      <c r="B52" s="12" t="s">
        <v>73</v>
      </c>
      <c r="C52" s="12" t="s">
        <v>25</v>
      </c>
      <c r="D52" s="12">
        <v>2</v>
      </c>
      <c r="E52" s="12">
        <v>24</v>
      </c>
      <c r="F52" s="13">
        <v>46184</v>
      </c>
      <c r="G52" s="12">
        <f>SUM(H49:H51)</f>
        <v>105</v>
      </c>
      <c r="H52" s="12">
        <v>5</v>
      </c>
      <c r="I52" s="12" t="s">
        <v>29</v>
      </c>
      <c r="J52" s="12" t="e">
        <f t="shared" si="0"/>
        <v>#DIV/0!</v>
      </c>
      <c r="T52" s="12">
        <v>0</v>
      </c>
    </row>
    <row r="53" spans="1:23" s="4" customFormat="1" x14ac:dyDescent="0.3">
      <c r="A53" s="3" t="s">
        <v>72</v>
      </c>
      <c r="B53" s="4" t="s">
        <v>73</v>
      </c>
      <c r="C53" s="4" t="s">
        <v>25</v>
      </c>
      <c r="D53" s="4">
        <v>2</v>
      </c>
      <c r="E53" s="4">
        <v>48</v>
      </c>
      <c r="F53" s="5">
        <v>46184</v>
      </c>
      <c r="H53" s="6">
        <v>55</v>
      </c>
      <c r="I53" s="4" t="s">
        <v>28</v>
      </c>
      <c r="J53" s="4">
        <f t="shared" si="0"/>
        <v>40.5</v>
      </c>
      <c r="K53" s="4" t="s">
        <v>28</v>
      </c>
      <c r="L53" s="6">
        <v>46</v>
      </c>
      <c r="M53" s="4" t="s">
        <v>28</v>
      </c>
      <c r="N53" s="4">
        <v>39</v>
      </c>
      <c r="O53" s="4" t="s">
        <v>28</v>
      </c>
      <c r="P53" s="4">
        <v>38</v>
      </c>
      <c r="Q53" s="4" t="s">
        <v>28</v>
      </c>
      <c r="R53" s="4">
        <v>39</v>
      </c>
      <c r="S53" s="4" t="s">
        <v>28</v>
      </c>
      <c r="T53" s="4">
        <v>46</v>
      </c>
      <c r="U53" s="4" t="s">
        <v>28</v>
      </c>
      <c r="V53" s="7">
        <v>0.72083333333333333</v>
      </c>
    </row>
    <row r="54" spans="1:23" x14ac:dyDescent="0.3">
      <c r="A54" s="8" t="s">
        <v>72</v>
      </c>
      <c r="B54" t="s">
        <v>73</v>
      </c>
      <c r="C54" t="s">
        <v>25</v>
      </c>
      <c r="D54">
        <v>2</v>
      </c>
      <c r="E54">
        <v>48</v>
      </c>
      <c r="F54" s="9">
        <v>46184</v>
      </c>
      <c r="H54">
        <v>20</v>
      </c>
      <c r="I54" t="s">
        <v>31</v>
      </c>
      <c r="J54" t="e">
        <f t="shared" si="0"/>
        <v>#DIV/0!</v>
      </c>
      <c r="T54">
        <v>0</v>
      </c>
    </row>
    <row r="55" spans="1:23" x14ac:dyDescent="0.3">
      <c r="A55" s="8" t="s">
        <v>72</v>
      </c>
      <c r="B55" t="s">
        <v>73</v>
      </c>
      <c r="C55" t="s">
        <v>25</v>
      </c>
      <c r="D55">
        <v>2</v>
      </c>
      <c r="E55">
        <v>48</v>
      </c>
      <c r="F55" s="9">
        <v>46184</v>
      </c>
      <c r="H55">
        <v>40</v>
      </c>
      <c r="I55" t="s">
        <v>36</v>
      </c>
      <c r="J55" t="e">
        <f t="shared" si="0"/>
        <v>#DIV/0!</v>
      </c>
      <c r="T55">
        <v>0</v>
      </c>
    </row>
    <row r="56" spans="1:23" s="12" customFormat="1" ht="15" thickBot="1" x14ac:dyDescent="0.35">
      <c r="A56" s="11" t="s">
        <v>72</v>
      </c>
      <c r="B56" s="12" t="s">
        <v>73</v>
      </c>
      <c r="C56" s="12" t="s">
        <v>25</v>
      </c>
      <c r="D56" s="12">
        <v>2</v>
      </c>
      <c r="E56" s="12">
        <v>48</v>
      </c>
      <c r="F56" s="13">
        <v>46184</v>
      </c>
      <c r="G56" s="12">
        <f>SUM(H53:H55)</f>
        <v>115</v>
      </c>
      <c r="H56" s="12">
        <v>10</v>
      </c>
      <c r="I56" s="12" t="s">
        <v>29</v>
      </c>
      <c r="J56" s="12" t="e">
        <f t="shared" si="0"/>
        <v>#DIV/0!</v>
      </c>
      <c r="T56" s="12">
        <v>0</v>
      </c>
    </row>
    <row r="57" spans="1:23" s="4" customFormat="1" x14ac:dyDescent="0.3">
      <c r="A57" s="3" t="s">
        <v>72</v>
      </c>
      <c r="B57" s="4" t="s">
        <v>73</v>
      </c>
      <c r="C57" s="4" t="s">
        <v>41</v>
      </c>
      <c r="D57" s="4">
        <v>1</v>
      </c>
      <c r="E57" s="4">
        <v>0.5</v>
      </c>
      <c r="F57" s="5">
        <v>46182</v>
      </c>
      <c r="H57" s="4">
        <v>30</v>
      </c>
      <c r="I57" s="4" t="s">
        <v>31</v>
      </c>
      <c r="J57" s="4" t="e">
        <f t="shared" si="0"/>
        <v>#DIV/0!</v>
      </c>
      <c r="T57" s="4">
        <v>20.5</v>
      </c>
      <c r="V57" s="7" t="s">
        <v>92</v>
      </c>
    </row>
    <row r="58" spans="1:23" x14ac:dyDescent="0.3">
      <c r="A58" s="8" t="s">
        <v>72</v>
      </c>
      <c r="B58" t="s">
        <v>73</v>
      </c>
      <c r="C58" t="s">
        <v>41</v>
      </c>
      <c r="D58">
        <v>1</v>
      </c>
      <c r="E58">
        <v>0.5</v>
      </c>
      <c r="F58" s="9">
        <v>46182</v>
      </c>
      <c r="H58">
        <v>15</v>
      </c>
      <c r="I58" t="s">
        <v>28</v>
      </c>
      <c r="J58">
        <f t="shared" si="0"/>
        <v>24.833333333333332</v>
      </c>
      <c r="K58" t="s">
        <v>28</v>
      </c>
      <c r="L58">
        <v>33</v>
      </c>
      <c r="M58" t="s">
        <v>28</v>
      </c>
      <c r="N58" t="s">
        <v>80</v>
      </c>
      <c r="O58" t="s">
        <v>28</v>
      </c>
      <c r="P58">
        <v>17.5</v>
      </c>
      <c r="Q58" t="s">
        <v>28</v>
      </c>
      <c r="R58">
        <v>24</v>
      </c>
      <c r="S58" t="s">
        <v>28</v>
      </c>
      <c r="T58">
        <v>33</v>
      </c>
      <c r="U58" t="s">
        <v>28</v>
      </c>
    </row>
    <row r="59" spans="1:23" s="12" customFormat="1" ht="15" thickBot="1" x14ac:dyDescent="0.35">
      <c r="A59" s="11" t="s">
        <v>72</v>
      </c>
      <c r="B59" s="12" t="s">
        <v>73</v>
      </c>
      <c r="C59" s="12" t="s">
        <v>41</v>
      </c>
      <c r="D59" s="12">
        <v>1</v>
      </c>
      <c r="E59" s="12">
        <v>0.5</v>
      </c>
      <c r="F59" s="9">
        <v>46182</v>
      </c>
      <c r="G59" s="12">
        <f>SUM(H57:H59)</f>
        <v>110</v>
      </c>
      <c r="H59" s="12">
        <v>65</v>
      </c>
      <c r="I59" s="12" t="s">
        <v>91</v>
      </c>
      <c r="J59" s="12">
        <f t="shared" si="0"/>
        <v>7.25</v>
      </c>
      <c r="K59" s="12" t="s">
        <v>91</v>
      </c>
      <c r="L59" s="12">
        <v>7</v>
      </c>
      <c r="M59" s="12" t="s">
        <v>91</v>
      </c>
      <c r="N59" s="12">
        <v>8</v>
      </c>
      <c r="O59" s="12" t="s">
        <v>91</v>
      </c>
      <c r="P59" s="12">
        <v>5</v>
      </c>
      <c r="Q59" s="12" t="s">
        <v>91</v>
      </c>
      <c r="R59" s="12">
        <v>9</v>
      </c>
      <c r="S59" s="12" t="s">
        <v>91</v>
      </c>
      <c r="T59" s="12">
        <v>9</v>
      </c>
    </row>
    <row r="60" spans="1:23" s="4" customFormat="1" x14ac:dyDescent="0.3">
      <c r="A60" s="3" t="s">
        <v>72</v>
      </c>
      <c r="B60" s="4" t="s">
        <v>73</v>
      </c>
      <c r="C60" s="4" t="s">
        <v>41</v>
      </c>
      <c r="D60" s="4">
        <v>1</v>
      </c>
      <c r="E60" s="4">
        <v>2</v>
      </c>
      <c r="F60" s="9">
        <v>46182</v>
      </c>
      <c r="H60" s="4">
        <v>40</v>
      </c>
      <c r="I60" s="4" t="s">
        <v>31</v>
      </c>
      <c r="J60" s="4" t="e">
        <f t="shared" si="0"/>
        <v>#DIV/0!</v>
      </c>
      <c r="T60" s="4">
        <v>0</v>
      </c>
    </row>
    <row r="61" spans="1:23" x14ac:dyDescent="0.3">
      <c r="A61" s="8" t="s">
        <v>72</v>
      </c>
      <c r="B61" t="s">
        <v>73</v>
      </c>
      <c r="C61" t="s">
        <v>41</v>
      </c>
      <c r="D61">
        <v>1</v>
      </c>
      <c r="E61">
        <v>2</v>
      </c>
      <c r="F61" s="9">
        <v>46182</v>
      </c>
      <c r="H61">
        <v>50</v>
      </c>
      <c r="I61" t="s">
        <v>28</v>
      </c>
      <c r="J61">
        <f t="shared" si="0"/>
        <v>33.625</v>
      </c>
      <c r="K61" t="s">
        <v>28</v>
      </c>
      <c r="L61">
        <v>33.5</v>
      </c>
      <c r="M61" t="s">
        <v>28</v>
      </c>
      <c r="N61">
        <v>33</v>
      </c>
      <c r="O61" t="s">
        <v>28</v>
      </c>
      <c r="P61">
        <v>34</v>
      </c>
      <c r="Q61" t="s">
        <v>28</v>
      </c>
      <c r="R61">
        <v>34</v>
      </c>
      <c r="S61" t="s">
        <v>28</v>
      </c>
      <c r="T61">
        <v>35.5</v>
      </c>
      <c r="U61" t="s">
        <v>28</v>
      </c>
      <c r="V61" s="16">
        <v>0.52638888888888891</v>
      </c>
    </row>
    <row r="62" spans="1:23" s="12" customFormat="1" ht="15" thickBot="1" x14ac:dyDescent="0.35">
      <c r="A62" s="11" t="s">
        <v>72</v>
      </c>
      <c r="B62" s="12" t="s">
        <v>73</v>
      </c>
      <c r="C62" s="12" t="s">
        <v>41</v>
      </c>
      <c r="D62" s="12">
        <v>1</v>
      </c>
      <c r="E62" s="12">
        <v>2</v>
      </c>
      <c r="F62" s="9">
        <v>46182</v>
      </c>
      <c r="G62" s="12">
        <f>SUM(H60:H61)</f>
        <v>90</v>
      </c>
      <c r="H62" s="12">
        <v>10</v>
      </c>
      <c r="I62" s="12" t="s">
        <v>29</v>
      </c>
      <c r="J62" s="12" t="e">
        <f t="shared" si="0"/>
        <v>#DIV/0!</v>
      </c>
      <c r="T62" s="12">
        <v>0</v>
      </c>
    </row>
    <row r="63" spans="1:23" s="4" customFormat="1" x14ac:dyDescent="0.3">
      <c r="A63" s="3" t="s">
        <v>72</v>
      </c>
      <c r="B63" s="4" t="s">
        <v>73</v>
      </c>
      <c r="C63" s="4" t="s">
        <v>41</v>
      </c>
      <c r="D63" s="4">
        <v>1</v>
      </c>
      <c r="E63" s="4">
        <v>6</v>
      </c>
      <c r="F63" s="9">
        <v>46182</v>
      </c>
      <c r="H63" s="6">
        <v>85</v>
      </c>
      <c r="I63" s="4" t="s">
        <v>28</v>
      </c>
      <c r="J63" s="4">
        <f t="shared" si="0"/>
        <v>39.625</v>
      </c>
      <c r="K63" s="4" t="s">
        <v>28</v>
      </c>
      <c r="L63" s="4">
        <v>36.5</v>
      </c>
      <c r="M63" s="4" t="s">
        <v>28</v>
      </c>
      <c r="N63" s="6">
        <v>43</v>
      </c>
      <c r="O63" s="4" t="s">
        <v>28</v>
      </c>
      <c r="P63" s="4">
        <v>39</v>
      </c>
      <c r="Q63" s="4" t="s">
        <v>28</v>
      </c>
      <c r="R63" s="4">
        <v>40</v>
      </c>
      <c r="S63" s="4" t="s">
        <v>28</v>
      </c>
      <c r="T63" s="4">
        <v>43</v>
      </c>
      <c r="U63" s="4" t="s">
        <v>28</v>
      </c>
      <c r="V63" s="7">
        <v>0.53333333333333333</v>
      </c>
    </row>
    <row r="64" spans="1:23" s="12" customFormat="1" ht="15" thickBot="1" x14ac:dyDescent="0.35">
      <c r="A64" s="11" t="s">
        <v>72</v>
      </c>
      <c r="B64" s="12" t="s">
        <v>73</v>
      </c>
      <c r="C64" s="12" t="s">
        <v>41</v>
      </c>
      <c r="D64" s="12">
        <v>1</v>
      </c>
      <c r="E64" s="12">
        <v>6</v>
      </c>
      <c r="F64" s="9">
        <v>46182</v>
      </c>
      <c r="G64" s="12">
        <f>SUM(H63)</f>
        <v>85</v>
      </c>
      <c r="H64" s="12">
        <v>15</v>
      </c>
      <c r="I64" s="12" t="s">
        <v>29</v>
      </c>
      <c r="J64" s="12" t="e">
        <f t="shared" ref="J64:J118" si="1">AVERAGE(L64, N64, P64, R64)</f>
        <v>#DIV/0!</v>
      </c>
      <c r="T64" s="12">
        <v>0</v>
      </c>
    </row>
    <row r="65" spans="1:23" s="4" customFormat="1" x14ac:dyDescent="0.3">
      <c r="A65" s="3" t="s">
        <v>72</v>
      </c>
      <c r="B65" s="4" t="s">
        <v>73</v>
      </c>
      <c r="C65" s="4" t="s">
        <v>41</v>
      </c>
      <c r="D65" s="4">
        <v>1</v>
      </c>
      <c r="E65" s="4">
        <v>12</v>
      </c>
      <c r="F65" s="9">
        <v>46182</v>
      </c>
      <c r="H65" s="6">
        <v>80</v>
      </c>
      <c r="I65" s="4" t="s">
        <v>28</v>
      </c>
      <c r="J65" s="4">
        <f t="shared" si="1"/>
        <v>46.25</v>
      </c>
      <c r="K65" s="4" t="s">
        <v>28</v>
      </c>
      <c r="L65" s="4">
        <v>40</v>
      </c>
      <c r="M65" s="4" t="s">
        <v>28</v>
      </c>
      <c r="N65" s="6">
        <v>58</v>
      </c>
      <c r="O65" s="4" t="s">
        <v>28</v>
      </c>
      <c r="P65" s="4">
        <v>46.5</v>
      </c>
      <c r="Q65" s="4" t="s">
        <v>28</v>
      </c>
      <c r="R65" s="4">
        <v>40.5</v>
      </c>
      <c r="S65" s="4" t="s">
        <v>28</v>
      </c>
      <c r="T65" s="4">
        <v>58</v>
      </c>
      <c r="U65" s="4" t="s">
        <v>28</v>
      </c>
      <c r="V65" s="7">
        <v>0.54027777777777775</v>
      </c>
    </row>
    <row r="66" spans="1:23" ht="15" thickBot="1" x14ac:dyDescent="0.35">
      <c r="A66" s="8" t="s">
        <v>72</v>
      </c>
      <c r="B66" t="s">
        <v>73</v>
      </c>
      <c r="C66" t="s">
        <v>41</v>
      </c>
      <c r="D66">
        <v>1</v>
      </c>
      <c r="E66">
        <v>12</v>
      </c>
      <c r="F66" s="9">
        <v>46182</v>
      </c>
      <c r="G66">
        <f>SUM(H65)</f>
        <v>80</v>
      </c>
      <c r="H66">
        <v>40</v>
      </c>
      <c r="I66" t="s">
        <v>29</v>
      </c>
      <c r="J66" t="e">
        <f t="shared" si="1"/>
        <v>#DIV/0!</v>
      </c>
      <c r="T66">
        <v>0</v>
      </c>
    </row>
    <row r="67" spans="1:23" s="4" customFormat="1" x14ac:dyDescent="0.3">
      <c r="A67" s="3" t="s">
        <v>72</v>
      </c>
      <c r="B67" s="4" t="s">
        <v>73</v>
      </c>
      <c r="C67" s="4" t="s">
        <v>41</v>
      </c>
      <c r="D67" s="4">
        <v>1</v>
      </c>
      <c r="E67" s="4">
        <v>18</v>
      </c>
      <c r="F67" s="5">
        <v>46182</v>
      </c>
      <c r="H67" s="6">
        <v>90</v>
      </c>
      <c r="I67" s="4" t="s">
        <v>28</v>
      </c>
      <c r="J67" s="4">
        <f t="shared" si="1"/>
        <v>37.25</v>
      </c>
      <c r="K67" s="4" t="s">
        <v>28</v>
      </c>
      <c r="L67" s="4">
        <v>37</v>
      </c>
      <c r="M67" s="4" t="s">
        <v>28</v>
      </c>
      <c r="N67" s="4">
        <v>31</v>
      </c>
      <c r="O67" s="4" t="s">
        <v>28</v>
      </c>
      <c r="P67" s="4">
        <v>37</v>
      </c>
      <c r="Q67" s="4" t="s">
        <v>28</v>
      </c>
      <c r="R67" s="6">
        <v>44</v>
      </c>
      <c r="S67" s="4" t="s">
        <v>28</v>
      </c>
      <c r="T67" s="4">
        <v>44</v>
      </c>
      <c r="U67" s="4" t="s">
        <v>28</v>
      </c>
      <c r="V67" s="7">
        <v>0.54652777777777772</v>
      </c>
    </row>
    <row r="68" spans="1:23" s="12" customFormat="1" ht="15" thickBot="1" x14ac:dyDescent="0.35">
      <c r="A68" s="11" t="s">
        <v>72</v>
      </c>
      <c r="B68" s="12" t="s">
        <v>73</v>
      </c>
      <c r="C68" s="12" t="s">
        <v>41</v>
      </c>
      <c r="D68" s="12">
        <v>1</v>
      </c>
      <c r="E68" s="12">
        <v>18</v>
      </c>
      <c r="F68" s="13">
        <v>46182</v>
      </c>
      <c r="G68" s="12">
        <f>SUM(H67)</f>
        <v>90</v>
      </c>
      <c r="H68" s="12">
        <v>10</v>
      </c>
      <c r="I68" s="12" t="s">
        <v>29</v>
      </c>
      <c r="J68" s="12" t="e">
        <f t="shared" si="1"/>
        <v>#DIV/0!</v>
      </c>
      <c r="T68" s="12">
        <v>0</v>
      </c>
    </row>
    <row r="69" spans="1:23" s="4" customFormat="1" x14ac:dyDescent="0.3">
      <c r="A69" s="3" t="s">
        <v>72</v>
      </c>
      <c r="B69" s="4" t="s">
        <v>73</v>
      </c>
      <c r="C69" s="4" t="s">
        <v>41</v>
      </c>
      <c r="D69" s="4">
        <v>1</v>
      </c>
      <c r="E69" s="4">
        <v>24</v>
      </c>
      <c r="F69" s="5">
        <v>46182</v>
      </c>
      <c r="H69" s="4">
        <v>5</v>
      </c>
      <c r="I69" s="4" t="s">
        <v>29</v>
      </c>
      <c r="J69" s="4" t="e">
        <f t="shared" si="1"/>
        <v>#DIV/0!</v>
      </c>
      <c r="T69" s="4">
        <v>0</v>
      </c>
    </row>
    <row r="70" spans="1:23" x14ac:dyDescent="0.3">
      <c r="A70" s="8" t="s">
        <v>72</v>
      </c>
      <c r="B70" t="s">
        <v>73</v>
      </c>
      <c r="C70" t="s">
        <v>41</v>
      </c>
      <c r="D70">
        <v>1</v>
      </c>
      <c r="E70">
        <v>24</v>
      </c>
      <c r="F70" s="9">
        <v>46182</v>
      </c>
      <c r="H70" s="10">
        <v>50</v>
      </c>
      <c r="I70" t="s">
        <v>28</v>
      </c>
      <c r="J70">
        <f t="shared" si="1"/>
        <v>35.25</v>
      </c>
      <c r="K70" t="s">
        <v>28</v>
      </c>
      <c r="L70">
        <v>34.5</v>
      </c>
      <c r="M70" t="s">
        <v>28</v>
      </c>
      <c r="N70" s="10">
        <v>41.5</v>
      </c>
      <c r="O70" t="s">
        <v>28</v>
      </c>
      <c r="P70">
        <v>37</v>
      </c>
      <c r="Q70" t="s">
        <v>28</v>
      </c>
      <c r="R70">
        <v>28</v>
      </c>
      <c r="S70" t="s">
        <v>28</v>
      </c>
      <c r="T70">
        <v>41.5</v>
      </c>
      <c r="U70" t="s">
        <v>28</v>
      </c>
      <c r="V70" s="16">
        <v>0.55555555555555558</v>
      </c>
    </row>
    <row r="71" spans="1:23" s="12" customFormat="1" ht="15" thickBot="1" x14ac:dyDescent="0.35">
      <c r="A71" s="11" t="s">
        <v>72</v>
      </c>
      <c r="B71" s="12" t="s">
        <v>73</v>
      </c>
      <c r="C71" s="12" t="s">
        <v>41</v>
      </c>
      <c r="D71" s="12">
        <v>1</v>
      </c>
      <c r="E71" s="12">
        <v>24</v>
      </c>
      <c r="F71" s="13">
        <v>46182</v>
      </c>
      <c r="G71" s="12">
        <f>SUM(H70:H71)</f>
        <v>105</v>
      </c>
      <c r="H71" s="12">
        <v>55</v>
      </c>
      <c r="I71" s="12" t="s">
        <v>36</v>
      </c>
      <c r="J71" s="12">
        <f t="shared" si="1"/>
        <v>19.875</v>
      </c>
      <c r="K71" s="12" t="s">
        <v>36</v>
      </c>
      <c r="L71" s="12">
        <v>17</v>
      </c>
      <c r="N71" s="14">
        <v>23</v>
      </c>
      <c r="P71" s="12">
        <v>21.5</v>
      </c>
      <c r="R71" s="12">
        <v>18</v>
      </c>
      <c r="T71" s="12">
        <v>23</v>
      </c>
      <c r="W71" s="12" t="s">
        <v>93</v>
      </c>
    </row>
    <row r="72" spans="1:23" s="4" customFormat="1" x14ac:dyDescent="0.3">
      <c r="A72" s="3" t="s">
        <v>72</v>
      </c>
      <c r="B72" s="4" t="s">
        <v>73</v>
      </c>
      <c r="C72" s="4" t="s">
        <v>41</v>
      </c>
      <c r="D72" s="4">
        <v>1</v>
      </c>
      <c r="E72" s="4">
        <v>48</v>
      </c>
      <c r="F72" s="5">
        <v>46182</v>
      </c>
      <c r="H72" s="4">
        <v>35</v>
      </c>
      <c r="I72" s="4" t="s">
        <v>35</v>
      </c>
      <c r="J72" s="4" t="e">
        <f t="shared" si="1"/>
        <v>#DIV/0!</v>
      </c>
      <c r="T72" s="4">
        <v>0</v>
      </c>
    </row>
    <row r="73" spans="1:23" x14ac:dyDescent="0.3">
      <c r="A73" s="8" t="s">
        <v>72</v>
      </c>
      <c r="B73" t="s">
        <v>73</v>
      </c>
      <c r="C73" t="s">
        <v>41</v>
      </c>
      <c r="D73">
        <v>1</v>
      </c>
      <c r="E73">
        <v>48</v>
      </c>
      <c r="F73" s="9">
        <v>46182</v>
      </c>
      <c r="H73">
        <v>10</v>
      </c>
      <c r="I73" t="s">
        <v>45</v>
      </c>
      <c r="J73" t="e">
        <f t="shared" si="1"/>
        <v>#DIV/0!</v>
      </c>
      <c r="T73">
        <v>0</v>
      </c>
    </row>
    <row r="74" spans="1:23" x14ac:dyDescent="0.3">
      <c r="A74" s="8" t="s">
        <v>72</v>
      </c>
      <c r="B74" t="s">
        <v>73</v>
      </c>
      <c r="C74" t="s">
        <v>41</v>
      </c>
      <c r="D74">
        <v>1</v>
      </c>
      <c r="E74">
        <v>48</v>
      </c>
      <c r="F74" s="9">
        <v>46182</v>
      </c>
      <c r="H74">
        <v>30</v>
      </c>
      <c r="I74" t="s">
        <v>28</v>
      </c>
      <c r="J74">
        <f t="shared" si="1"/>
        <v>26.75</v>
      </c>
      <c r="K74" t="s">
        <v>28</v>
      </c>
      <c r="L74" s="10">
        <v>31</v>
      </c>
      <c r="M74" t="s">
        <v>28</v>
      </c>
      <c r="N74">
        <v>18.5</v>
      </c>
      <c r="O74" t="s">
        <v>28</v>
      </c>
      <c r="P74">
        <v>26.5</v>
      </c>
      <c r="Q74" t="s">
        <v>28</v>
      </c>
      <c r="R74">
        <v>31</v>
      </c>
      <c r="S74" t="s">
        <v>28</v>
      </c>
      <c r="T74">
        <v>31</v>
      </c>
      <c r="U74" t="s">
        <v>28</v>
      </c>
      <c r="V74" s="16">
        <v>0.56041666666666667</v>
      </c>
    </row>
    <row r="75" spans="1:23" x14ac:dyDescent="0.3">
      <c r="A75" s="8" t="s">
        <v>72</v>
      </c>
      <c r="B75" t="s">
        <v>73</v>
      </c>
      <c r="C75" t="s">
        <v>41</v>
      </c>
      <c r="D75">
        <v>1</v>
      </c>
      <c r="E75">
        <v>48</v>
      </c>
      <c r="F75" s="9">
        <v>46182</v>
      </c>
      <c r="H75" s="10">
        <v>75</v>
      </c>
      <c r="I75" t="s">
        <v>36</v>
      </c>
      <c r="J75">
        <f t="shared" si="1"/>
        <v>19.25</v>
      </c>
      <c r="K75" t="s">
        <v>36</v>
      </c>
      <c r="L75">
        <v>18</v>
      </c>
      <c r="N75">
        <v>15</v>
      </c>
      <c r="P75" s="10">
        <v>26</v>
      </c>
      <c r="R75">
        <v>18</v>
      </c>
      <c r="T75">
        <v>26</v>
      </c>
      <c r="W75" t="s">
        <v>94</v>
      </c>
    </row>
    <row r="76" spans="1:23" s="12" customFormat="1" ht="15" thickBot="1" x14ac:dyDescent="0.35">
      <c r="A76" s="11" t="s">
        <v>72</v>
      </c>
      <c r="B76" s="12" t="s">
        <v>73</v>
      </c>
      <c r="C76" s="12" t="s">
        <v>41</v>
      </c>
      <c r="D76" s="12">
        <v>1</v>
      </c>
      <c r="E76" s="12">
        <v>48</v>
      </c>
      <c r="F76" s="13">
        <v>46182</v>
      </c>
      <c r="G76" s="12">
        <f>SUM(H72:H75)</f>
        <v>150</v>
      </c>
      <c r="H76" s="12">
        <v>5</v>
      </c>
      <c r="I76" s="12" t="s">
        <v>29</v>
      </c>
      <c r="J76" s="12" t="e">
        <f t="shared" si="1"/>
        <v>#DIV/0!</v>
      </c>
      <c r="T76" s="12">
        <v>0</v>
      </c>
    </row>
    <row r="77" spans="1:23" s="19" customFormat="1" ht="15" thickBot="1" x14ac:dyDescent="0.35">
      <c r="A77" s="18" t="s">
        <v>72</v>
      </c>
      <c r="B77" s="19" t="s">
        <v>73</v>
      </c>
      <c r="C77" s="19" t="s">
        <v>41</v>
      </c>
      <c r="D77" s="19">
        <v>2</v>
      </c>
      <c r="E77" s="19">
        <v>0.5</v>
      </c>
      <c r="F77" s="20">
        <v>46182</v>
      </c>
      <c r="G77" s="19">
        <v>0</v>
      </c>
      <c r="H77" s="19">
        <v>15</v>
      </c>
      <c r="I77" s="19" t="s">
        <v>95</v>
      </c>
      <c r="J77" s="19" t="e">
        <f t="shared" si="1"/>
        <v>#DIV/0!</v>
      </c>
      <c r="T77" s="19">
        <v>0</v>
      </c>
    </row>
    <row r="78" spans="1:23" s="4" customFormat="1" x14ac:dyDescent="0.3">
      <c r="A78" s="3" t="s">
        <v>72</v>
      </c>
      <c r="B78" s="4" t="s">
        <v>73</v>
      </c>
      <c r="C78" s="4" t="s">
        <v>41</v>
      </c>
      <c r="D78" s="4">
        <v>2</v>
      </c>
      <c r="E78" s="4">
        <v>2</v>
      </c>
      <c r="F78" s="5">
        <v>46182</v>
      </c>
      <c r="H78" s="4">
        <v>20</v>
      </c>
      <c r="I78" s="4" t="s">
        <v>28</v>
      </c>
      <c r="J78" s="4">
        <f>AVERAGE(L78, N78,P78, R78)</f>
        <v>20.25</v>
      </c>
      <c r="K78" s="4" t="s">
        <v>28</v>
      </c>
      <c r="L78" s="6">
        <v>26.5</v>
      </c>
      <c r="N78" s="4" t="s">
        <v>80</v>
      </c>
      <c r="P78" s="4" t="s">
        <v>80</v>
      </c>
      <c r="R78" s="4">
        <v>14</v>
      </c>
      <c r="S78" s="4">
        <v>26.5</v>
      </c>
      <c r="T78" s="4">
        <v>0</v>
      </c>
    </row>
    <row r="79" spans="1:23" x14ac:dyDescent="0.3">
      <c r="A79" s="8" t="s">
        <v>72</v>
      </c>
      <c r="B79" t="s">
        <v>73</v>
      </c>
      <c r="C79" t="s">
        <v>41</v>
      </c>
      <c r="D79">
        <v>2</v>
      </c>
      <c r="E79">
        <v>2</v>
      </c>
      <c r="F79" s="9">
        <v>46182</v>
      </c>
      <c r="H79">
        <v>5</v>
      </c>
      <c r="I79" t="s">
        <v>29</v>
      </c>
      <c r="J79" t="e">
        <f t="shared" si="1"/>
        <v>#DIV/0!</v>
      </c>
      <c r="T79">
        <v>0</v>
      </c>
    </row>
    <row r="80" spans="1:23" s="12" customFormat="1" ht="15" thickBot="1" x14ac:dyDescent="0.35">
      <c r="A80" s="11" t="s">
        <v>72</v>
      </c>
      <c r="B80" s="12" t="s">
        <v>73</v>
      </c>
      <c r="C80" s="12" t="s">
        <v>41</v>
      </c>
      <c r="D80" s="12">
        <v>2</v>
      </c>
      <c r="E80" s="12">
        <v>2</v>
      </c>
      <c r="F80" s="13">
        <v>46182</v>
      </c>
      <c r="G80" s="12">
        <f>SUM(H78, H80)</f>
        <v>100</v>
      </c>
      <c r="H80" s="14">
        <v>80</v>
      </c>
      <c r="I80" s="12" t="s">
        <v>96</v>
      </c>
      <c r="J80" s="12">
        <f t="shared" si="1"/>
        <v>12.125</v>
      </c>
      <c r="K80" s="12" t="s">
        <v>91</v>
      </c>
      <c r="L80" s="14">
        <v>13.5</v>
      </c>
      <c r="N80" s="12">
        <v>10</v>
      </c>
      <c r="P80" s="12">
        <v>12</v>
      </c>
      <c r="R80" s="12">
        <v>13</v>
      </c>
      <c r="S80" s="12">
        <v>13.5</v>
      </c>
      <c r="T80" s="12">
        <v>0</v>
      </c>
      <c r="V80" s="15">
        <v>0.50277777777777777</v>
      </c>
      <c r="W80" s="12" t="s">
        <v>97</v>
      </c>
    </row>
    <row r="81" spans="1:23" s="4" customFormat="1" x14ac:dyDescent="0.3">
      <c r="A81" s="3" t="s">
        <v>72</v>
      </c>
      <c r="B81" s="4" t="s">
        <v>73</v>
      </c>
      <c r="C81" s="4" t="s">
        <v>41</v>
      </c>
      <c r="D81" s="4">
        <v>2</v>
      </c>
      <c r="E81" s="4">
        <v>6</v>
      </c>
      <c r="F81" s="5">
        <v>46182</v>
      </c>
      <c r="H81" s="6">
        <v>85</v>
      </c>
      <c r="I81" s="4" t="s">
        <v>28</v>
      </c>
      <c r="J81" s="4">
        <f t="shared" si="1"/>
        <v>33.375</v>
      </c>
      <c r="K81" s="4" t="s">
        <v>28</v>
      </c>
      <c r="L81" s="4">
        <v>35</v>
      </c>
      <c r="M81" s="4" t="s">
        <v>28</v>
      </c>
      <c r="N81" s="4">
        <v>32</v>
      </c>
      <c r="O81" s="4" t="s">
        <v>28</v>
      </c>
      <c r="P81" s="4">
        <v>27.5</v>
      </c>
      <c r="Q81" s="4" t="s">
        <v>28</v>
      </c>
      <c r="R81" s="6">
        <v>39</v>
      </c>
      <c r="S81" s="4" t="s">
        <v>28</v>
      </c>
      <c r="T81" s="4">
        <v>39</v>
      </c>
      <c r="U81" s="4" t="s">
        <v>28</v>
      </c>
      <c r="V81" s="7">
        <v>0.49236111111111114</v>
      </c>
    </row>
    <row r="82" spans="1:23" s="12" customFormat="1" ht="15" thickBot="1" x14ac:dyDescent="0.35">
      <c r="A82" s="11" t="s">
        <v>72</v>
      </c>
      <c r="B82" s="12" t="s">
        <v>73</v>
      </c>
      <c r="C82" s="12" t="s">
        <v>41</v>
      </c>
      <c r="D82" s="12">
        <v>2</v>
      </c>
      <c r="E82" s="12">
        <v>6</v>
      </c>
      <c r="F82" s="13">
        <v>46182</v>
      </c>
      <c r="G82" s="12">
        <f>SUM(H81)</f>
        <v>85</v>
      </c>
      <c r="H82" s="12">
        <v>15</v>
      </c>
      <c r="I82" s="12" t="s">
        <v>29</v>
      </c>
      <c r="J82" s="12" t="e">
        <f t="shared" si="1"/>
        <v>#DIV/0!</v>
      </c>
      <c r="T82" s="12">
        <v>0</v>
      </c>
    </row>
    <row r="83" spans="1:23" s="4" customFormat="1" x14ac:dyDescent="0.3">
      <c r="A83" s="3" t="s">
        <v>72</v>
      </c>
      <c r="B83" s="4" t="s">
        <v>73</v>
      </c>
      <c r="C83" s="4" t="s">
        <v>41</v>
      </c>
      <c r="D83" s="4">
        <v>2</v>
      </c>
      <c r="E83" s="4">
        <v>12</v>
      </c>
      <c r="F83" s="5">
        <v>46182</v>
      </c>
      <c r="H83" s="6">
        <v>95</v>
      </c>
      <c r="I83" s="4" t="s">
        <v>28</v>
      </c>
      <c r="J83" s="4">
        <f t="shared" si="1"/>
        <v>36.375</v>
      </c>
      <c r="K83" s="4" t="s">
        <v>28</v>
      </c>
      <c r="L83" s="4">
        <v>35.5</v>
      </c>
      <c r="M83" s="4" t="s">
        <v>28</v>
      </c>
      <c r="N83" s="4">
        <v>32</v>
      </c>
      <c r="O83" s="4" t="s">
        <v>28</v>
      </c>
      <c r="P83" s="4">
        <v>35</v>
      </c>
      <c r="Q83" s="4" t="s">
        <v>28</v>
      </c>
      <c r="R83" s="6">
        <v>43</v>
      </c>
      <c r="S83" s="4" t="s">
        <v>28</v>
      </c>
      <c r="T83" s="4">
        <v>43</v>
      </c>
      <c r="U83" s="4" t="s">
        <v>28</v>
      </c>
      <c r="V83" s="7">
        <v>0.48402777777777778</v>
      </c>
    </row>
    <row r="84" spans="1:23" x14ac:dyDescent="0.3">
      <c r="A84" s="8" t="s">
        <v>72</v>
      </c>
      <c r="B84" t="s">
        <v>73</v>
      </c>
      <c r="C84" t="s">
        <v>41</v>
      </c>
      <c r="D84">
        <v>2</v>
      </c>
      <c r="E84">
        <v>12</v>
      </c>
      <c r="F84" s="9">
        <v>46182</v>
      </c>
      <c r="H84">
        <v>35</v>
      </c>
      <c r="I84" t="s">
        <v>36</v>
      </c>
      <c r="V84" s="16"/>
      <c r="W84" t="s">
        <v>98</v>
      </c>
    </row>
    <row r="85" spans="1:23" s="12" customFormat="1" ht="15" thickBot="1" x14ac:dyDescent="0.35">
      <c r="A85" s="11" t="s">
        <v>72</v>
      </c>
      <c r="B85" s="12" t="s">
        <v>73</v>
      </c>
      <c r="C85" s="12" t="s">
        <v>41</v>
      </c>
      <c r="D85" s="12">
        <v>2</v>
      </c>
      <c r="E85" s="12">
        <v>12</v>
      </c>
      <c r="F85" s="13">
        <v>46182</v>
      </c>
      <c r="G85" s="12">
        <f>SUM(H83:H84)</f>
        <v>130</v>
      </c>
      <c r="H85" s="12">
        <v>5</v>
      </c>
      <c r="I85" s="12" t="s">
        <v>29</v>
      </c>
      <c r="J85" s="12" t="e">
        <f t="shared" si="1"/>
        <v>#DIV/0!</v>
      </c>
      <c r="T85" s="12">
        <v>0</v>
      </c>
    </row>
    <row r="86" spans="1:23" s="4" customFormat="1" x14ac:dyDescent="0.3">
      <c r="A86" s="3" t="s">
        <v>72</v>
      </c>
      <c r="B86" s="4" t="s">
        <v>73</v>
      </c>
      <c r="C86" s="4" t="s">
        <v>41</v>
      </c>
      <c r="D86" s="4">
        <v>2</v>
      </c>
      <c r="E86" s="4">
        <v>18</v>
      </c>
      <c r="F86" s="5">
        <v>46182</v>
      </c>
      <c r="H86" s="6">
        <v>90</v>
      </c>
      <c r="I86" s="4" t="s">
        <v>28</v>
      </c>
      <c r="J86" s="4">
        <f t="shared" si="1"/>
        <v>43</v>
      </c>
      <c r="K86" s="4" t="s">
        <v>28</v>
      </c>
      <c r="L86" s="4">
        <v>42</v>
      </c>
      <c r="M86" s="4" t="s">
        <v>28</v>
      </c>
      <c r="N86" s="4">
        <v>38</v>
      </c>
      <c r="O86" s="4" t="s">
        <v>28</v>
      </c>
      <c r="P86" s="4">
        <v>45</v>
      </c>
      <c r="Q86" s="4" t="s">
        <v>28</v>
      </c>
      <c r="R86" s="6">
        <v>47</v>
      </c>
      <c r="S86" s="4" t="s">
        <v>28</v>
      </c>
      <c r="T86" s="4">
        <v>47</v>
      </c>
      <c r="U86" s="4" t="s">
        <v>28</v>
      </c>
      <c r="V86" s="7">
        <v>0.47916666666666669</v>
      </c>
    </row>
    <row r="87" spans="1:23" s="12" customFormat="1" ht="15" thickBot="1" x14ac:dyDescent="0.35">
      <c r="A87" s="11" t="s">
        <v>72</v>
      </c>
      <c r="B87" s="12" t="s">
        <v>73</v>
      </c>
      <c r="C87" s="12" t="s">
        <v>41</v>
      </c>
      <c r="D87" s="12">
        <v>2</v>
      </c>
      <c r="E87" s="12">
        <v>18</v>
      </c>
      <c r="F87" s="13">
        <v>46182</v>
      </c>
      <c r="G87" s="12">
        <f>SUM(H86)</f>
        <v>90</v>
      </c>
      <c r="H87" s="12">
        <v>10</v>
      </c>
      <c r="I87" s="12" t="s">
        <v>29</v>
      </c>
      <c r="J87" s="12" t="e">
        <f t="shared" si="1"/>
        <v>#DIV/0!</v>
      </c>
      <c r="T87" s="12">
        <v>0</v>
      </c>
    </row>
    <row r="88" spans="1:23" s="4" customFormat="1" x14ac:dyDescent="0.3">
      <c r="A88" s="3" t="s">
        <v>72</v>
      </c>
      <c r="B88" s="4" t="s">
        <v>73</v>
      </c>
      <c r="C88" s="4" t="s">
        <v>41</v>
      </c>
      <c r="D88" s="4">
        <v>2</v>
      </c>
      <c r="E88" s="4">
        <v>24</v>
      </c>
      <c r="F88" s="5">
        <v>46182</v>
      </c>
      <c r="H88" s="6">
        <v>95</v>
      </c>
      <c r="I88" s="4" t="s">
        <v>28</v>
      </c>
      <c r="J88" s="4">
        <f t="shared" si="1"/>
        <v>42.25</v>
      </c>
      <c r="K88" s="4" t="s">
        <v>28</v>
      </c>
      <c r="L88" s="4">
        <v>41</v>
      </c>
      <c r="M88" s="4" t="s">
        <v>28</v>
      </c>
      <c r="N88" s="4">
        <v>45.5</v>
      </c>
      <c r="O88" s="4" t="s">
        <v>28</v>
      </c>
      <c r="P88" s="4">
        <v>37.5</v>
      </c>
      <c r="Q88" s="4" t="s">
        <v>28</v>
      </c>
      <c r="R88" s="6">
        <v>45</v>
      </c>
      <c r="S88" s="4" t="s">
        <v>28</v>
      </c>
      <c r="T88" s="4">
        <v>45</v>
      </c>
      <c r="U88" s="4" t="s">
        <v>28</v>
      </c>
      <c r="V88" s="7">
        <v>0.46944444444444444</v>
      </c>
    </row>
    <row r="89" spans="1:23" s="12" customFormat="1" ht="15" thickBot="1" x14ac:dyDescent="0.35">
      <c r="A89" s="11" t="s">
        <v>72</v>
      </c>
      <c r="B89" s="12" t="s">
        <v>73</v>
      </c>
      <c r="C89" s="12" t="s">
        <v>41</v>
      </c>
      <c r="D89" s="12">
        <v>2</v>
      </c>
      <c r="E89" s="12">
        <v>24</v>
      </c>
      <c r="F89" s="13">
        <v>46182</v>
      </c>
      <c r="G89" s="12">
        <f>SUM(H88)</f>
        <v>95</v>
      </c>
      <c r="H89" s="12">
        <v>5</v>
      </c>
      <c r="I89" s="12" t="s">
        <v>29</v>
      </c>
      <c r="J89" s="12" t="e">
        <f t="shared" si="1"/>
        <v>#DIV/0!</v>
      </c>
      <c r="T89" s="12">
        <v>0</v>
      </c>
    </row>
    <row r="90" spans="1:23" s="4" customFormat="1" x14ac:dyDescent="0.3">
      <c r="A90" s="3" t="s">
        <v>72</v>
      </c>
      <c r="B90" s="4" t="s">
        <v>73</v>
      </c>
      <c r="C90" s="4" t="s">
        <v>41</v>
      </c>
      <c r="D90" s="4">
        <v>2</v>
      </c>
      <c r="E90" s="4">
        <v>48</v>
      </c>
      <c r="F90" s="5">
        <v>46182</v>
      </c>
      <c r="H90" s="6">
        <v>95</v>
      </c>
      <c r="I90" s="4" t="s">
        <v>28</v>
      </c>
      <c r="J90" s="4">
        <f t="shared" si="1"/>
        <v>38.125</v>
      </c>
      <c r="K90" s="4" t="s">
        <v>28</v>
      </c>
      <c r="L90" s="4">
        <v>28</v>
      </c>
      <c r="M90" s="4" t="s">
        <v>28</v>
      </c>
      <c r="N90" s="4">
        <v>41.5</v>
      </c>
      <c r="O90" s="4" t="s">
        <v>28</v>
      </c>
      <c r="P90" s="6">
        <v>47</v>
      </c>
      <c r="Q90" s="4" t="s">
        <v>28</v>
      </c>
      <c r="R90" s="4">
        <v>36</v>
      </c>
      <c r="S90" s="4" t="s">
        <v>28</v>
      </c>
      <c r="T90" s="4">
        <v>47</v>
      </c>
      <c r="U90" s="4" t="s">
        <v>28</v>
      </c>
      <c r="V90" s="7">
        <v>0.45833333333333331</v>
      </c>
    </row>
    <row r="91" spans="1:23" ht="15" thickBot="1" x14ac:dyDescent="0.35">
      <c r="A91" s="8" t="s">
        <v>72</v>
      </c>
      <c r="B91" t="s">
        <v>73</v>
      </c>
      <c r="C91" t="s">
        <v>41</v>
      </c>
      <c r="D91">
        <v>2</v>
      </c>
      <c r="E91">
        <v>48</v>
      </c>
      <c r="F91" s="9">
        <v>46182</v>
      </c>
      <c r="G91">
        <f>SUM(H90)</f>
        <v>95</v>
      </c>
      <c r="H91">
        <v>5</v>
      </c>
      <c r="I91" t="s">
        <v>29</v>
      </c>
      <c r="J91" t="e">
        <f t="shared" si="1"/>
        <v>#DIV/0!</v>
      </c>
      <c r="T91">
        <v>0</v>
      </c>
    </row>
    <row r="92" spans="1:23" s="4" customFormat="1" x14ac:dyDescent="0.3">
      <c r="A92" s="3" t="s">
        <v>72</v>
      </c>
      <c r="B92" s="4" t="s">
        <v>73</v>
      </c>
      <c r="C92" s="4" t="s">
        <v>52</v>
      </c>
      <c r="D92" s="4">
        <v>1</v>
      </c>
      <c r="E92" s="4">
        <v>0.5</v>
      </c>
      <c r="F92" s="5"/>
      <c r="H92" s="4">
        <v>75</v>
      </c>
      <c r="I92" s="4" t="s">
        <v>31</v>
      </c>
    </row>
    <row r="93" spans="1:23" x14ac:dyDescent="0.3">
      <c r="A93" s="8" t="s">
        <v>72</v>
      </c>
      <c r="B93" t="s">
        <v>73</v>
      </c>
      <c r="C93" t="s">
        <v>52</v>
      </c>
      <c r="D93">
        <v>1</v>
      </c>
      <c r="E93">
        <v>0.5</v>
      </c>
      <c r="F93" s="9"/>
      <c r="H93">
        <v>80</v>
      </c>
      <c r="I93" t="s">
        <v>36</v>
      </c>
      <c r="J93">
        <f>AVERAGE(L93, N93, P93, R93)</f>
        <v>14.5</v>
      </c>
      <c r="K93" t="s">
        <v>36</v>
      </c>
      <c r="L93">
        <v>13.5</v>
      </c>
      <c r="N93">
        <v>13</v>
      </c>
      <c r="P93">
        <v>15</v>
      </c>
      <c r="R93">
        <v>16.5</v>
      </c>
      <c r="T93">
        <v>16.5</v>
      </c>
    </row>
    <row r="94" spans="1:23" s="12" customFormat="1" ht="15" thickBot="1" x14ac:dyDescent="0.35">
      <c r="A94" s="11" t="s">
        <v>72</v>
      </c>
      <c r="B94" s="12" t="s">
        <v>73</v>
      </c>
      <c r="C94" s="12" t="s">
        <v>52</v>
      </c>
      <c r="D94" s="12">
        <v>1</v>
      </c>
      <c r="E94" s="12">
        <v>0.5</v>
      </c>
      <c r="F94" s="13"/>
      <c r="G94" s="12">
        <f>SUM(H92:H94)</f>
        <v>160</v>
      </c>
      <c r="H94" s="12">
        <v>5</v>
      </c>
      <c r="I94" s="12" t="s">
        <v>28</v>
      </c>
      <c r="J94" s="12">
        <f t="shared" si="1"/>
        <v>28</v>
      </c>
      <c r="K94" s="12" t="s">
        <v>28</v>
      </c>
      <c r="M94" s="12" t="s">
        <v>28</v>
      </c>
      <c r="O94" s="12" t="s">
        <v>28</v>
      </c>
      <c r="P94" s="12">
        <v>28</v>
      </c>
      <c r="Q94" s="12" t="s">
        <v>28</v>
      </c>
      <c r="S94" s="12" t="s">
        <v>28</v>
      </c>
      <c r="T94" s="12">
        <v>28</v>
      </c>
      <c r="U94" s="12" t="s">
        <v>28</v>
      </c>
      <c r="V94" s="15">
        <v>0.60763888888888884</v>
      </c>
    </row>
    <row r="95" spans="1:23" s="4" customFormat="1" x14ac:dyDescent="0.3">
      <c r="A95" s="3" t="s">
        <v>72</v>
      </c>
      <c r="B95" s="4" t="s">
        <v>73</v>
      </c>
      <c r="C95" s="4" t="s">
        <v>52</v>
      </c>
      <c r="D95" s="4">
        <v>1</v>
      </c>
      <c r="E95" s="4">
        <v>2</v>
      </c>
      <c r="F95" s="5"/>
      <c r="H95" s="4">
        <v>50</v>
      </c>
      <c r="I95" s="4" t="s">
        <v>31</v>
      </c>
      <c r="P95" s="4">
        <v>22</v>
      </c>
    </row>
    <row r="96" spans="1:23" x14ac:dyDescent="0.3">
      <c r="A96" s="8" t="s">
        <v>72</v>
      </c>
      <c r="B96" t="s">
        <v>73</v>
      </c>
      <c r="C96" t="s">
        <v>52</v>
      </c>
      <c r="D96">
        <v>1</v>
      </c>
      <c r="E96">
        <v>2</v>
      </c>
      <c r="F96" s="9"/>
      <c r="H96">
        <v>10</v>
      </c>
      <c r="I96" t="s">
        <v>28</v>
      </c>
      <c r="J96">
        <f>AVERAGE(L96, N96, P96, R96)</f>
        <v>33</v>
      </c>
      <c r="L96">
        <v>31</v>
      </c>
      <c r="N96" t="s">
        <v>30</v>
      </c>
      <c r="P96" t="s">
        <v>30</v>
      </c>
      <c r="R96">
        <v>35</v>
      </c>
      <c r="T96">
        <v>35</v>
      </c>
    </row>
    <row r="97" spans="1:23" s="12" customFormat="1" ht="15" thickBot="1" x14ac:dyDescent="0.35">
      <c r="A97" s="11" t="s">
        <v>72</v>
      </c>
      <c r="B97" s="12" t="s">
        <v>73</v>
      </c>
      <c r="C97" s="12" t="s">
        <v>52</v>
      </c>
      <c r="D97" s="12">
        <v>1</v>
      </c>
      <c r="E97" s="12">
        <v>2</v>
      </c>
      <c r="F97" s="13"/>
      <c r="G97" s="12">
        <f>SUM(H95:H97)</f>
        <v>135</v>
      </c>
      <c r="H97" s="12">
        <v>75</v>
      </c>
      <c r="I97" s="12" t="s">
        <v>36</v>
      </c>
      <c r="J97" s="12">
        <f t="shared" si="1"/>
        <v>15.375</v>
      </c>
      <c r="K97" s="12" t="s">
        <v>36</v>
      </c>
      <c r="L97" s="12">
        <v>14</v>
      </c>
      <c r="N97" s="12">
        <v>15.5</v>
      </c>
      <c r="P97" s="12">
        <v>14</v>
      </c>
      <c r="R97" s="12">
        <v>18</v>
      </c>
      <c r="T97" s="12">
        <v>18</v>
      </c>
      <c r="V97" s="15">
        <v>0.60069444444444442</v>
      </c>
    </row>
    <row r="98" spans="1:23" s="4" customFormat="1" x14ac:dyDescent="0.3">
      <c r="A98" s="3" t="s">
        <v>72</v>
      </c>
      <c r="B98" s="4" t="s">
        <v>73</v>
      </c>
      <c r="C98" s="4" t="s">
        <v>52</v>
      </c>
      <c r="D98" s="4">
        <v>1</v>
      </c>
      <c r="E98" s="4">
        <v>6</v>
      </c>
      <c r="F98" s="5"/>
      <c r="H98" s="4">
        <v>95</v>
      </c>
      <c r="I98" s="4" t="s">
        <v>31</v>
      </c>
      <c r="J98" s="4">
        <f t="shared" si="1"/>
        <v>35.625</v>
      </c>
      <c r="K98" s="4" t="s">
        <v>31</v>
      </c>
      <c r="L98" s="4">
        <v>37.5</v>
      </c>
      <c r="N98" s="4">
        <v>33</v>
      </c>
      <c r="P98" s="4">
        <v>35</v>
      </c>
      <c r="R98" s="4">
        <v>37</v>
      </c>
      <c r="T98" s="4">
        <v>37.5</v>
      </c>
    </row>
    <row r="99" spans="1:23" s="12" customFormat="1" ht="15" thickBot="1" x14ac:dyDescent="0.35">
      <c r="A99" s="11" t="s">
        <v>72</v>
      </c>
      <c r="B99" s="12" t="s">
        <v>73</v>
      </c>
      <c r="C99" s="12" t="s">
        <v>52</v>
      </c>
      <c r="D99" s="12">
        <v>1</v>
      </c>
      <c r="E99" s="12">
        <v>6</v>
      </c>
      <c r="F99" s="13"/>
      <c r="G99" s="12">
        <f>SUM(H98)</f>
        <v>95</v>
      </c>
      <c r="H99" s="12">
        <v>5</v>
      </c>
      <c r="I99" s="12" t="s">
        <v>29</v>
      </c>
      <c r="J99" s="12" t="e">
        <f t="shared" si="1"/>
        <v>#DIV/0!</v>
      </c>
      <c r="T99" s="12">
        <v>0</v>
      </c>
      <c r="V99" s="15">
        <v>0.59513888888888888</v>
      </c>
    </row>
    <row r="100" spans="1:23" s="4" customFormat="1" x14ac:dyDescent="0.3">
      <c r="A100" s="3" t="s">
        <v>72</v>
      </c>
      <c r="B100" s="4" t="s">
        <v>73</v>
      </c>
      <c r="C100" s="4" t="s">
        <v>52</v>
      </c>
      <c r="D100" s="4">
        <v>1</v>
      </c>
      <c r="E100" s="4">
        <v>12</v>
      </c>
      <c r="F100" s="5"/>
      <c r="H100" s="4">
        <v>60</v>
      </c>
      <c r="I100" s="4" t="s">
        <v>28</v>
      </c>
      <c r="J100" s="4">
        <f t="shared" si="1"/>
        <v>54.125</v>
      </c>
      <c r="K100" s="4" t="s">
        <v>28</v>
      </c>
      <c r="L100" s="4">
        <v>56.5</v>
      </c>
      <c r="M100" s="4" t="s">
        <v>28</v>
      </c>
      <c r="N100" s="4">
        <v>55</v>
      </c>
      <c r="O100" s="4" t="s">
        <v>28</v>
      </c>
      <c r="P100" s="4">
        <v>49</v>
      </c>
      <c r="Q100" s="4" t="s">
        <v>28</v>
      </c>
      <c r="R100" s="4">
        <v>56</v>
      </c>
      <c r="S100" s="4" t="s">
        <v>28</v>
      </c>
      <c r="T100" s="4">
        <v>95</v>
      </c>
      <c r="U100" s="4" t="s">
        <v>28</v>
      </c>
      <c r="V100" s="7">
        <v>0.58611111111111114</v>
      </c>
    </row>
    <row r="101" spans="1:23" x14ac:dyDescent="0.3">
      <c r="A101" s="8" t="s">
        <v>72</v>
      </c>
      <c r="B101" t="s">
        <v>73</v>
      </c>
      <c r="C101" t="s">
        <v>52</v>
      </c>
      <c r="D101">
        <v>1</v>
      </c>
      <c r="E101">
        <v>12</v>
      </c>
      <c r="F101" s="9"/>
      <c r="H101">
        <v>20</v>
      </c>
      <c r="I101" t="s">
        <v>26</v>
      </c>
      <c r="J101">
        <f t="shared" si="1"/>
        <v>77.25</v>
      </c>
      <c r="K101" t="s">
        <v>26</v>
      </c>
      <c r="L101">
        <v>64</v>
      </c>
      <c r="N101">
        <v>95</v>
      </c>
      <c r="P101">
        <v>72</v>
      </c>
      <c r="R101">
        <v>78</v>
      </c>
      <c r="T101">
        <v>56.5</v>
      </c>
      <c r="W101" t="s">
        <v>111</v>
      </c>
    </row>
    <row r="102" spans="1:23" s="12" customFormat="1" ht="15" thickBot="1" x14ac:dyDescent="0.35">
      <c r="A102" s="11" t="s">
        <v>72</v>
      </c>
      <c r="B102" s="12" t="s">
        <v>73</v>
      </c>
      <c r="C102" s="12" t="s">
        <v>52</v>
      </c>
      <c r="D102" s="12">
        <v>1</v>
      </c>
      <c r="E102" s="12">
        <v>12</v>
      </c>
      <c r="F102" s="13"/>
      <c r="G102" s="12">
        <f>SUM(H100:H101)</f>
        <v>80</v>
      </c>
      <c r="H102" s="12">
        <v>30</v>
      </c>
      <c r="I102" s="12" t="s">
        <v>29</v>
      </c>
      <c r="J102" s="12" t="e">
        <f t="shared" si="1"/>
        <v>#DIV/0!</v>
      </c>
      <c r="T102" s="12">
        <v>0</v>
      </c>
    </row>
    <row r="103" spans="1:23" s="4" customFormat="1" x14ac:dyDescent="0.3">
      <c r="A103" s="3" t="s">
        <v>72</v>
      </c>
      <c r="B103" s="4" t="s">
        <v>73</v>
      </c>
      <c r="C103" s="4" t="s">
        <v>52</v>
      </c>
      <c r="D103" s="4">
        <v>1</v>
      </c>
      <c r="E103" s="4">
        <v>18</v>
      </c>
      <c r="F103" s="5"/>
      <c r="H103" s="4">
        <v>35</v>
      </c>
      <c r="I103" s="4" t="s">
        <v>28</v>
      </c>
      <c r="J103" s="4">
        <f t="shared" si="1"/>
        <v>44.375</v>
      </c>
      <c r="K103" s="4" t="s">
        <v>28</v>
      </c>
      <c r="L103" s="4">
        <v>49</v>
      </c>
      <c r="M103" s="4" t="s">
        <v>28</v>
      </c>
      <c r="N103" s="4">
        <v>40</v>
      </c>
      <c r="O103" s="4" t="s">
        <v>28</v>
      </c>
      <c r="P103" s="4">
        <v>51</v>
      </c>
      <c r="Q103" s="4" t="s">
        <v>28</v>
      </c>
      <c r="R103" s="4">
        <v>37.5</v>
      </c>
      <c r="S103" s="4" t="s">
        <v>28</v>
      </c>
      <c r="T103" s="4">
        <v>51</v>
      </c>
      <c r="U103" s="4" t="s">
        <v>28</v>
      </c>
      <c r="V103" s="7">
        <v>0.5756944444444444</v>
      </c>
    </row>
    <row r="104" spans="1:23" x14ac:dyDescent="0.3">
      <c r="A104" s="8" t="s">
        <v>72</v>
      </c>
      <c r="B104" t="s">
        <v>73</v>
      </c>
      <c r="C104" t="s">
        <v>52</v>
      </c>
      <c r="D104">
        <v>1</v>
      </c>
      <c r="E104">
        <v>18</v>
      </c>
      <c r="F104" s="9"/>
      <c r="H104">
        <v>10</v>
      </c>
      <c r="I104" t="s">
        <v>31</v>
      </c>
      <c r="J104" t="e">
        <f t="shared" si="1"/>
        <v>#DIV/0!</v>
      </c>
      <c r="T104">
        <v>0</v>
      </c>
    </row>
    <row r="105" spans="1:23" x14ac:dyDescent="0.3">
      <c r="A105" s="8" t="s">
        <v>72</v>
      </c>
      <c r="B105" t="s">
        <v>73</v>
      </c>
      <c r="C105" t="s">
        <v>52</v>
      </c>
      <c r="D105">
        <v>1</v>
      </c>
      <c r="E105">
        <v>18</v>
      </c>
      <c r="F105" s="9"/>
      <c r="H105">
        <v>45</v>
      </c>
      <c r="I105" t="s">
        <v>26</v>
      </c>
      <c r="J105">
        <f t="shared" si="1"/>
        <v>68.25</v>
      </c>
      <c r="K105" t="s">
        <v>26</v>
      </c>
      <c r="L105">
        <v>71</v>
      </c>
      <c r="N105">
        <v>68</v>
      </c>
      <c r="P105">
        <v>66</v>
      </c>
      <c r="R105">
        <v>68</v>
      </c>
      <c r="T105">
        <v>71</v>
      </c>
      <c r="V105" t="s">
        <v>112</v>
      </c>
    </row>
    <row r="106" spans="1:23" s="12" customFormat="1" ht="15" thickBot="1" x14ac:dyDescent="0.35">
      <c r="A106" s="11" t="s">
        <v>72</v>
      </c>
      <c r="B106" s="12" t="s">
        <v>73</v>
      </c>
      <c r="C106" s="12" t="s">
        <v>52</v>
      </c>
      <c r="D106" s="12">
        <v>1</v>
      </c>
      <c r="E106" s="12">
        <v>18</v>
      </c>
      <c r="F106" s="13"/>
      <c r="G106" s="12">
        <f>SUM(H103:H105)</f>
        <v>90</v>
      </c>
      <c r="H106" s="12">
        <v>35</v>
      </c>
      <c r="I106" s="12" t="s">
        <v>29</v>
      </c>
      <c r="J106" s="12" t="e">
        <f t="shared" si="1"/>
        <v>#DIV/0!</v>
      </c>
      <c r="T106" s="12">
        <v>0</v>
      </c>
      <c r="V106" s="12" t="s">
        <v>115</v>
      </c>
    </row>
    <row r="107" spans="1:23" s="4" customFormat="1" x14ac:dyDescent="0.3">
      <c r="A107" s="3" t="s">
        <v>72</v>
      </c>
      <c r="B107" s="4" t="s">
        <v>73</v>
      </c>
      <c r="C107" s="4" t="s">
        <v>52</v>
      </c>
      <c r="D107" s="4">
        <v>1</v>
      </c>
      <c r="E107" s="4">
        <v>24</v>
      </c>
      <c r="F107" s="5"/>
      <c r="H107" s="4">
        <v>15</v>
      </c>
      <c r="I107" s="4" t="s">
        <v>28</v>
      </c>
      <c r="J107" s="4">
        <f t="shared" si="1"/>
        <v>45.75</v>
      </c>
      <c r="K107" s="4" t="s">
        <v>28</v>
      </c>
      <c r="L107" s="4">
        <v>44.5</v>
      </c>
      <c r="M107" s="4" t="s">
        <v>28</v>
      </c>
      <c r="N107" s="4">
        <v>46.5</v>
      </c>
      <c r="O107" s="4" t="s">
        <v>28</v>
      </c>
      <c r="P107" s="4">
        <v>37</v>
      </c>
      <c r="Q107" s="4" t="s">
        <v>28</v>
      </c>
      <c r="R107" s="4">
        <v>55</v>
      </c>
      <c r="S107" s="4" t="s">
        <v>28</v>
      </c>
      <c r="T107" s="4">
        <v>55</v>
      </c>
      <c r="U107" s="4" t="s">
        <v>28</v>
      </c>
      <c r="V107" s="7">
        <v>0.5625</v>
      </c>
    </row>
    <row r="108" spans="1:23" x14ac:dyDescent="0.3">
      <c r="A108" s="8" t="s">
        <v>72</v>
      </c>
      <c r="B108" t="s">
        <v>73</v>
      </c>
      <c r="C108" t="s">
        <v>52</v>
      </c>
      <c r="D108">
        <v>1</v>
      </c>
      <c r="E108">
        <v>24</v>
      </c>
      <c r="F108" s="9"/>
      <c r="H108">
        <v>80</v>
      </c>
      <c r="I108" t="s">
        <v>36</v>
      </c>
      <c r="J108">
        <f t="shared" si="1"/>
        <v>25</v>
      </c>
      <c r="K108" t="s">
        <v>36</v>
      </c>
      <c r="L108">
        <v>27</v>
      </c>
      <c r="N108">
        <v>23</v>
      </c>
      <c r="P108">
        <v>20</v>
      </c>
      <c r="R108">
        <v>30</v>
      </c>
      <c r="T108">
        <v>30</v>
      </c>
      <c r="V108" t="s">
        <v>113</v>
      </c>
    </row>
    <row r="109" spans="1:23" x14ac:dyDescent="0.3">
      <c r="A109" s="8" t="s">
        <v>72</v>
      </c>
      <c r="B109" t="s">
        <v>73</v>
      </c>
      <c r="C109" t="s">
        <v>52</v>
      </c>
      <c r="D109">
        <v>1</v>
      </c>
      <c r="E109">
        <v>24</v>
      </c>
      <c r="F109" s="9"/>
      <c r="H109">
        <v>20</v>
      </c>
      <c r="I109" t="s">
        <v>26</v>
      </c>
      <c r="J109">
        <f t="shared" si="1"/>
        <v>64.25</v>
      </c>
      <c r="K109" t="s">
        <v>26</v>
      </c>
      <c r="L109">
        <v>71.5</v>
      </c>
      <c r="N109">
        <v>63.5</v>
      </c>
      <c r="P109">
        <v>55</v>
      </c>
      <c r="R109">
        <v>67</v>
      </c>
      <c r="T109">
        <v>71.5</v>
      </c>
    </row>
    <row r="110" spans="1:23" s="12" customFormat="1" ht="15" thickBot="1" x14ac:dyDescent="0.35">
      <c r="A110" s="11" t="s">
        <v>72</v>
      </c>
      <c r="B110" s="12" t="s">
        <v>73</v>
      </c>
      <c r="C110" s="12" t="s">
        <v>52</v>
      </c>
      <c r="D110" s="12">
        <v>1</v>
      </c>
      <c r="E110" s="12">
        <v>24</v>
      </c>
      <c r="F110" s="13"/>
      <c r="G110" s="12">
        <f>SUM(H107:H110)</f>
        <v>120</v>
      </c>
      <c r="H110" s="12">
        <v>5</v>
      </c>
      <c r="I110" s="12" t="s">
        <v>31</v>
      </c>
      <c r="J110" s="12" t="e">
        <f t="shared" si="1"/>
        <v>#DIV/0!</v>
      </c>
      <c r="T110" s="12">
        <v>0</v>
      </c>
    </row>
    <row r="111" spans="1:23" s="4" customFormat="1" x14ac:dyDescent="0.3">
      <c r="A111" s="3" t="s">
        <v>72</v>
      </c>
      <c r="B111" s="4" t="s">
        <v>73</v>
      </c>
      <c r="C111" s="4" t="s">
        <v>52</v>
      </c>
      <c r="D111" s="4">
        <v>1</v>
      </c>
      <c r="E111" s="4">
        <v>48</v>
      </c>
      <c r="F111" s="5"/>
      <c r="H111" s="4">
        <v>5</v>
      </c>
      <c r="I111" s="4" t="s">
        <v>29</v>
      </c>
      <c r="J111" s="4" t="e">
        <f t="shared" si="1"/>
        <v>#DIV/0!</v>
      </c>
      <c r="T111" s="4">
        <v>0</v>
      </c>
    </row>
    <row r="112" spans="1:23" x14ac:dyDescent="0.3">
      <c r="A112" s="8" t="s">
        <v>72</v>
      </c>
      <c r="B112" t="s">
        <v>73</v>
      </c>
      <c r="C112" t="s">
        <v>52</v>
      </c>
      <c r="D112">
        <v>1</v>
      </c>
      <c r="E112">
        <v>48</v>
      </c>
      <c r="F112" s="9"/>
      <c r="H112">
        <v>90</v>
      </c>
      <c r="I112" t="s">
        <v>31</v>
      </c>
      <c r="J112">
        <f t="shared" si="1"/>
        <v>30.125</v>
      </c>
      <c r="K112" t="s">
        <v>31</v>
      </c>
      <c r="L112">
        <v>30</v>
      </c>
      <c r="N112">
        <v>33.5</v>
      </c>
      <c r="P112">
        <v>30</v>
      </c>
      <c r="R112">
        <v>27</v>
      </c>
      <c r="T112">
        <v>33.5</v>
      </c>
      <c r="V112" s="16">
        <v>0.55277777777777781</v>
      </c>
    </row>
    <row r="113" spans="1:23" s="12" customFormat="1" ht="15" thickBot="1" x14ac:dyDescent="0.35">
      <c r="A113" s="11" t="s">
        <v>72</v>
      </c>
      <c r="B113" s="12" t="s">
        <v>73</v>
      </c>
      <c r="C113" s="12" t="s">
        <v>52</v>
      </c>
      <c r="D113" s="12">
        <v>1</v>
      </c>
      <c r="E113" s="12">
        <v>48</v>
      </c>
      <c r="F113" s="13"/>
      <c r="G113" s="12">
        <f>SUM(H112:H113)</f>
        <v>95</v>
      </c>
      <c r="H113" s="12">
        <v>5</v>
      </c>
      <c r="I113" s="12" t="s">
        <v>28</v>
      </c>
      <c r="J113" s="12">
        <f t="shared" si="1"/>
        <v>27.25</v>
      </c>
      <c r="L113" s="12">
        <v>30.5</v>
      </c>
      <c r="N113" s="12">
        <v>24</v>
      </c>
      <c r="P113" s="12" t="s">
        <v>30</v>
      </c>
      <c r="R113" s="12" t="s">
        <v>30</v>
      </c>
      <c r="T113" s="12">
        <v>30.5</v>
      </c>
      <c r="V113" s="12" t="s">
        <v>115</v>
      </c>
    </row>
    <row r="114" spans="1:23" s="4" customFormat="1" x14ac:dyDescent="0.3">
      <c r="A114" s="3" t="s">
        <v>72</v>
      </c>
      <c r="B114" s="4" t="s">
        <v>73</v>
      </c>
      <c r="C114" s="4" t="s">
        <v>52</v>
      </c>
      <c r="D114" s="4">
        <v>2</v>
      </c>
      <c r="E114" s="4">
        <v>0.5</v>
      </c>
      <c r="F114" s="5"/>
      <c r="H114" s="4">
        <v>20</v>
      </c>
      <c r="I114" s="4" t="s">
        <v>28</v>
      </c>
      <c r="J114" s="4">
        <f t="shared" si="1"/>
        <v>34.875</v>
      </c>
      <c r="K114" s="4" t="s">
        <v>28</v>
      </c>
      <c r="L114" s="4">
        <v>42.5</v>
      </c>
      <c r="M114" s="4" t="s">
        <v>28</v>
      </c>
      <c r="N114" s="4">
        <v>42</v>
      </c>
      <c r="O114" s="4" t="s">
        <v>28</v>
      </c>
      <c r="P114" s="4">
        <v>26</v>
      </c>
      <c r="Q114" s="4" t="s">
        <v>28</v>
      </c>
      <c r="R114" s="4">
        <v>29</v>
      </c>
      <c r="S114" s="4" t="s">
        <v>28</v>
      </c>
      <c r="T114" s="4">
        <v>42.5</v>
      </c>
      <c r="U114" s="4" t="s">
        <v>28</v>
      </c>
      <c r="V114" s="7">
        <v>0.62708333333333333</v>
      </c>
    </row>
    <row r="115" spans="1:23" x14ac:dyDescent="0.3">
      <c r="A115" s="8" t="s">
        <v>72</v>
      </c>
      <c r="B115" t="s">
        <v>73</v>
      </c>
      <c r="C115" t="s">
        <v>52</v>
      </c>
      <c r="D115">
        <v>2</v>
      </c>
      <c r="E115">
        <v>0.5</v>
      </c>
      <c r="F115" s="9"/>
      <c r="H115">
        <v>75</v>
      </c>
      <c r="I115" t="s">
        <v>36</v>
      </c>
      <c r="J115">
        <f t="shared" si="1"/>
        <v>16.25</v>
      </c>
      <c r="L115">
        <v>19</v>
      </c>
      <c r="N115">
        <v>12</v>
      </c>
      <c r="P115">
        <v>18</v>
      </c>
      <c r="R115">
        <v>16</v>
      </c>
      <c r="T115">
        <v>19</v>
      </c>
      <c r="W115" t="s">
        <v>116</v>
      </c>
    </row>
    <row r="116" spans="1:23" x14ac:dyDescent="0.3">
      <c r="A116" s="8" t="s">
        <v>72</v>
      </c>
      <c r="B116" t="s">
        <v>73</v>
      </c>
      <c r="C116" t="s">
        <v>52</v>
      </c>
      <c r="D116">
        <v>2</v>
      </c>
      <c r="E116">
        <v>0.5</v>
      </c>
      <c r="F116" s="9"/>
      <c r="H116">
        <v>15</v>
      </c>
      <c r="I116" t="s">
        <v>31</v>
      </c>
      <c r="J116" t="e">
        <f t="shared" si="1"/>
        <v>#DIV/0!</v>
      </c>
      <c r="T116">
        <v>0</v>
      </c>
    </row>
    <row r="117" spans="1:23" s="12" customFormat="1" ht="15" thickBot="1" x14ac:dyDescent="0.35">
      <c r="A117" s="11" t="s">
        <v>72</v>
      </c>
      <c r="B117" s="12" t="s">
        <v>73</v>
      </c>
      <c r="C117" s="12" t="s">
        <v>52</v>
      </c>
      <c r="D117" s="12">
        <v>2</v>
      </c>
      <c r="E117" s="12">
        <v>0.5</v>
      </c>
      <c r="F117" s="13"/>
      <c r="G117" s="12">
        <f>SUM(H114:H116)</f>
        <v>110</v>
      </c>
      <c r="H117" s="12">
        <v>5</v>
      </c>
      <c r="I117" s="12" t="s">
        <v>29</v>
      </c>
      <c r="J117" s="12" t="e">
        <f t="shared" si="1"/>
        <v>#DIV/0!</v>
      </c>
      <c r="T117" s="12">
        <v>0</v>
      </c>
    </row>
    <row r="118" spans="1:23" s="4" customFormat="1" x14ac:dyDescent="0.3">
      <c r="A118" s="3" t="s">
        <v>72</v>
      </c>
      <c r="B118" s="4" t="s">
        <v>73</v>
      </c>
      <c r="C118" s="4" t="s">
        <v>52</v>
      </c>
      <c r="D118" s="4">
        <v>2</v>
      </c>
      <c r="E118" s="4">
        <v>2</v>
      </c>
      <c r="F118" s="5"/>
      <c r="H118" s="4">
        <v>20</v>
      </c>
      <c r="I118" s="4" t="s">
        <v>28</v>
      </c>
      <c r="J118" s="4">
        <f t="shared" si="1"/>
        <v>24.833333333333332</v>
      </c>
      <c r="K118" s="4" t="s">
        <v>28</v>
      </c>
      <c r="L118" s="4">
        <v>32.5</v>
      </c>
      <c r="M118" s="4" t="s">
        <v>28</v>
      </c>
      <c r="N118" s="4">
        <v>24</v>
      </c>
      <c r="O118" s="4" t="s">
        <v>28</v>
      </c>
      <c r="P118" s="4">
        <v>18</v>
      </c>
      <c r="Q118" s="4" t="s">
        <v>28</v>
      </c>
      <c r="R118" s="4" t="s">
        <v>30</v>
      </c>
      <c r="S118" s="4" t="s">
        <v>28</v>
      </c>
      <c r="T118" s="4">
        <v>32.5</v>
      </c>
      <c r="U118" s="4" t="s">
        <v>28</v>
      </c>
      <c r="V118" s="7">
        <v>0.63541666666666663</v>
      </c>
    </row>
    <row r="119" spans="1:23" x14ac:dyDescent="0.3">
      <c r="A119" s="8" t="s">
        <v>72</v>
      </c>
      <c r="B119" t="s">
        <v>73</v>
      </c>
      <c r="C119" t="s">
        <v>52</v>
      </c>
      <c r="D119">
        <v>2</v>
      </c>
      <c r="E119">
        <v>2</v>
      </c>
      <c r="F119" s="9"/>
      <c r="H119">
        <v>75</v>
      </c>
      <c r="I119" t="s">
        <v>36</v>
      </c>
      <c r="J119">
        <f t="shared" ref="J119:J179" si="2">AVERAGE(L119, N119, P119, R119)</f>
        <v>16.375</v>
      </c>
      <c r="K119" t="s">
        <v>36</v>
      </c>
      <c r="L119">
        <v>19</v>
      </c>
      <c r="N119">
        <v>15.5</v>
      </c>
      <c r="P119">
        <v>14</v>
      </c>
      <c r="R119">
        <v>17</v>
      </c>
      <c r="T119">
        <v>19</v>
      </c>
    </row>
    <row r="120" spans="1:23" x14ac:dyDescent="0.3">
      <c r="A120" s="8" t="s">
        <v>72</v>
      </c>
      <c r="B120" t="s">
        <v>73</v>
      </c>
      <c r="C120" t="s">
        <v>52</v>
      </c>
      <c r="D120">
        <v>2</v>
      </c>
      <c r="E120">
        <v>2</v>
      </c>
      <c r="F120" s="9"/>
      <c r="H120">
        <v>65</v>
      </c>
      <c r="I120" t="s">
        <v>31</v>
      </c>
      <c r="J120">
        <f t="shared" si="2"/>
        <v>21.333333333333332</v>
      </c>
      <c r="K120" t="s">
        <v>31</v>
      </c>
      <c r="L120" t="s">
        <v>30</v>
      </c>
      <c r="N120">
        <v>20</v>
      </c>
      <c r="P120">
        <v>28</v>
      </c>
      <c r="R120">
        <v>16</v>
      </c>
      <c r="T120">
        <v>28</v>
      </c>
    </row>
    <row r="121" spans="1:23" s="12" customFormat="1" ht="15" thickBot="1" x14ac:dyDescent="0.35">
      <c r="A121" s="11" t="s">
        <v>72</v>
      </c>
      <c r="B121" s="12" t="s">
        <v>73</v>
      </c>
      <c r="C121" s="12" t="s">
        <v>52</v>
      </c>
      <c r="D121" s="12">
        <v>2</v>
      </c>
      <c r="E121" s="12">
        <v>2</v>
      </c>
      <c r="F121" s="13"/>
      <c r="G121" s="12">
        <f>SUM(H118:H120)</f>
        <v>160</v>
      </c>
      <c r="H121" s="12">
        <v>5</v>
      </c>
      <c r="I121" s="12" t="s">
        <v>29</v>
      </c>
      <c r="J121" s="12" t="e">
        <f t="shared" si="2"/>
        <v>#DIV/0!</v>
      </c>
      <c r="T121" s="12">
        <v>0</v>
      </c>
    </row>
    <row r="122" spans="1:23" s="4" customFormat="1" x14ac:dyDescent="0.3">
      <c r="A122" s="3" t="s">
        <v>72</v>
      </c>
      <c r="B122" s="4" t="s">
        <v>73</v>
      </c>
      <c r="C122" s="4" t="s">
        <v>52</v>
      </c>
      <c r="D122" s="4">
        <v>2</v>
      </c>
      <c r="E122" s="4">
        <v>6</v>
      </c>
      <c r="F122" s="5"/>
      <c r="H122" s="4">
        <v>40</v>
      </c>
      <c r="I122" s="4" t="s">
        <v>28</v>
      </c>
      <c r="J122" s="4">
        <f t="shared" si="2"/>
        <v>43</v>
      </c>
      <c r="K122" s="4" t="s">
        <v>28</v>
      </c>
      <c r="L122" s="4">
        <v>34</v>
      </c>
      <c r="M122" s="4" t="s">
        <v>28</v>
      </c>
      <c r="N122" s="4">
        <v>36</v>
      </c>
      <c r="O122" s="4" t="s">
        <v>28</v>
      </c>
      <c r="P122" s="4">
        <v>53</v>
      </c>
      <c r="Q122" s="4" t="s">
        <v>28</v>
      </c>
      <c r="R122" s="4">
        <v>49</v>
      </c>
      <c r="S122" s="4" t="s">
        <v>28</v>
      </c>
      <c r="T122" s="4">
        <v>53</v>
      </c>
      <c r="U122" s="4" t="s">
        <v>28</v>
      </c>
      <c r="V122" s="7">
        <v>0.6430555555555556</v>
      </c>
    </row>
    <row r="123" spans="1:23" x14ac:dyDescent="0.3">
      <c r="A123" s="8" t="s">
        <v>72</v>
      </c>
      <c r="B123" t="s">
        <v>73</v>
      </c>
      <c r="C123" t="s">
        <v>52</v>
      </c>
      <c r="D123">
        <v>2</v>
      </c>
      <c r="E123">
        <v>6</v>
      </c>
      <c r="F123" s="9"/>
      <c r="H123">
        <v>50</v>
      </c>
      <c r="I123" t="s">
        <v>36</v>
      </c>
      <c r="J123">
        <f t="shared" si="2"/>
        <v>21.875</v>
      </c>
      <c r="L123">
        <v>20</v>
      </c>
      <c r="N123">
        <v>18</v>
      </c>
      <c r="P123">
        <v>25</v>
      </c>
      <c r="R123">
        <v>24.5</v>
      </c>
      <c r="T123">
        <v>25</v>
      </c>
      <c r="W123" t="s">
        <v>117</v>
      </c>
    </row>
    <row r="124" spans="1:23" x14ac:dyDescent="0.3">
      <c r="A124" s="8" t="s">
        <v>72</v>
      </c>
      <c r="B124" t="s">
        <v>73</v>
      </c>
      <c r="C124" t="s">
        <v>52</v>
      </c>
      <c r="D124">
        <v>2</v>
      </c>
      <c r="E124">
        <v>6</v>
      </c>
      <c r="F124" s="9"/>
      <c r="H124">
        <v>30</v>
      </c>
      <c r="I124" t="s">
        <v>31</v>
      </c>
      <c r="J124" t="e">
        <f t="shared" si="2"/>
        <v>#DIV/0!</v>
      </c>
      <c r="T124">
        <v>0</v>
      </c>
    </row>
    <row r="125" spans="1:23" x14ac:dyDescent="0.3">
      <c r="A125" s="8" t="s">
        <v>72</v>
      </c>
      <c r="B125" t="s">
        <v>73</v>
      </c>
      <c r="C125" t="s">
        <v>52</v>
      </c>
      <c r="D125">
        <v>2</v>
      </c>
      <c r="E125">
        <v>6</v>
      </c>
      <c r="F125" s="9"/>
      <c r="H125">
        <v>10</v>
      </c>
      <c r="I125" t="s">
        <v>26</v>
      </c>
      <c r="J125">
        <f t="shared" si="2"/>
        <v>53.166666666666664</v>
      </c>
      <c r="K125" t="s">
        <v>26</v>
      </c>
      <c r="L125">
        <v>59.5</v>
      </c>
      <c r="N125">
        <v>40</v>
      </c>
      <c r="P125" t="s">
        <v>30</v>
      </c>
      <c r="R125">
        <v>60</v>
      </c>
      <c r="T125">
        <v>60</v>
      </c>
    </row>
    <row r="126" spans="1:23" s="12" customFormat="1" ht="15" thickBot="1" x14ac:dyDescent="0.35">
      <c r="A126" s="11" t="s">
        <v>72</v>
      </c>
      <c r="B126" s="12" t="s">
        <v>73</v>
      </c>
      <c r="C126" s="12" t="s">
        <v>52</v>
      </c>
      <c r="D126" s="12">
        <v>2</v>
      </c>
      <c r="E126" s="12">
        <v>6</v>
      </c>
      <c r="F126" s="13"/>
      <c r="G126" s="12">
        <f>SUM(H122:H125)</f>
        <v>130</v>
      </c>
      <c r="H126" s="12">
        <v>5</v>
      </c>
      <c r="I126" s="12" t="s">
        <v>29</v>
      </c>
      <c r="J126" s="12" t="e">
        <f t="shared" si="2"/>
        <v>#DIV/0!</v>
      </c>
      <c r="T126" s="12">
        <v>0</v>
      </c>
    </row>
    <row r="127" spans="1:23" s="4" customFormat="1" x14ac:dyDescent="0.3">
      <c r="A127" s="3" t="s">
        <v>72</v>
      </c>
      <c r="B127" s="4" t="s">
        <v>73</v>
      </c>
      <c r="C127" s="4" t="s">
        <v>52</v>
      </c>
      <c r="D127" s="4">
        <v>2</v>
      </c>
      <c r="E127" s="4">
        <v>12</v>
      </c>
      <c r="F127" s="5"/>
      <c r="H127" s="4">
        <v>10</v>
      </c>
      <c r="I127" s="4" t="s">
        <v>29</v>
      </c>
      <c r="J127" s="4" t="e">
        <f t="shared" si="2"/>
        <v>#DIV/0!</v>
      </c>
      <c r="T127" s="4">
        <v>0</v>
      </c>
      <c r="V127" s="7">
        <v>0.65208333333333335</v>
      </c>
    </row>
    <row r="128" spans="1:23" x14ac:dyDescent="0.3">
      <c r="A128" s="8" t="s">
        <v>72</v>
      </c>
      <c r="B128" t="s">
        <v>73</v>
      </c>
      <c r="C128" t="s">
        <v>52</v>
      </c>
      <c r="D128">
        <v>2</v>
      </c>
      <c r="E128">
        <v>12</v>
      </c>
      <c r="F128" s="9"/>
      <c r="H128">
        <v>35</v>
      </c>
      <c r="I128" t="s">
        <v>28</v>
      </c>
      <c r="J128">
        <f t="shared" si="2"/>
        <v>48</v>
      </c>
      <c r="K128" t="s">
        <v>28</v>
      </c>
      <c r="L128">
        <v>64</v>
      </c>
      <c r="M128" t="s">
        <v>28</v>
      </c>
      <c r="N128">
        <v>36</v>
      </c>
      <c r="O128" t="s">
        <v>28</v>
      </c>
      <c r="P128">
        <v>40</v>
      </c>
      <c r="Q128" t="s">
        <v>28</v>
      </c>
      <c r="R128">
        <v>52</v>
      </c>
      <c r="S128" t="s">
        <v>28</v>
      </c>
      <c r="T128">
        <v>64</v>
      </c>
      <c r="U128" t="s">
        <v>28</v>
      </c>
    </row>
    <row r="129" spans="1:23" x14ac:dyDescent="0.3">
      <c r="A129" s="8" t="s">
        <v>72</v>
      </c>
      <c r="B129" t="s">
        <v>73</v>
      </c>
      <c r="C129" t="s">
        <v>52</v>
      </c>
      <c r="D129">
        <v>2</v>
      </c>
      <c r="E129">
        <v>12</v>
      </c>
      <c r="F129" s="9"/>
      <c r="H129">
        <v>55</v>
      </c>
      <c r="I129" t="s">
        <v>36</v>
      </c>
      <c r="J129">
        <f t="shared" si="2"/>
        <v>20.75</v>
      </c>
      <c r="L129">
        <v>18</v>
      </c>
      <c r="N129">
        <v>20</v>
      </c>
      <c r="P129">
        <v>22</v>
      </c>
      <c r="R129">
        <v>23</v>
      </c>
      <c r="T129">
        <v>23</v>
      </c>
      <c r="W129" t="s">
        <v>82</v>
      </c>
    </row>
    <row r="130" spans="1:23" x14ac:dyDescent="0.3">
      <c r="A130" s="8" t="s">
        <v>72</v>
      </c>
      <c r="B130" t="s">
        <v>73</v>
      </c>
      <c r="C130" t="s">
        <v>52</v>
      </c>
      <c r="D130">
        <v>2</v>
      </c>
      <c r="E130">
        <v>12</v>
      </c>
      <c r="F130" s="9"/>
      <c r="H130">
        <v>10</v>
      </c>
      <c r="I130" t="s">
        <v>31</v>
      </c>
      <c r="J130" t="e">
        <f t="shared" si="2"/>
        <v>#DIV/0!</v>
      </c>
      <c r="T130">
        <v>0</v>
      </c>
      <c r="W130" t="s">
        <v>118</v>
      </c>
    </row>
    <row r="131" spans="1:23" s="12" customFormat="1" ht="15" thickBot="1" x14ac:dyDescent="0.35">
      <c r="A131" s="11" t="s">
        <v>72</v>
      </c>
      <c r="B131" s="12" t="s">
        <v>73</v>
      </c>
      <c r="C131" s="12" t="s">
        <v>52</v>
      </c>
      <c r="D131" s="12">
        <v>2</v>
      </c>
      <c r="E131" s="12">
        <v>12</v>
      </c>
      <c r="F131" s="13"/>
      <c r="G131" s="12">
        <f>SUM(H128:H131)</f>
        <v>115</v>
      </c>
      <c r="H131" s="12">
        <v>15</v>
      </c>
      <c r="I131" s="12" t="s">
        <v>26</v>
      </c>
      <c r="J131" s="12">
        <f t="shared" si="2"/>
        <v>48.75</v>
      </c>
      <c r="K131" s="12" t="s">
        <v>26</v>
      </c>
      <c r="L131" s="12">
        <v>52</v>
      </c>
      <c r="N131" s="12">
        <v>53</v>
      </c>
      <c r="P131" s="12">
        <v>48</v>
      </c>
      <c r="R131" s="12">
        <v>42</v>
      </c>
      <c r="T131" s="12">
        <v>53</v>
      </c>
    </row>
    <row r="132" spans="1:23" s="4" customFormat="1" x14ac:dyDescent="0.3">
      <c r="A132" s="3" t="s">
        <v>72</v>
      </c>
      <c r="B132" s="4" t="s">
        <v>73</v>
      </c>
      <c r="C132" s="4" t="s">
        <v>52</v>
      </c>
      <c r="D132" s="4">
        <v>2</v>
      </c>
      <c r="E132" s="4">
        <v>18</v>
      </c>
      <c r="F132" s="5"/>
      <c r="H132" s="4">
        <v>15</v>
      </c>
      <c r="I132" s="4" t="s">
        <v>29</v>
      </c>
      <c r="J132" s="4" t="e">
        <f t="shared" si="2"/>
        <v>#DIV/0!</v>
      </c>
      <c r="T132" s="4">
        <v>0</v>
      </c>
      <c r="V132" s="7">
        <v>0.66388888888888886</v>
      </c>
    </row>
    <row r="133" spans="1:23" x14ac:dyDescent="0.3">
      <c r="A133" s="8" t="s">
        <v>72</v>
      </c>
      <c r="B133" t="s">
        <v>73</v>
      </c>
      <c r="C133" t="s">
        <v>52</v>
      </c>
      <c r="D133">
        <v>2</v>
      </c>
      <c r="E133">
        <v>18</v>
      </c>
      <c r="F133" s="9"/>
      <c r="H133">
        <v>25</v>
      </c>
      <c r="I133" t="s">
        <v>28</v>
      </c>
      <c r="J133">
        <f t="shared" si="2"/>
        <v>48.75</v>
      </c>
      <c r="K133" t="s">
        <v>28</v>
      </c>
      <c r="L133">
        <v>45</v>
      </c>
      <c r="M133" t="s">
        <v>28</v>
      </c>
      <c r="N133">
        <v>51</v>
      </c>
      <c r="O133" t="s">
        <v>28</v>
      </c>
      <c r="P133">
        <v>50</v>
      </c>
      <c r="Q133" t="s">
        <v>28</v>
      </c>
      <c r="R133">
        <v>49</v>
      </c>
      <c r="S133" t="s">
        <v>28</v>
      </c>
      <c r="T133">
        <v>51</v>
      </c>
      <c r="U133" t="s">
        <v>28</v>
      </c>
    </row>
    <row r="134" spans="1:23" x14ac:dyDescent="0.3">
      <c r="A134" s="8" t="s">
        <v>72</v>
      </c>
      <c r="B134" t="s">
        <v>73</v>
      </c>
      <c r="C134" t="s">
        <v>52</v>
      </c>
      <c r="D134">
        <v>2</v>
      </c>
      <c r="E134">
        <v>18</v>
      </c>
      <c r="F134" s="9"/>
      <c r="H134">
        <v>35</v>
      </c>
      <c r="I134" t="s">
        <v>26</v>
      </c>
      <c r="J134">
        <f t="shared" si="2"/>
        <v>55.25</v>
      </c>
      <c r="K134" t="s">
        <v>26</v>
      </c>
      <c r="L134">
        <v>57</v>
      </c>
      <c r="N134">
        <v>52</v>
      </c>
      <c r="P134">
        <v>50</v>
      </c>
      <c r="R134">
        <v>62</v>
      </c>
      <c r="T134">
        <v>62</v>
      </c>
    </row>
    <row r="135" spans="1:23" s="12" customFormat="1" ht="15" thickBot="1" x14ac:dyDescent="0.35">
      <c r="A135" s="11" t="s">
        <v>72</v>
      </c>
      <c r="B135" s="12" t="s">
        <v>73</v>
      </c>
      <c r="C135" s="12" t="s">
        <v>52</v>
      </c>
      <c r="D135" s="12">
        <v>2</v>
      </c>
      <c r="E135" s="12">
        <v>18</v>
      </c>
      <c r="F135" s="13"/>
      <c r="G135" s="12">
        <f>SUM(H133:H135)</f>
        <v>105</v>
      </c>
      <c r="H135" s="12">
        <v>45</v>
      </c>
      <c r="I135" s="12" t="s">
        <v>36</v>
      </c>
      <c r="J135" s="12">
        <f t="shared" si="2"/>
        <v>25.5</v>
      </c>
      <c r="L135" s="12">
        <v>28</v>
      </c>
      <c r="N135" s="12">
        <v>24</v>
      </c>
      <c r="P135" s="12">
        <v>24</v>
      </c>
      <c r="R135" s="12">
        <v>26</v>
      </c>
      <c r="T135" s="12">
        <v>28</v>
      </c>
    </row>
    <row r="136" spans="1:23" s="4" customFormat="1" x14ac:dyDescent="0.3">
      <c r="A136" s="3" t="s">
        <v>72</v>
      </c>
      <c r="B136" s="4" t="s">
        <v>73</v>
      </c>
      <c r="C136" s="4" t="s">
        <v>52</v>
      </c>
      <c r="D136" s="4">
        <v>2</v>
      </c>
      <c r="E136" s="4">
        <v>24</v>
      </c>
      <c r="F136" s="5"/>
      <c r="H136" s="4">
        <v>5</v>
      </c>
      <c r="I136" s="4" t="s">
        <v>29</v>
      </c>
      <c r="J136" s="4" t="e">
        <f t="shared" si="2"/>
        <v>#DIV/0!</v>
      </c>
      <c r="T136" s="4">
        <v>0</v>
      </c>
    </row>
    <row r="137" spans="1:23" x14ac:dyDescent="0.3">
      <c r="A137" s="8" t="s">
        <v>72</v>
      </c>
      <c r="B137" t="s">
        <v>73</v>
      </c>
      <c r="C137" t="s">
        <v>52</v>
      </c>
      <c r="D137">
        <v>2</v>
      </c>
      <c r="E137">
        <v>24</v>
      </c>
      <c r="F137" s="9"/>
      <c r="H137">
        <v>20</v>
      </c>
      <c r="I137" t="s">
        <v>26</v>
      </c>
      <c r="J137">
        <f t="shared" si="2"/>
        <v>53.75</v>
      </c>
      <c r="K137" t="s">
        <v>26</v>
      </c>
      <c r="L137">
        <v>57</v>
      </c>
      <c r="N137">
        <v>55</v>
      </c>
      <c r="P137">
        <v>51</v>
      </c>
      <c r="R137">
        <v>52</v>
      </c>
      <c r="T137">
        <v>57</v>
      </c>
      <c r="W137" t="s">
        <v>114</v>
      </c>
    </row>
    <row r="138" spans="1:23" x14ac:dyDescent="0.3">
      <c r="A138" s="8" t="s">
        <v>72</v>
      </c>
      <c r="B138" t="s">
        <v>73</v>
      </c>
      <c r="C138" t="s">
        <v>52</v>
      </c>
      <c r="D138">
        <v>2</v>
      </c>
      <c r="E138">
        <v>24</v>
      </c>
      <c r="F138" s="9"/>
      <c r="H138">
        <v>25</v>
      </c>
      <c r="I138" t="s">
        <v>28</v>
      </c>
      <c r="J138">
        <f t="shared" si="2"/>
        <v>33.75</v>
      </c>
      <c r="K138" t="s">
        <v>28</v>
      </c>
      <c r="L138">
        <v>33</v>
      </c>
      <c r="M138" t="s">
        <v>28</v>
      </c>
      <c r="N138">
        <v>29</v>
      </c>
      <c r="O138" t="s">
        <v>28</v>
      </c>
      <c r="P138">
        <v>38</v>
      </c>
      <c r="Q138" t="s">
        <v>28</v>
      </c>
      <c r="R138">
        <v>35</v>
      </c>
      <c r="S138" t="s">
        <v>28</v>
      </c>
      <c r="T138">
        <v>38</v>
      </c>
      <c r="U138" t="s">
        <v>28</v>
      </c>
      <c r="V138" s="16">
        <v>0.6743055555555556</v>
      </c>
    </row>
    <row r="139" spans="1:23" x14ac:dyDescent="0.3">
      <c r="A139" s="8" t="s">
        <v>72</v>
      </c>
      <c r="B139" t="s">
        <v>73</v>
      </c>
      <c r="C139" t="s">
        <v>52</v>
      </c>
      <c r="D139">
        <v>2</v>
      </c>
      <c r="E139">
        <v>24</v>
      </c>
      <c r="F139" s="9"/>
      <c r="H139">
        <v>10</v>
      </c>
      <c r="I139" t="s">
        <v>31</v>
      </c>
      <c r="J139" t="e">
        <f t="shared" si="2"/>
        <v>#DIV/0!</v>
      </c>
      <c r="T139">
        <v>0</v>
      </c>
    </row>
    <row r="140" spans="1:23" s="12" customFormat="1" ht="15" thickBot="1" x14ac:dyDescent="0.35">
      <c r="A140" s="11" t="s">
        <v>72</v>
      </c>
      <c r="B140" s="12" t="s">
        <v>73</v>
      </c>
      <c r="C140" s="12" t="s">
        <v>52</v>
      </c>
      <c r="D140" s="12">
        <v>2</v>
      </c>
      <c r="E140" s="12">
        <v>24</v>
      </c>
      <c r="F140" s="13"/>
      <c r="G140" s="12">
        <f>SUM(H137:H140)</f>
        <v>120</v>
      </c>
      <c r="H140" s="12">
        <v>65</v>
      </c>
      <c r="I140" s="12" t="s">
        <v>36</v>
      </c>
      <c r="J140" s="12">
        <f t="shared" si="2"/>
        <v>23.375</v>
      </c>
      <c r="L140" s="12">
        <v>24.5</v>
      </c>
      <c r="N140" s="12">
        <v>21</v>
      </c>
      <c r="P140" s="12">
        <v>24</v>
      </c>
      <c r="R140" s="12">
        <v>24</v>
      </c>
      <c r="T140" s="12">
        <v>24.5</v>
      </c>
      <c r="W140" s="12" t="s">
        <v>119</v>
      </c>
    </row>
    <row r="141" spans="1:23" s="4" customFormat="1" x14ac:dyDescent="0.3">
      <c r="A141" s="3" t="s">
        <v>72</v>
      </c>
      <c r="B141" s="4" t="s">
        <v>73</v>
      </c>
      <c r="C141" s="4" t="s">
        <v>52</v>
      </c>
      <c r="D141" s="4">
        <v>2</v>
      </c>
      <c r="E141" s="4">
        <v>48</v>
      </c>
      <c r="F141" s="5"/>
      <c r="H141" s="4">
        <v>5</v>
      </c>
      <c r="I141" s="4" t="s">
        <v>29</v>
      </c>
      <c r="J141" s="4" t="e">
        <f t="shared" si="2"/>
        <v>#DIV/0!</v>
      </c>
      <c r="T141" s="4">
        <v>0</v>
      </c>
      <c r="V141" s="7">
        <v>0.68541666666666667</v>
      </c>
    </row>
    <row r="142" spans="1:23" x14ac:dyDescent="0.3">
      <c r="A142" s="8" t="s">
        <v>72</v>
      </c>
      <c r="B142" t="s">
        <v>73</v>
      </c>
      <c r="C142" t="s">
        <v>52</v>
      </c>
      <c r="D142">
        <v>2</v>
      </c>
      <c r="E142">
        <v>48</v>
      </c>
      <c r="F142" s="9"/>
      <c r="H142">
        <v>35</v>
      </c>
      <c r="I142" t="s">
        <v>36</v>
      </c>
      <c r="J142" t="e">
        <f t="shared" si="2"/>
        <v>#DIV/0!</v>
      </c>
      <c r="T142">
        <v>0</v>
      </c>
      <c r="W142" t="s">
        <v>120</v>
      </c>
    </row>
    <row r="143" spans="1:23" x14ac:dyDescent="0.3">
      <c r="A143" s="8" t="s">
        <v>72</v>
      </c>
      <c r="B143" t="s">
        <v>73</v>
      </c>
      <c r="C143" t="s">
        <v>52</v>
      </c>
      <c r="D143">
        <v>2</v>
      </c>
      <c r="E143">
        <v>48</v>
      </c>
      <c r="F143" s="9"/>
      <c r="H143">
        <v>90</v>
      </c>
      <c r="I143" t="s">
        <v>31</v>
      </c>
      <c r="J143">
        <f t="shared" si="2"/>
        <v>31</v>
      </c>
      <c r="K143" t="s">
        <v>31</v>
      </c>
      <c r="L143">
        <v>27</v>
      </c>
      <c r="N143">
        <v>33</v>
      </c>
      <c r="P143">
        <v>31</v>
      </c>
      <c r="R143">
        <v>33</v>
      </c>
      <c r="T143">
        <v>33</v>
      </c>
    </row>
    <row r="144" spans="1:23" s="12" customFormat="1" ht="15" thickBot="1" x14ac:dyDescent="0.35">
      <c r="A144" s="11" t="s">
        <v>72</v>
      </c>
      <c r="B144" s="12" t="s">
        <v>73</v>
      </c>
      <c r="C144" s="12" t="s">
        <v>52</v>
      </c>
      <c r="D144" s="12">
        <v>2</v>
      </c>
      <c r="E144" s="12">
        <v>48</v>
      </c>
      <c r="F144" s="13"/>
      <c r="G144" s="12">
        <f>SUM(H142:H144)</f>
        <v>130</v>
      </c>
      <c r="H144" s="12">
        <v>5</v>
      </c>
      <c r="I144" s="12" t="s">
        <v>26</v>
      </c>
      <c r="J144" s="12">
        <f t="shared" si="2"/>
        <v>56</v>
      </c>
      <c r="K144" s="12" t="s">
        <v>26</v>
      </c>
      <c r="L144" s="12">
        <v>56</v>
      </c>
      <c r="N144" s="12" t="s">
        <v>30</v>
      </c>
      <c r="P144" s="12" t="s">
        <v>30</v>
      </c>
      <c r="R144" s="12" t="s">
        <v>30</v>
      </c>
      <c r="T144" s="12">
        <v>56</v>
      </c>
    </row>
    <row r="145" spans="1:22" s="4" customFormat="1" x14ac:dyDescent="0.3">
      <c r="A145" s="3" t="s">
        <v>72</v>
      </c>
      <c r="B145" s="4" t="s">
        <v>73</v>
      </c>
      <c r="C145" s="4" t="s">
        <v>60</v>
      </c>
      <c r="D145" s="4">
        <v>1</v>
      </c>
      <c r="E145" s="4">
        <v>0.5</v>
      </c>
      <c r="F145" s="5"/>
      <c r="H145" s="4">
        <v>35</v>
      </c>
      <c r="I145" s="4" t="s">
        <v>28</v>
      </c>
      <c r="J145" s="4">
        <f t="shared" si="2"/>
        <v>57</v>
      </c>
      <c r="K145" s="4" t="s">
        <v>28</v>
      </c>
      <c r="L145" s="4">
        <v>48</v>
      </c>
      <c r="M145" s="4" t="s">
        <v>28</v>
      </c>
      <c r="N145" s="4">
        <v>59</v>
      </c>
      <c r="O145" s="4" t="s">
        <v>28</v>
      </c>
      <c r="P145" s="4">
        <v>66</v>
      </c>
      <c r="Q145" s="4" t="s">
        <v>28</v>
      </c>
      <c r="R145" s="4">
        <v>55</v>
      </c>
      <c r="S145" s="4" t="s">
        <v>28</v>
      </c>
      <c r="T145" s="4">
        <v>66</v>
      </c>
      <c r="U145" s="4" t="s">
        <v>28</v>
      </c>
      <c r="V145" s="7">
        <v>0.43541666666666667</v>
      </c>
    </row>
    <row r="146" spans="1:22" x14ac:dyDescent="0.3">
      <c r="A146" s="8" t="s">
        <v>72</v>
      </c>
      <c r="B146" t="s">
        <v>73</v>
      </c>
      <c r="C146" t="s">
        <v>60</v>
      </c>
      <c r="D146">
        <v>1</v>
      </c>
      <c r="E146">
        <v>0.5</v>
      </c>
      <c r="F146" s="9"/>
      <c r="H146">
        <v>35</v>
      </c>
      <c r="I146" t="s">
        <v>26</v>
      </c>
      <c r="J146">
        <f t="shared" si="2"/>
        <v>67.125</v>
      </c>
      <c r="L146">
        <v>76</v>
      </c>
      <c r="N146">
        <v>69.5</v>
      </c>
      <c r="P146">
        <v>70</v>
      </c>
      <c r="R146">
        <v>53</v>
      </c>
      <c r="T146">
        <v>76</v>
      </c>
    </row>
    <row r="147" spans="1:22" s="12" customFormat="1" ht="15" thickBot="1" x14ac:dyDescent="0.35">
      <c r="A147" s="11" t="s">
        <v>72</v>
      </c>
      <c r="B147" s="12" t="s">
        <v>73</v>
      </c>
      <c r="C147" s="12" t="s">
        <v>60</v>
      </c>
      <c r="D147" s="12">
        <v>1</v>
      </c>
      <c r="E147" s="12">
        <v>0.5</v>
      </c>
      <c r="F147" s="13"/>
      <c r="G147" s="12">
        <f>SUM(H145:H146)</f>
        <v>70</v>
      </c>
      <c r="H147" s="12">
        <v>40</v>
      </c>
      <c r="I147" s="12" t="s">
        <v>29</v>
      </c>
      <c r="J147" s="12" t="e">
        <f t="shared" si="2"/>
        <v>#DIV/0!</v>
      </c>
      <c r="T147" s="12">
        <v>0</v>
      </c>
    </row>
    <row r="148" spans="1:22" s="4" customFormat="1" x14ac:dyDescent="0.3">
      <c r="A148" s="3" t="s">
        <v>72</v>
      </c>
      <c r="B148" s="4" t="s">
        <v>73</v>
      </c>
      <c r="C148" s="4" t="s">
        <v>60</v>
      </c>
      <c r="D148" s="4">
        <v>1</v>
      </c>
      <c r="E148" s="4">
        <v>2</v>
      </c>
      <c r="F148" s="5"/>
      <c r="H148" s="4">
        <v>75</v>
      </c>
      <c r="I148" s="4" t="s">
        <v>28</v>
      </c>
      <c r="J148" s="4">
        <f t="shared" si="2"/>
        <v>51.625</v>
      </c>
      <c r="K148" s="4" t="s">
        <v>28</v>
      </c>
      <c r="L148" s="4">
        <v>69.5</v>
      </c>
      <c r="M148" s="4" t="s">
        <v>28</v>
      </c>
      <c r="N148" s="4">
        <v>52</v>
      </c>
      <c r="O148" s="4" t="s">
        <v>28</v>
      </c>
      <c r="P148" s="4">
        <v>39</v>
      </c>
      <c r="Q148" s="4" t="s">
        <v>28</v>
      </c>
      <c r="R148" s="4">
        <v>46</v>
      </c>
      <c r="S148" s="4" t="s">
        <v>28</v>
      </c>
      <c r="T148" s="4">
        <v>69.5</v>
      </c>
      <c r="U148" s="4" t="s">
        <v>28</v>
      </c>
      <c r="V148" s="7">
        <v>0.43888888888888888</v>
      </c>
    </row>
    <row r="149" spans="1:22" s="12" customFormat="1" ht="15" thickBot="1" x14ac:dyDescent="0.35">
      <c r="A149" s="11" t="s">
        <v>72</v>
      </c>
      <c r="B149" s="12" t="s">
        <v>73</v>
      </c>
      <c r="C149" s="12" t="s">
        <v>60</v>
      </c>
      <c r="D149" s="12">
        <v>1</v>
      </c>
      <c r="E149" s="12">
        <v>2</v>
      </c>
      <c r="F149" s="13"/>
      <c r="G149" s="12">
        <f>SUM(H148)</f>
        <v>75</v>
      </c>
      <c r="H149" s="12">
        <v>25</v>
      </c>
      <c r="I149" s="12" t="s">
        <v>29</v>
      </c>
      <c r="J149" s="12" t="e">
        <f t="shared" si="2"/>
        <v>#DIV/0!</v>
      </c>
      <c r="T149" s="12">
        <v>0</v>
      </c>
    </row>
    <row r="150" spans="1:22" s="4" customFormat="1" x14ac:dyDescent="0.3">
      <c r="A150" s="3" t="s">
        <v>72</v>
      </c>
      <c r="B150" s="4" t="s">
        <v>73</v>
      </c>
      <c r="C150" s="4" t="s">
        <v>60</v>
      </c>
      <c r="D150" s="4">
        <v>1</v>
      </c>
      <c r="E150" s="4">
        <v>6</v>
      </c>
      <c r="F150" s="5"/>
      <c r="H150" s="4">
        <v>40</v>
      </c>
      <c r="I150" s="4" t="s">
        <v>63</v>
      </c>
      <c r="J150" s="4" t="e">
        <f t="shared" si="2"/>
        <v>#DIV/0!</v>
      </c>
      <c r="T150" s="4">
        <v>0</v>
      </c>
    </row>
    <row r="151" spans="1:22" s="12" customFormat="1" ht="15" thickBot="1" x14ac:dyDescent="0.35">
      <c r="A151" s="11" t="s">
        <v>72</v>
      </c>
      <c r="B151" s="12" t="s">
        <v>73</v>
      </c>
      <c r="C151" s="12" t="s">
        <v>60</v>
      </c>
      <c r="D151" s="12">
        <v>1</v>
      </c>
      <c r="E151" s="12">
        <v>6</v>
      </c>
      <c r="F151" s="13"/>
      <c r="G151" s="12">
        <f>SUM(H151)</f>
        <v>60</v>
      </c>
      <c r="H151" s="12">
        <v>60</v>
      </c>
      <c r="I151" s="12" t="s">
        <v>28</v>
      </c>
      <c r="J151" s="12">
        <f t="shared" si="2"/>
        <v>61.125</v>
      </c>
      <c r="K151" s="12" t="s">
        <v>28</v>
      </c>
      <c r="L151" s="12">
        <v>63</v>
      </c>
      <c r="M151" s="12" t="s">
        <v>28</v>
      </c>
      <c r="N151" s="12">
        <v>65</v>
      </c>
      <c r="O151" s="12" t="s">
        <v>28</v>
      </c>
      <c r="P151" s="12">
        <v>64</v>
      </c>
      <c r="Q151" s="12" t="s">
        <v>28</v>
      </c>
      <c r="R151" s="12">
        <v>52.5</v>
      </c>
      <c r="S151" s="12" t="s">
        <v>28</v>
      </c>
      <c r="T151" s="12">
        <v>65</v>
      </c>
      <c r="U151" s="12" t="s">
        <v>28</v>
      </c>
      <c r="V151" s="15">
        <v>0.44027777777777777</v>
      </c>
    </row>
    <row r="152" spans="1:22" s="4" customFormat="1" x14ac:dyDescent="0.3">
      <c r="A152" s="3" t="s">
        <v>72</v>
      </c>
      <c r="B152" s="4" t="s">
        <v>73</v>
      </c>
      <c r="C152" s="4" t="s">
        <v>60</v>
      </c>
      <c r="D152" s="4">
        <v>1</v>
      </c>
      <c r="E152" s="4">
        <v>12</v>
      </c>
      <c r="F152" s="5"/>
      <c r="H152" s="4">
        <v>65</v>
      </c>
      <c r="I152" s="4" t="s">
        <v>28</v>
      </c>
      <c r="J152" s="4">
        <f t="shared" si="2"/>
        <v>46</v>
      </c>
      <c r="K152" s="4" t="s">
        <v>28</v>
      </c>
      <c r="L152" s="4">
        <v>55</v>
      </c>
      <c r="M152" s="4" t="s">
        <v>28</v>
      </c>
      <c r="N152" s="4">
        <v>44</v>
      </c>
      <c r="O152" s="4" t="s">
        <v>28</v>
      </c>
      <c r="P152" s="4">
        <v>42</v>
      </c>
      <c r="Q152" s="4" t="s">
        <v>28</v>
      </c>
      <c r="R152" s="4">
        <v>43</v>
      </c>
      <c r="S152" s="4" t="s">
        <v>28</v>
      </c>
      <c r="T152" s="4">
        <v>55</v>
      </c>
      <c r="U152" s="4" t="s">
        <v>28</v>
      </c>
      <c r="V152" s="7">
        <v>0.44236111111111109</v>
      </c>
    </row>
    <row r="153" spans="1:22" s="12" customFormat="1" ht="15" thickBot="1" x14ac:dyDescent="0.35">
      <c r="A153" s="11" t="s">
        <v>72</v>
      </c>
      <c r="B153" s="12" t="s">
        <v>73</v>
      </c>
      <c r="C153" s="12" t="s">
        <v>60</v>
      </c>
      <c r="D153" s="12">
        <v>1</v>
      </c>
      <c r="E153" s="12">
        <v>12</v>
      </c>
      <c r="F153" s="13"/>
      <c r="G153" s="12">
        <f>SUM(H152)</f>
        <v>65</v>
      </c>
      <c r="H153" s="12">
        <v>35</v>
      </c>
      <c r="I153" s="12" t="s">
        <v>29</v>
      </c>
      <c r="J153" s="12" t="e">
        <f t="shared" si="2"/>
        <v>#DIV/0!</v>
      </c>
      <c r="T153" s="12">
        <v>0</v>
      </c>
    </row>
    <row r="154" spans="1:22" s="4" customFormat="1" x14ac:dyDescent="0.3">
      <c r="A154" s="3" t="s">
        <v>72</v>
      </c>
      <c r="B154" s="4" t="s">
        <v>73</v>
      </c>
      <c r="C154" s="4" t="s">
        <v>60</v>
      </c>
      <c r="D154" s="4">
        <v>1</v>
      </c>
      <c r="E154" s="4">
        <v>18</v>
      </c>
      <c r="F154" s="5"/>
      <c r="H154" s="4">
        <v>80</v>
      </c>
      <c r="I154" s="4" t="s">
        <v>28</v>
      </c>
      <c r="J154" s="4">
        <f t="shared" si="2"/>
        <v>58.75</v>
      </c>
      <c r="K154" s="4" t="s">
        <v>28</v>
      </c>
      <c r="L154" s="4">
        <v>59</v>
      </c>
      <c r="M154" s="4" t="s">
        <v>28</v>
      </c>
      <c r="N154" s="4">
        <v>69</v>
      </c>
      <c r="O154" s="4" t="s">
        <v>28</v>
      </c>
      <c r="P154" s="4">
        <v>57</v>
      </c>
      <c r="Q154" s="4" t="s">
        <v>28</v>
      </c>
      <c r="R154" s="4">
        <v>50</v>
      </c>
      <c r="S154" s="4" t="s">
        <v>28</v>
      </c>
      <c r="T154" s="4">
        <v>69</v>
      </c>
      <c r="U154" s="4" t="s">
        <v>28</v>
      </c>
      <c r="V154" s="7">
        <v>0.44374999999999998</v>
      </c>
    </row>
    <row r="155" spans="1:22" s="12" customFormat="1" ht="15" thickBot="1" x14ac:dyDescent="0.35">
      <c r="A155" s="11" t="s">
        <v>72</v>
      </c>
      <c r="B155" s="12" t="s">
        <v>73</v>
      </c>
      <c r="C155" s="12" t="s">
        <v>60</v>
      </c>
      <c r="D155" s="12">
        <v>1</v>
      </c>
      <c r="E155" s="12">
        <v>18</v>
      </c>
      <c r="F155" s="13"/>
      <c r="G155" s="12">
        <f>SUM(H154)</f>
        <v>80</v>
      </c>
      <c r="H155" s="12">
        <v>20</v>
      </c>
      <c r="I155" s="12" t="s">
        <v>29</v>
      </c>
      <c r="J155" s="12" t="e">
        <f t="shared" si="2"/>
        <v>#DIV/0!</v>
      </c>
      <c r="T155" s="12">
        <v>0</v>
      </c>
    </row>
    <row r="156" spans="1:22" s="4" customFormat="1" x14ac:dyDescent="0.3">
      <c r="A156" s="3" t="s">
        <v>72</v>
      </c>
      <c r="B156" s="4" t="s">
        <v>73</v>
      </c>
      <c r="C156" s="4" t="s">
        <v>60</v>
      </c>
      <c r="D156" s="4">
        <v>1</v>
      </c>
      <c r="E156" s="4">
        <v>24</v>
      </c>
      <c r="F156" s="5"/>
      <c r="H156" s="4">
        <v>15</v>
      </c>
      <c r="I156" s="4" t="s">
        <v>50</v>
      </c>
      <c r="J156" s="4" t="e">
        <f t="shared" si="2"/>
        <v>#DIV/0!</v>
      </c>
      <c r="T156" s="4">
        <v>0</v>
      </c>
    </row>
    <row r="157" spans="1:22" x14ac:dyDescent="0.3">
      <c r="A157" s="8" t="s">
        <v>72</v>
      </c>
      <c r="B157" t="s">
        <v>73</v>
      </c>
      <c r="C157" t="s">
        <v>60</v>
      </c>
      <c r="D157">
        <v>1</v>
      </c>
      <c r="E157">
        <v>24</v>
      </c>
      <c r="F157" s="9"/>
      <c r="H157">
        <v>95</v>
      </c>
      <c r="I157" t="s">
        <v>28</v>
      </c>
      <c r="J157">
        <f t="shared" si="2"/>
        <v>55.5</v>
      </c>
      <c r="K157" t="s">
        <v>28</v>
      </c>
      <c r="L157">
        <v>55</v>
      </c>
      <c r="M157" t="s">
        <v>28</v>
      </c>
      <c r="N157">
        <v>58.5</v>
      </c>
      <c r="O157" t="s">
        <v>28</v>
      </c>
      <c r="P157">
        <v>57.5</v>
      </c>
      <c r="Q157" t="s">
        <v>28</v>
      </c>
      <c r="R157">
        <v>51</v>
      </c>
      <c r="S157" t="s">
        <v>28</v>
      </c>
      <c r="T157">
        <v>58.5</v>
      </c>
      <c r="V157" s="16">
        <v>0.44722222222222224</v>
      </c>
    </row>
    <row r="158" spans="1:22" s="12" customFormat="1" ht="15" thickBot="1" x14ac:dyDescent="0.35">
      <c r="A158" s="11" t="s">
        <v>72</v>
      </c>
      <c r="B158" s="12" t="s">
        <v>73</v>
      </c>
      <c r="C158" s="12" t="s">
        <v>60</v>
      </c>
      <c r="D158" s="12">
        <v>1</v>
      </c>
      <c r="E158" s="12">
        <v>24</v>
      </c>
      <c r="F158" s="13"/>
      <c r="G158" s="12">
        <f>SUM(H156:H157)</f>
        <v>110</v>
      </c>
      <c r="H158" s="12">
        <v>5</v>
      </c>
      <c r="I158" s="12" t="s">
        <v>29</v>
      </c>
      <c r="J158" s="12" t="e">
        <f t="shared" si="2"/>
        <v>#DIV/0!</v>
      </c>
      <c r="T158" s="12">
        <v>0</v>
      </c>
    </row>
    <row r="159" spans="1:22" s="4" customFormat="1" x14ac:dyDescent="0.3">
      <c r="A159" s="3" t="s">
        <v>72</v>
      </c>
      <c r="B159" s="4" t="s">
        <v>73</v>
      </c>
      <c r="C159" s="4" t="s">
        <v>60</v>
      </c>
      <c r="D159" s="4">
        <v>1</v>
      </c>
      <c r="E159" s="4">
        <v>48</v>
      </c>
      <c r="F159" s="5"/>
      <c r="H159" s="4">
        <v>95</v>
      </c>
      <c r="I159" s="4" t="s">
        <v>28</v>
      </c>
      <c r="J159" s="4">
        <f t="shared" si="2"/>
        <v>49.125</v>
      </c>
      <c r="K159" s="4" t="s">
        <v>28</v>
      </c>
      <c r="L159" s="4">
        <v>60</v>
      </c>
      <c r="M159" s="4" t="s">
        <v>28</v>
      </c>
      <c r="N159" s="4">
        <v>43.5</v>
      </c>
      <c r="O159" s="4" t="s">
        <v>28</v>
      </c>
      <c r="P159" s="4">
        <v>50</v>
      </c>
      <c r="R159" s="4">
        <v>43</v>
      </c>
      <c r="T159" s="4">
        <v>60</v>
      </c>
      <c r="V159" s="7">
        <v>0.45</v>
      </c>
    </row>
    <row r="160" spans="1:22" x14ac:dyDescent="0.3">
      <c r="A160" s="8" t="s">
        <v>72</v>
      </c>
      <c r="B160" t="s">
        <v>73</v>
      </c>
      <c r="C160" t="s">
        <v>60</v>
      </c>
      <c r="D160">
        <v>1</v>
      </c>
      <c r="E160">
        <v>48</v>
      </c>
      <c r="F160" s="9"/>
      <c r="H160">
        <v>20</v>
      </c>
      <c r="I160" t="s">
        <v>50</v>
      </c>
      <c r="J160" t="e">
        <f>AVERAGE(L160, N160, P160, R160)</f>
        <v>#DIV/0!</v>
      </c>
    </row>
    <row r="161" spans="1:22" s="12" customFormat="1" ht="15" thickBot="1" x14ac:dyDescent="0.35">
      <c r="A161" s="11" t="s">
        <v>72</v>
      </c>
      <c r="B161" s="12" t="s">
        <v>73</v>
      </c>
      <c r="C161" s="12" t="s">
        <v>60</v>
      </c>
      <c r="D161" s="12">
        <v>1</v>
      </c>
      <c r="E161" s="12">
        <v>48</v>
      </c>
      <c r="F161" s="13"/>
      <c r="G161" s="12">
        <f>SUM(H159:H160)</f>
        <v>115</v>
      </c>
      <c r="H161" s="12">
        <v>5</v>
      </c>
      <c r="I161" s="12" t="s">
        <v>29</v>
      </c>
      <c r="J161" s="12" t="e">
        <f t="shared" si="2"/>
        <v>#DIV/0!</v>
      </c>
      <c r="T161" s="12">
        <v>0</v>
      </c>
    </row>
    <row r="162" spans="1:22" s="4" customFormat="1" x14ac:dyDescent="0.3">
      <c r="A162" s="3" t="s">
        <v>72</v>
      </c>
      <c r="B162" s="4" t="s">
        <v>73</v>
      </c>
      <c r="C162" s="4" t="s">
        <v>60</v>
      </c>
      <c r="D162" s="4">
        <v>2</v>
      </c>
      <c r="E162" s="4">
        <v>0.5</v>
      </c>
      <c r="F162" s="5"/>
      <c r="H162" s="4">
        <v>30</v>
      </c>
      <c r="I162" s="4" t="s">
        <v>29</v>
      </c>
      <c r="J162" s="4" t="e">
        <f t="shared" si="2"/>
        <v>#DIV/0!</v>
      </c>
      <c r="T162" s="4">
        <v>0</v>
      </c>
    </row>
    <row r="163" spans="1:22" x14ac:dyDescent="0.3">
      <c r="A163" s="8" t="s">
        <v>72</v>
      </c>
      <c r="B163" t="s">
        <v>73</v>
      </c>
      <c r="C163" t="s">
        <v>60</v>
      </c>
      <c r="D163">
        <v>2</v>
      </c>
      <c r="E163">
        <v>0.5</v>
      </c>
      <c r="F163" s="9"/>
      <c r="H163">
        <v>40</v>
      </c>
      <c r="I163" t="s">
        <v>26</v>
      </c>
      <c r="J163">
        <f t="shared" si="2"/>
        <v>77.75</v>
      </c>
      <c r="L163">
        <v>85</v>
      </c>
      <c r="N163">
        <v>76</v>
      </c>
      <c r="P163">
        <v>72</v>
      </c>
      <c r="R163">
        <v>78</v>
      </c>
      <c r="T163">
        <v>85</v>
      </c>
    </row>
    <row r="164" spans="1:22" s="12" customFormat="1" ht="15" thickBot="1" x14ac:dyDescent="0.35">
      <c r="A164" s="11" t="s">
        <v>72</v>
      </c>
      <c r="B164" s="12" t="s">
        <v>73</v>
      </c>
      <c r="C164" s="12" t="s">
        <v>60</v>
      </c>
      <c r="D164" s="12">
        <v>2</v>
      </c>
      <c r="E164" s="12">
        <v>0.5</v>
      </c>
      <c r="F164" s="13"/>
      <c r="G164" s="12">
        <f>SUM(H163:H164)</f>
        <v>70</v>
      </c>
      <c r="H164" s="12">
        <v>30</v>
      </c>
      <c r="I164" s="12" t="s">
        <v>28</v>
      </c>
      <c r="J164" s="12">
        <f t="shared" si="2"/>
        <v>53.75</v>
      </c>
      <c r="K164" s="12" t="s">
        <v>28</v>
      </c>
      <c r="L164" s="12">
        <v>53</v>
      </c>
      <c r="M164" s="12" t="s">
        <v>28</v>
      </c>
      <c r="N164" s="12">
        <v>53</v>
      </c>
      <c r="O164" s="12" t="s">
        <v>28</v>
      </c>
      <c r="P164" s="12">
        <v>56</v>
      </c>
      <c r="Q164" s="12" t="s">
        <v>28</v>
      </c>
      <c r="R164" s="12">
        <v>53</v>
      </c>
      <c r="S164" s="12" t="s">
        <v>28</v>
      </c>
      <c r="T164" s="12">
        <v>56</v>
      </c>
      <c r="U164" s="12" t="s">
        <v>28</v>
      </c>
      <c r="V164" s="15">
        <v>0.43194444444444446</v>
      </c>
    </row>
    <row r="165" spans="1:22" s="4" customFormat="1" x14ac:dyDescent="0.3">
      <c r="A165" s="3" t="s">
        <v>72</v>
      </c>
      <c r="B165" s="4" t="s">
        <v>73</v>
      </c>
      <c r="C165" s="4" t="s">
        <v>60</v>
      </c>
      <c r="D165" s="4">
        <v>2</v>
      </c>
      <c r="E165" s="4">
        <v>2</v>
      </c>
      <c r="F165" s="5"/>
      <c r="H165" s="4">
        <v>35</v>
      </c>
      <c r="I165" s="4" t="s">
        <v>26</v>
      </c>
      <c r="J165" s="4">
        <f t="shared" si="2"/>
        <v>87.25</v>
      </c>
      <c r="K165" s="4" t="s">
        <v>26</v>
      </c>
      <c r="L165" s="4">
        <v>93</v>
      </c>
      <c r="N165" s="4">
        <v>81</v>
      </c>
      <c r="P165" s="4">
        <v>83</v>
      </c>
      <c r="R165" s="4">
        <v>92</v>
      </c>
      <c r="T165" s="4">
        <v>93</v>
      </c>
    </row>
    <row r="166" spans="1:22" x14ac:dyDescent="0.3">
      <c r="A166" s="8" t="s">
        <v>72</v>
      </c>
      <c r="B166" t="s">
        <v>73</v>
      </c>
      <c r="C166" t="s">
        <v>60</v>
      </c>
      <c r="D166">
        <v>2</v>
      </c>
      <c r="E166">
        <v>2</v>
      </c>
      <c r="F166" s="9"/>
      <c r="H166">
        <v>30</v>
      </c>
      <c r="I166" t="s">
        <v>28</v>
      </c>
      <c r="J166">
        <f t="shared" si="2"/>
        <v>54.5</v>
      </c>
      <c r="K166" t="s">
        <v>28</v>
      </c>
      <c r="L166">
        <v>68</v>
      </c>
      <c r="M166" t="s">
        <v>28</v>
      </c>
      <c r="N166">
        <v>53</v>
      </c>
      <c r="O166" t="s">
        <v>28</v>
      </c>
      <c r="P166">
        <v>51</v>
      </c>
      <c r="Q166" t="s">
        <v>28</v>
      </c>
      <c r="R166">
        <v>46</v>
      </c>
      <c r="S166" t="s">
        <v>28</v>
      </c>
      <c r="T166">
        <v>68</v>
      </c>
      <c r="U166" t="s">
        <v>28</v>
      </c>
      <c r="V166" s="16">
        <v>0.42916666666666664</v>
      </c>
    </row>
    <row r="167" spans="1:22" s="12" customFormat="1" ht="15" thickBot="1" x14ac:dyDescent="0.35">
      <c r="A167" s="11" t="s">
        <v>72</v>
      </c>
      <c r="B167" s="12" t="s">
        <v>73</v>
      </c>
      <c r="C167" s="12" t="s">
        <v>60</v>
      </c>
      <c r="D167" s="12">
        <v>2</v>
      </c>
      <c r="E167" s="12">
        <v>2</v>
      </c>
      <c r="F167" s="13"/>
      <c r="G167" s="12">
        <f>SUM(H165:H166)</f>
        <v>65</v>
      </c>
      <c r="H167" s="12">
        <v>35</v>
      </c>
      <c r="I167" s="12" t="s">
        <v>63</v>
      </c>
      <c r="J167" s="12" t="e">
        <f t="shared" si="2"/>
        <v>#DIV/0!</v>
      </c>
      <c r="T167" s="12">
        <v>0</v>
      </c>
    </row>
    <row r="168" spans="1:22" s="4" customFormat="1" x14ac:dyDescent="0.3">
      <c r="A168" s="3" t="s">
        <v>72</v>
      </c>
      <c r="B168" s="4" t="s">
        <v>73</v>
      </c>
      <c r="C168" s="4" t="s">
        <v>60</v>
      </c>
      <c r="D168" s="4">
        <v>2</v>
      </c>
      <c r="E168" s="4">
        <v>6</v>
      </c>
      <c r="F168" s="5"/>
      <c r="H168" s="4">
        <v>20</v>
      </c>
      <c r="I168" s="4" t="s">
        <v>29</v>
      </c>
      <c r="J168" s="4" t="e">
        <f t="shared" si="2"/>
        <v>#DIV/0!</v>
      </c>
      <c r="T168" s="4">
        <v>0</v>
      </c>
    </row>
    <row r="169" spans="1:22" x14ac:dyDescent="0.3">
      <c r="A169" s="8" t="s">
        <v>72</v>
      </c>
      <c r="B169" t="s">
        <v>73</v>
      </c>
      <c r="C169" t="s">
        <v>60</v>
      </c>
      <c r="D169">
        <v>2</v>
      </c>
      <c r="E169">
        <v>6</v>
      </c>
      <c r="F169" s="9"/>
      <c r="H169">
        <v>80</v>
      </c>
      <c r="I169" t="s">
        <v>28</v>
      </c>
      <c r="J169">
        <f t="shared" si="2"/>
        <v>50</v>
      </c>
      <c r="K169" t="s">
        <v>28</v>
      </c>
      <c r="L169">
        <v>51</v>
      </c>
      <c r="M169" t="s">
        <v>28</v>
      </c>
      <c r="N169">
        <v>55</v>
      </c>
      <c r="O169" t="s">
        <v>28</v>
      </c>
      <c r="P169">
        <v>49</v>
      </c>
      <c r="Q169" t="s">
        <v>28</v>
      </c>
      <c r="R169">
        <v>45</v>
      </c>
      <c r="S169" t="s">
        <v>28</v>
      </c>
      <c r="T169">
        <v>55</v>
      </c>
      <c r="U169" t="s">
        <v>28</v>
      </c>
      <c r="V169" s="16">
        <v>0.42708333333333331</v>
      </c>
    </row>
    <row r="170" spans="1:22" s="12" customFormat="1" ht="15" thickBot="1" x14ac:dyDescent="0.35">
      <c r="A170" s="11" t="s">
        <v>72</v>
      </c>
      <c r="B170" s="12" t="s">
        <v>73</v>
      </c>
      <c r="C170" s="12" t="s">
        <v>60</v>
      </c>
      <c r="D170" s="12">
        <v>2</v>
      </c>
      <c r="E170" s="12">
        <v>6</v>
      </c>
      <c r="F170" s="13"/>
      <c r="G170" s="12">
        <f>SUM(H169:H170)</f>
        <v>85</v>
      </c>
      <c r="H170" s="12">
        <v>5</v>
      </c>
      <c r="I170" s="12" t="s">
        <v>126</v>
      </c>
      <c r="J170" s="12" t="e">
        <f t="shared" si="2"/>
        <v>#DIV/0!</v>
      </c>
      <c r="T170" s="12">
        <v>0</v>
      </c>
    </row>
    <row r="171" spans="1:22" s="4" customFormat="1" x14ac:dyDescent="0.3">
      <c r="A171" s="3" t="s">
        <v>72</v>
      </c>
      <c r="B171" s="4" t="s">
        <v>73</v>
      </c>
      <c r="C171" s="4" t="s">
        <v>60</v>
      </c>
      <c r="D171" s="4">
        <v>2</v>
      </c>
      <c r="E171" s="4">
        <v>12</v>
      </c>
      <c r="F171" s="5"/>
      <c r="H171" s="4">
        <v>5</v>
      </c>
      <c r="I171" s="4" t="s">
        <v>126</v>
      </c>
      <c r="J171" s="4" t="e">
        <f t="shared" si="2"/>
        <v>#DIV/0!</v>
      </c>
      <c r="T171" s="4">
        <v>0</v>
      </c>
    </row>
    <row r="172" spans="1:22" x14ac:dyDescent="0.3">
      <c r="A172" s="8" t="s">
        <v>72</v>
      </c>
      <c r="B172" t="s">
        <v>73</v>
      </c>
      <c r="C172" t="s">
        <v>60</v>
      </c>
      <c r="D172">
        <v>2</v>
      </c>
      <c r="E172">
        <v>12</v>
      </c>
      <c r="F172" s="9"/>
      <c r="H172">
        <v>90</v>
      </c>
      <c r="I172" t="s">
        <v>28</v>
      </c>
      <c r="J172">
        <f t="shared" si="2"/>
        <v>52.125</v>
      </c>
      <c r="K172" t="s">
        <v>28</v>
      </c>
      <c r="L172">
        <v>54.5</v>
      </c>
      <c r="M172" t="s">
        <v>28</v>
      </c>
      <c r="N172">
        <v>48</v>
      </c>
      <c r="O172" t="s">
        <v>28</v>
      </c>
      <c r="P172">
        <v>50</v>
      </c>
      <c r="Q172" t="s">
        <v>28</v>
      </c>
      <c r="R172">
        <v>56</v>
      </c>
      <c r="S172" t="s">
        <v>28</v>
      </c>
      <c r="T172">
        <v>56</v>
      </c>
      <c r="U172" t="s">
        <v>28</v>
      </c>
      <c r="V172" s="16">
        <v>0.42569444444444443</v>
      </c>
    </row>
    <row r="173" spans="1:22" s="12" customFormat="1" ht="15" thickBot="1" x14ac:dyDescent="0.35">
      <c r="A173" s="11" t="s">
        <v>72</v>
      </c>
      <c r="B173" s="12" t="s">
        <v>73</v>
      </c>
      <c r="C173" s="12" t="s">
        <v>60</v>
      </c>
      <c r="D173" s="12">
        <v>2</v>
      </c>
      <c r="E173" s="12">
        <v>12</v>
      </c>
      <c r="F173" s="13"/>
      <c r="G173" s="12">
        <f>SUM(H171:H172)</f>
        <v>95</v>
      </c>
      <c r="H173" s="12">
        <v>10</v>
      </c>
      <c r="I173" s="12" t="s">
        <v>29</v>
      </c>
      <c r="J173" s="12" t="e">
        <f t="shared" si="2"/>
        <v>#DIV/0!</v>
      </c>
      <c r="T173" s="12">
        <v>0</v>
      </c>
    </row>
    <row r="174" spans="1:22" s="4" customFormat="1" x14ac:dyDescent="0.3">
      <c r="A174" s="3" t="s">
        <v>72</v>
      </c>
      <c r="B174" s="4" t="s">
        <v>73</v>
      </c>
      <c r="C174" s="4" t="s">
        <v>60</v>
      </c>
      <c r="D174" s="4">
        <v>2</v>
      </c>
      <c r="E174" s="4">
        <v>18</v>
      </c>
      <c r="F174" s="5"/>
      <c r="H174" s="4">
        <v>5</v>
      </c>
      <c r="I174" s="4" t="s">
        <v>29</v>
      </c>
      <c r="J174" s="4" t="e">
        <f t="shared" si="2"/>
        <v>#DIV/0!</v>
      </c>
      <c r="T174" s="4">
        <v>0</v>
      </c>
    </row>
    <row r="175" spans="1:22" x14ac:dyDescent="0.3">
      <c r="A175" s="8" t="s">
        <v>72</v>
      </c>
      <c r="B175" t="s">
        <v>73</v>
      </c>
      <c r="C175" t="s">
        <v>60</v>
      </c>
      <c r="D175">
        <v>2</v>
      </c>
      <c r="E175">
        <v>18</v>
      </c>
      <c r="F175" s="9"/>
      <c r="H175">
        <v>10</v>
      </c>
      <c r="I175" t="s">
        <v>50</v>
      </c>
    </row>
    <row r="176" spans="1:22" s="12" customFormat="1" ht="15" thickBot="1" x14ac:dyDescent="0.35">
      <c r="A176" s="11" t="s">
        <v>72</v>
      </c>
      <c r="B176" s="12" t="s">
        <v>73</v>
      </c>
      <c r="C176" s="12" t="s">
        <v>60</v>
      </c>
      <c r="D176" s="12">
        <v>2</v>
      </c>
      <c r="E176" s="12">
        <v>18</v>
      </c>
      <c r="F176" s="13"/>
      <c r="G176" s="12">
        <f>SUM(H175:H176)</f>
        <v>95</v>
      </c>
      <c r="H176" s="12">
        <v>85</v>
      </c>
      <c r="I176" s="12" t="s">
        <v>28</v>
      </c>
      <c r="J176" s="12">
        <f t="shared" si="2"/>
        <v>61.75</v>
      </c>
      <c r="K176" s="12" t="s">
        <v>28</v>
      </c>
      <c r="L176" s="12">
        <v>64</v>
      </c>
      <c r="M176" s="12" t="s">
        <v>28</v>
      </c>
      <c r="N176" s="12">
        <v>64</v>
      </c>
      <c r="O176" s="12" t="s">
        <v>28</v>
      </c>
      <c r="P176" s="12">
        <v>54</v>
      </c>
      <c r="Q176" s="12" t="s">
        <v>28</v>
      </c>
      <c r="R176" s="12">
        <v>65</v>
      </c>
      <c r="S176" s="12" t="s">
        <v>28</v>
      </c>
      <c r="T176" s="12">
        <v>65</v>
      </c>
      <c r="U176" s="12" t="s">
        <v>28</v>
      </c>
      <c r="V176" s="15">
        <v>0.4236111111111111</v>
      </c>
    </row>
    <row r="177" spans="1:22" s="4" customFormat="1" x14ac:dyDescent="0.3">
      <c r="A177" s="3" t="s">
        <v>72</v>
      </c>
      <c r="B177" s="4" t="s">
        <v>73</v>
      </c>
      <c r="C177" s="4" t="s">
        <v>60</v>
      </c>
      <c r="D177" s="4">
        <v>2</v>
      </c>
      <c r="E177" s="4">
        <v>24</v>
      </c>
      <c r="F177" s="5"/>
      <c r="H177" s="4">
        <v>5</v>
      </c>
      <c r="I177" s="4" t="s">
        <v>29</v>
      </c>
      <c r="J177" s="4" t="e">
        <f t="shared" si="2"/>
        <v>#DIV/0!</v>
      </c>
      <c r="T177" s="4">
        <v>0</v>
      </c>
    </row>
    <row r="178" spans="1:22" s="12" customFormat="1" ht="15" thickBot="1" x14ac:dyDescent="0.35">
      <c r="A178" s="11" t="s">
        <v>72</v>
      </c>
      <c r="B178" s="12" t="s">
        <v>73</v>
      </c>
      <c r="C178" s="12" t="s">
        <v>60</v>
      </c>
      <c r="D178" s="12">
        <v>2</v>
      </c>
      <c r="E178" s="12">
        <v>24</v>
      </c>
      <c r="F178" s="13"/>
      <c r="G178" s="12">
        <f>SUM(H178)</f>
        <v>95</v>
      </c>
      <c r="H178" s="12">
        <v>95</v>
      </c>
      <c r="I178" s="12" t="s">
        <v>28</v>
      </c>
      <c r="J178" s="12">
        <f t="shared" si="2"/>
        <v>56</v>
      </c>
      <c r="K178" s="12" t="s">
        <v>28</v>
      </c>
      <c r="L178" s="12">
        <v>59.5</v>
      </c>
      <c r="M178" s="12" t="s">
        <v>28</v>
      </c>
      <c r="N178" s="12">
        <v>53</v>
      </c>
      <c r="O178" s="12" t="s">
        <v>28</v>
      </c>
      <c r="P178" s="12">
        <v>53.5</v>
      </c>
      <c r="Q178" s="12" t="s">
        <v>28</v>
      </c>
      <c r="R178" s="12">
        <v>58</v>
      </c>
      <c r="S178" s="12" t="s">
        <v>28</v>
      </c>
      <c r="T178" s="12">
        <v>59.5</v>
      </c>
      <c r="U178" s="12" t="s">
        <v>28</v>
      </c>
      <c r="V178" s="15">
        <v>0.41944444444444445</v>
      </c>
    </row>
    <row r="179" spans="1:22" x14ac:dyDescent="0.3">
      <c r="A179" t="s">
        <v>72</v>
      </c>
      <c r="B179" t="s">
        <v>73</v>
      </c>
      <c r="C179" t="s">
        <v>60</v>
      </c>
      <c r="D179">
        <v>2</v>
      </c>
      <c r="E179">
        <v>48</v>
      </c>
      <c r="F179" s="9"/>
      <c r="H179">
        <v>95</v>
      </c>
      <c r="I179" t="s">
        <v>28</v>
      </c>
      <c r="J179">
        <f t="shared" si="2"/>
        <v>50.25</v>
      </c>
      <c r="K179" t="s">
        <v>28</v>
      </c>
      <c r="L179">
        <v>58</v>
      </c>
      <c r="M179" t="s">
        <v>28</v>
      </c>
      <c r="N179">
        <v>41.5</v>
      </c>
      <c r="O179" t="s">
        <v>28</v>
      </c>
      <c r="P179">
        <v>54.5</v>
      </c>
      <c r="Q179" t="s">
        <v>28</v>
      </c>
      <c r="R179">
        <v>47</v>
      </c>
      <c r="S179" t="s">
        <v>28</v>
      </c>
      <c r="T179">
        <v>58</v>
      </c>
      <c r="U179" t="s">
        <v>28</v>
      </c>
      <c r="V179" s="16">
        <v>0.4152777777777778</v>
      </c>
    </row>
    <row r="180" spans="1:22" x14ac:dyDescent="0.3">
      <c r="A180" t="s">
        <v>72</v>
      </c>
      <c r="B180" t="s">
        <v>73</v>
      </c>
      <c r="C180" t="s">
        <v>60</v>
      </c>
      <c r="D180">
        <v>2</v>
      </c>
      <c r="E180">
        <v>48</v>
      </c>
      <c r="F180" s="9"/>
      <c r="G180">
        <f>SUM(H179)</f>
        <v>95</v>
      </c>
      <c r="H180">
        <v>5</v>
      </c>
      <c r="I180" t="s">
        <v>29</v>
      </c>
      <c r="J180" t="e">
        <f t="shared" ref="J180" si="3">AVERAGE(L180, N180, P180, R180)</f>
        <v>#DIV/0!</v>
      </c>
      <c r="T180">
        <v>0</v>
      </c>
    </row>
    <row r="185" spans="1:22" x14ac:dyDescent="0.3">
      <c r="J185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winter</vt:lpstr>
      <vt:lpstr>summer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2026-06-18T04:48:21Z</dcterms:created>
  <dcterms:modified xsi:type="dcterms:W3CDTF">2026-07-20T18:17:30Z</dcterms:modified>
</cp:coreProperties>
</file>