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387" documentId="8_{92FB2599-59FD-4CA2-946A-D08153E8274B}" xr6:coauthVersionLast="47" xr6:coauthVersionMax="47" xr10:uidLastSave="{A0DC43DB-305A-4120-8FEF-60C2087718D3}"/>
  <bookViews>
    <workbookView xWindow="-28920" yWindow="-4080" windowWidth="29040" windowHeight="16440" activeTab="1" xr2:uid="{4ED2C885-2CC1-498F-A981-739A00DDA370}"/>
  </bookViews>
  <sheets>
    <sheet name="winter" sheetId="1" r:id="rId1"/>
    <sheet name="summ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" l="1"/>
  <c r="G33" i="2"/>
  <c r="G13" i="2"/>
  <c r="J12" i="2"/>
  <c r="J4" i="2"/>
  <c r="J5" i="2"/>
  <c r="J6" i="2"/>
  <c r="J7" i="2"/>
  <c r="J8" i="2"/>
  <c r="J9" i="2"/>
  <c r="J10" i="2"/>
  <c r="J11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3" i="2"/>
  <c r="J2" i="2"/>
  <c r="G123" i="2"/>
  <c r="G118" i="2"/>
  <c r="G114" i="2"/>
  <c r="G110" i="2"/>
  <c r="G106" i="2"/>
  <c r="G102" i="2"/>
  <c r="G98" i="2"/>
  <c r="G96" i="2"/>
  <c r="G94" i="2"/>
  <c r="G92" i="2"/>
  <c r="G90" i="2"/>
  <c r="G86" i="2"/>
  <c r="G83" i="2"/>
  <c r="G80" i="2"/>
  <c r="G75" i="2"/>
  <c r="G72" i="2"/>
  <c r="G70" i="2"/>
  <c r="G68" i="2"/>
  <c r="G65" i="2"/>
  <c r="G62" i="2"/>
  <c r="G58" i="2"/>
  <c r="G54" i="2"/>
  <c r="G50" i="2"/>
  <c r="G45" i="2"/>
  <c r="G41" i="2"/>
  <c r="G37" i="2"/>
  <c r="G29" i="2"/>
  <c r="G25" i="2"/>
  <c r="G19" i="2"/>
  <c r="G10" i="2"/>
  <c r="G7" i="2"/>
  <c r="G4" i="2"/>
  <c r="G123" i="1"/>
  <c r="G118" i="1"/>
  <c r="G114" i="1"/>
  <c r="G110" i="1"/>
  <c r="G106" i="1"/>
  <c r="G102" i="1"/>
  <c r="G98" i="1"/>
  <c r="G96" i="1"/>
  <c r="G94" i="1"/>
  <c r="G92" i="1"/>
  <c r="G90" i="1"/>
  <c r="G86" i="1"/>
  <c r="G83" i="1"/>
  <c r="G80" i="1"/>
  <c r="G75" i="1"/>
  <c r="G72" i="1"/>
  <c r="G70" i="1"/>
  <c r="G68" i="1"/>
  <c r="G65" i="1"/>
  <c r="G62" i="1"/>
  <c r="G58" i="1"/>
  <c r="G54" i="1"/>
  <c r="G50" i="1"/>
  <c r="G45" i="1"/>
  <c r="G41" i="1"/>
  <c r="G37" i="1"/>
  <c r="G33" i="1"/>
  <c r="G28" i="1"/>
  <c r="G24" i="1"/>
  <c r="G18" i="1"/>
  <c r="G12" i="1"/>
  <c r="G10" i="1"/>
  <c r="G7" i="1"/>
  <c r="G4" i="1"/>
</calcChain>
</file>

<file path=xl/sharedStrings.xml><?xml version="1.0" encoding="utf-8"?>
<sst xmlns="http://schemas.openxmlformats.org/spreadsheetml/2006/main" count="3083" uniqueCount="85">
  <si>
    <t>Season</t>
  </si>
  <si>
    <t>Study Phase</t>
  </si>
  <si>
    <t xml:space="preserve">Site </t>
  </si>
  <si>
    <t>Tran</t>
  </si>
  <si>
    <t xml:space="preserve">Dist </t>
  </si>
  <si>
    <t>Date Measured</t>
  </si>
  <si>
    <t>Total Percent Covered (%)</t>
  </si>
  <si>
    <t>Percent Covered (%)</t>
  </si>
  <si>
    <t>Percent Covered (Species)</t>
  </si>
  <si>
    <t>Average Height Total (cm, calc. post field)</t>
  </si>
  <si>
    <t>Average Height Total (species)</t>
  </si>
  <si>
    <t xml:space="preserve">Average Height (cm) Q1 </t>
  </si>
  <si>
    <t xml:space="preserve">Average Height (species) Q1 </t>
  </si>
  <si>
    <t>Average Height (cm) Q2</t>
  </si>
  <si>
    <t>Average Height (species) Q2</t>
  </si>
  <si>
    <t xml:space="preserve">Average Height (cm) Q3 </t>
  </si>
  <si>
    <t xml:space="preserve">Average Height (species) Q3 </t>
  </si>
  <si>
    <t>Average Height (cm) Q4</t>
  </si>
  <si>
    <t>Average Height (species) Q4</t>
  </si>
  <si>
    <t>Maximum Height (cm)</t>
  </si>
  <si>
    <t>Maximum Height (Species)</t>
  </si>
  <si>
    <t>Photo Timestamp</t>
  </si>
  <si>
    <t>Notes</t>
  </si>
  <si>
    <t>Winter</t>
  </si>
  <si>
    <t>M7</t>
  </si>
  <si>
    <t>B</t>
  </si>
  <si>
    <t>SPFO</t>
  </si>
  <si>
    <t xml:space="preserve">Q3 might be footstep disturbance-took a pic </t>
  </si>
  <si>
    <t>SAPA</t>
  </si>
  <si>
    <t>Uncovered</t>
  </si>
  <si>
    <t>NA</t>
  </si>
  <si>
    <t>DISP</t>
  </si>
  <si>
    <t xml:space="preserve">Q3 might have a human path; distch intertwined with pickleweed </t>
  </si>
  <si>
    <t xml:space="preserve">  </t>
  </si>
  <si>
    <t>TRIG</t>
  </si>
  <si>
    <t>LICA</t>
  </si>
  <si>
    <t>JACA</t>
  </si>
  <si>
    <t xml:space="preserve">Trig mostly in understor </t>
  </si>
  <si>
    <t>Trig</t>
  </si>
  <si>
    <t>10:27 am (after survey)</t>
  </si>
  <si>
    <t>11:26:00 AM; took pic ater survey 11:31 AM!</t>
  </si>
  <si>
    <t>G</t>
  </si>
  <si>
    <t>Marsh Edge Pieces hard to tell intertwined</t>
  </si>
  <si>
    <t>Distch</t>
  </si>
  <si>
    <t>Debris on top</t>
  </si>
  <si>
    <t>GRST</t>
  </si>
  <si>
    <t xml:space="preserve">Marsh Edge   </t>
  </si>
  <si>
    <t>10:07 AM; unusual/weird</t>
  </si>
  <si>
    <t xml:space="preserve">Pieces of edge </t>
  </si>
  <si>
    <t>Pieces of edge on top (upper story)</t>
  </si>
  <si>
    <t xml:space="preserve">Debris on top </t>
  </si>
  <si>
    <t xml:space="preserve">8:34 AM; top NW corner looks like channel coming through mostly northside; 8:39 AM adjust new pic </t>
  </si>
  <si>
    <t>C</t>
  </si>
  <si>
    <t>11:12:00 AM; confusing if it's distch/jaumea for cover eta</t>
  </si>
  <si>
    <t xml:space="preserve">10:52:00 AM; moved quad before measuring </t>
  </si>
  <si>
    <t xml:space="preserve">10:39:00 AM; took pic density packed everything mixed together </t>
  </si>
  <si>
    <t>SPFO?</t>
  </si>
  <si>
    <t>10:08:00 AM; stepped into transect-might have impact</t>
  </si>
  <si>
    <t>11:58:00 AM; pic taken after cover measurements</t>
  </si>
  <si>
    <t>12:52:00 PM; during placement some pooling on filters</t>
  </si>
  <si>
    <t>S</t>
  </si>
  <si>
    <t>Time before 12:29 pm-no timestamp in notes</t>
  </si>
  <si>
    <t>algae on bottom half</t>
  </si>
  <si>
    <t xml:space="preserve">Uncovered </t>
  </si>
  <si>
    <t>&gt;5</t>
  </si>
  <si>
    <t>Algae</t>
  </si>
  <si>
    <t>Algae on Pickleweed (bottom half)</t>
  </si>
  <si>
    <t>Algae on pickle (bottom half)</t>
  </si>
  <si>
    <t xml:space="preserve">Bamboo Debris on Top </t>
  </si>
  <si>
    <t>19.5 inches</t>
  </si>
  <si>
    <t>16.5 inches</t>
  </si>
  <si>
    <t>18.5 inches</t>
  </si>
  <si>
    <t>Summer</t>
  </si>
  <si>
    <t>M11</t>
  </si>
  <si>
    <t>Distch is only in Q2</t>
  </si>
  <si>
    <t>pickleweed in Q1-3</t>
  </si>
  <si>
    <t>understory</t>
  </si>
  <si>
    <t>JACA in understory</t>
  </si>
  <si>
    <t xml:space="preserve">salt grass and jawmea in the understory </t>
  </si>
  <si>
    <t xml:space="preserve">jawmea in the understory </t>
  </si>
  <si>
    <t>N/A</t>
  </si>
  <si>
    <t xml:space="preserve">jawmea and distch understory with pickleweed over it </t>
  </si>
  <si>
    <t xml:space="preserve">jawmea in understory </t>
  </si>
  <si>
    <t>understory; overlap with pickleweed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</si>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</sst>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16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14" fontId="0" fillId="0" borderId="13" xfId="0" applyNumberFormat="1" applyBorder="1"/>
    <xf numFmtId="0" fontId="0" fillId="33" borderId="13" xfId="0" applyFill="1" applyBorder="1"/>
    <xf numFmtId="18" fontId="0" fillId="0" borderId="13" xfId="0" applyNumberFormat="1" applyBorder="1"/>
    <xf numFmtId="0" fontId="0" fillId="0" borderId="14" xfId="0" applyBorder="1"/>
    <xf numFmtId="0" fontId="0" fillId="0" borderId="0" xfId="0" applyBorder="1"/>
    <xf numFmtId="14" fontId="0" fillId="0" borderId="0" xfId="0" applyNumberFormat="1" applyBorder="1"/>
    <xf numFmtId="0" fontId="0" fillId="33" borderId="0" xfId="0" applyFill="1" applyBorder="1"/>
    <xf numFmtId="0" fontId="0" fillId="0" borderId="15" xfId="0" applyBorder="1"/>
    <xf numFmtId="0" fontId="0" fillId="0" borderId="16" xfId="0" applyBorder="1"/>
    <xf numFmtId="14" fontId="0" fillId="0" borderId="16" xfId="0" applyNumberFormat="1" applyBorder="1"/>
    <xf numFmtId="0" fontId="0" fillId="33" borderId="16" xfId="0" applyFill="1" applyBorder="1"/>
    <xf numFmtId="18" fontId="0" fillId="0" borderId="16" xfId="0" applyNumberFormat="1" applyBorder="1"/>
    <xf numFmtId="18" fontId="0" fillId="0" borderId="0" xfId="0" applyNumberFormat="1" applyBorder="1"/>
    <xf numFmtId="0" fontId="0" fillId="0" borderId="13" xfId="0" applyFill="1" applyBorder="1"/>
    <xf numFmtId="0" fontId="0" fillId="0" borderId="0" xfId="0" applyFill="1" applyBorder="1"/>
    <xf numFmtId="0" fontId="16" fillId="0" borderId="0" xfId="0" applyFont="1" applyBorder="1" applyAlignment="1">
      <alignment horizontal="center" vertical="center" wrapText="1"/>
    </xf>
    <xf numFmtId="0" fontId="0" fillId="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11F06-09F2-446C-9DE5-BD7F4440343B}">
  <dimension ref="A1:W391"/>
  <sheetViews>
    <sheetView workbookViewId="0">
      <pane ySplit="1" topLeftCell="A2" activePane="bottomLeft" state="frozen"/>
      <selection pane="bottomLeft" activeCell="E32" sqref="E32"/>
    </sheetView>
  </sheetViews>
  <sheetFormatPr defaultRowHeight="14.4" x14ac:dyDescent="0.3"/>
  <cols>
    <col min="9" max="9" width="12.77734375" customWidth="1"/>
    <col min="10" max="10" width="11.6640625" customWidth="1"/>
    <col min="21" max="21" width="14.5546875" customWidth="1"/>
    <col min="22" max="22" width="11.77734375" customWidth="1"/>
  </cols>
  <sheetData>
    <row r="1" spans="1:23" s="2" customFormat="1" ht="58.2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s="4" customFormat="1" x14ac:dyDescent="0.3">
      <c r="A2" s="3" t="s">
        <v>23</v>
      </c>
      <c r="B2" s="4" t="s">
        <v>24</v>
      </c>
      <c r="C2" s="4" t="s">
        <v>25</v>
      </c>
      <c r="D2" s="4">
        <v>1</v>
      </c>
      <c r="E2" s="4">
        <v>0.5</v>
      </c>
      <c r="F2" s="5">
        <v>46074</v>
      </c>
      <c r="H2" s="4">
        <v>20</v>
      </c>
      <c r="I2" s="4" t="s">
        <v>26</v>
      </c>
      <c r="J2" s="4">
        <v>68</v>
      </c>
      <c r="K2" s="4" t="s">
        <v>26</v>
      </c>
      <c r="L2" s="4">
        <v>68</v>
      </c>
      <c r="M2" s="4" t="s">
        <v>26</v>
      </c>
      <c r="N2" s="4">
        <v>65</v>
      </c>
      <c r="O2" s="4" t="s">
        <v>26</v>
      </c>
      <c r="P2" s="6">
        <v>83</v>
      </c>
      <c r="Q2" s="4" t="s">
        <v>26</v>
      </c>
      <c r="R2" s="4">
        <v>60.5</v>
      </c>
      <c r="S2" s="4" t="s">
        <v>26</v>
      </c>
      <c r="T2" s="4">
        <v>83</v>
      </c>
      <c r="U2" s="4" t="s">
        <v>26</v>
      </c>
      <c r="V2" s="7">
        <v>0.41458333333333336</v>
      </c>
      <c r="W2" s="4" t="s">
        <v>27</v>
      </c>
    </row>
    <row r="3" spans="1:23" s="9" customFormat="1" x14ac:dyDescent="0.3">
      <c r="A3" s="8" t="s">
        <v>23</v>
      </c>
      <c r="B3" s="9" t="s">
        <v>24</v>
      </c>
      <c r="C3" s="9" t="s">
        <v>25</v>
      </c>
      <c r="D3" s="9">
        <v>1</v>
      </c>
      <c r="E3" s="9">
        <v>0.5</v>
      </c>
      <c r="F3" s="10">
        <v>46074</v>
      </c>
      <c r="H3" s="11">
        <v>50</v>
      </c>
      <c r="I3" s="9" t="s">
        <v>28</v>
      </c>
      <c r="J3" s="9">
        <v>48</v>
      </c>
      <c r="K3" s="9" t="s">
        <v>28</v>
      </c>
      <c r="L3" s="9">
        <v>42</v>
      </c>
      <c r="M3" s="9" t="s">
        <v>28</v>
      </c>
      <c r="N3" s="9">
        <v>53.5</v>
      </c>
      <c r="O3" s="9" t="s">
        <v>28</v>
      </c>
      <c r="P3" s="9">
        <v>45</v>
      </c>
      <c r="Q3" s="9" t="s">
        <v>28</v>
      </c>
      <c r="R3" s="9">
        <v>51</v>
      </c>
      <c r="S3" s="9" t="s">
        <v>28</v>
      </c>
      <c r="T3" s="9">
        <v>53.5</v>
      </c>
      <c r="U3" s="9" t="s">
        <v>28</v>
      </c>
    </row>
    <row r="4" spans="1:23" s="13" customFormat="1" ht="15" thickBot="1" x14ac:dyDescent="0.35">
      <c r="A4" s="12" t="s">
        <v>23</v>
      </c>
      <c r="B4" s="13" t="s">
        <v>24</v>
      </c>
      <c r="C4" s="13" t="s">
        <v>25</v>
      </c>
      <c r="D4" s="13">
        <v>1</v>
      </c>
      <c r="E4" s="13">
        <v>0.5</v>
      </c>
      <c r="F4" s="14">
        <v>46074</v>
      </c>
      <c r="G4" s="13">
        <f>SUM(H2:H4)</f>
        <v>100</v>
      </c>
      <c r="H4" s="13">
        <v>30</v>
      </c>
      <c r="I4" s="13" t="s">
        <v>29</v>
      </c>
      <c r="J4" s="13" t="s">
        <v>30</v>
      </c>
      <c r="T4" s="13">
        <v>0</v>
      </c>
    </row>
    <row r="5" spans="1:23" s="4" customFormat="1" x14ac:dyDescent="0.3">
      <c r="A5" s="3" t="s">
        <v>23</v>
      </c>
      <c r="B5" s="4" t="s">
        <v>24</v>
      </c>
      <c r="C5" s="4" t="s">
        <v>25</v>
      </c>
      <c r="D5" s="4">
        <v>1</v>
      </c>
      <c r="E5" s="4">
        <v>2</v>
      </c>
      <c r="F5" s="5">
        <v>46074</v>
      </c>
      <c r="H5" s="4">
        <v>15</v>
      </c>
      <c r="I5" s="4" t="s">
        <v>31</v>
      </c>
      <c r="J5" s="4">
        <v>34</v>
      </c>
      <c r="K5" s="4" t="s">
        <v>28</v>
      </c>
      <c r="L5" s="4">
        <v>38</v>
      </c>
      <c r="M5" s="4" t="s">
        <v>28</v>
      </c>
      <c r="N5" s="6">
        <v>39</v>
      </c>
      <c r="O5" s="4" t="s">
        <v>28</v>
      </c>
      <c r="P5" s="4">
        <v>27.5</v>
      </c>
      <c r="Q5" s="4" t="s">
        <v>28</v>
      </c>
      <c r="R5" s="4">
        <v>32</v>
      </c>
      <c r="S5" s="4" t="s">
        <v>28</v>
      </c>
      <c r="T5" s="4">
        <v>39</v>
      </c>
      <c r="U5" s="4" t="s">
        <v>28</v>
      </c>
      <c r="V5" s="7">
        <v>0.40625</v>
      </c>
      <c r="W5" s="4" t="s">
        <v>32</v>
      </c>
    </row>
    <row r="6" spans="1:23" s="9" customFormat="1" x14ac:dyDescent="0.3">
      <c r="A6" s="8" t="s">
        <v>23</v>
      </c>
      <c r="B6" s="9" t="s">
        <v>24</v>
      </c>
      <c r="C6" s="9" t="s">
        <v>25</v>
      </c>
      <c r="D6" s="9">
        <v>1</v>
      </c>
      <c r="E6" s="9">
        <v>2</v>
      </c>
      <c r="F6" s="10">
        <v>46074</v>
      </c>
      <c r="H6" s="11">
        <v>55</v>
      </c>
      <c r="I6" s="9" t="s">
        <v>28</v>
      </c>
      <c r="J6" s="9" t="s">
        <v>30</v>
      </c>
      <c r="T6" s="9">
        <v>0</v>
      </c>
    </row>
    <row r="7" spans="1:23" s="13" customFormat="1" ht="15" thickBot="1" x14ac:dyDescent="0.35">
      <c r="A7" s="12" t="s">
        <v>23</v>
      </c>
      <c r="B7" s="13" t="s">
        <v>24</v>
      </c>
      <c r="C7" s="13" t="s">
        <v>25</v>
      </c>
      <c r="D7" s="13">
        <v>1</v>
      </c>
      <c r="E7" s="13">
        <v>2</v>
      </c>
      <c r="F7" s="14">
        <v>46074</v>
      </c>
      <c r="G7" s="13">
        <f>SUM(H5:H7)</f>
        <v>115</v>
      </c>
      <c r="H7" s="13">
        <v>45</v>
      </c>
      <c r="I7" s="13" t="s">
        <v>29</v>
      </c>
      <c r="J7" s="13" t="s">
        <v>30</v>
      </c>
      <c r="T7" s="13">
        <v>0</v>
      </c>
    </row>
    <row r="8" spans="1:23" s="4" customFormat="1" x14ac:dyDescent="0.3">
      <c r="A8" s="3" t="s">
        <v>23</v>
      </c>
      <c r="B8" s="4" t="s">
        <v>24</v>
      </c>
      <c r="C8" s="4" t="s">
        <v>25</v>
      </c>
      <c r="D8" s="4">
        <v>1</v>
      </c>
      <c r="E8" s="4">
        <v>6</v>
      </c>
      <c r="F8" s="5">
        <v>46074</v>
      </c>
      <c r="H8" s="4">
        <v>80</v>
      </c>
      <c r="I8" s="4" t="s">
        <v>28</v>
      </c>
      <c r="J8" s="4">
        <v>31</v>
      </c>
      <c r="K8" s="4" t="s">
        <v>28</v>
      </c>
      <c r="L8" s="6">
        <v>33</v>
      </c>
      <c r="M8" s="4" t="s">
        <v>28</v>
      </c>
      <c r="N8" s="4">
        <v>31</v>
      </c>
      <c r="O8" s="4" t="s">
        <v>28</v>
      </c>
      <c r="P8" s="4">
        <v>32</v>
      </c>
      <c r="Q8" s="4" t="s">
        <v>28</v>
      </c>
      <c r="R8" s="4">
        <v>28</v>
      </c>
      <c r="S8" s="4" t="s">
        <v>28</v>
      </c>
      <c r="T8" s="4">
        <v>33</v>
      </c>
      <c r="U8" s="4" t="s">
        <v>28</v>
      </c>
      <c r="V8" s="7">
        <v>0.4</v>
      </c>
      <c r="W8" s="4" t="s">
        <v>74</v>
      </c>
    </row>
    <row r="9" spans="1:23" s="9" customFormat="1" x14ac:dyDescent="0.3">
      <c r="A9" s="8" t="s">
        <v>23</v>
      </c>
      <c r="B9" s="9" t="s">
        <v>24</v>
      </c>
      <c r="C9" s="9" t="s">
        <v>25</v>
      </c>
      <c r="D9" s="9">
        <v>1</v>
      </c>
      <c r="E9" s="9">
        <v>6</v>
      </c>
      <c r="F9" s="10">
        <v>46074</v>
      </c>
      <c r="H9" s="9">
        <v>5</v>
      </c>
      <c r="I9" s="9" t="s">
        <v>31</v>
      </c>
      <c r="J9" s="9" t="s">
        <v>30</v>
      </c>
      <c r="T9" s="9">
        <v>0</v>
      </c>
    </row>
    <row r="10" spans="1:23" s="13" customFormat="1" ht="15" thickBot="1" x14ac:dyDescent="0.35">
      <c r="A10" s="12" t="s">
        <v>23</v>
      </c>
      <c r="B10" s="13" t="s">
        <v>24</v>
      </c>
      <c r="C10" s="13" t="s">
        <v>25</v>
      </c>
      <c r="D10" s="13">
        <v>1</v>
      </c>
      <c r="E10" s="13">
        <v>6</v>
      </c>
      <c r="F10" s="14">
        <v>46074</v>
      </c>
      <c r="G10" s="13">
        <f>SUM(H8:H10)</f>
        <v>105</v>
      </c>
      <c r="H10" s="13">
        <v>20</v>
      </c>
      <c r="I10" s="13" t="s">
        <v>29</v>
      </c>
      <c r="J10" s="13" t="s">
        <v>30</v>
      </c>
      <c r="T10" s="13">
        <v>0</v>
      </c>
    </row>
    <row r="11" spans="1:23" s="4" customFormat="1" x14ac:dyDescent="0.3">
      <c r="A11" s="3" t="s">
        <v>23</v>
      </c>
      <c r="B11" s="4" t="s">
        <v>24</v>
      </c>
      <c r="C11" s="4" t="s">
        <v>25</v>
      </c>
      <c r="D11" s="4">
        <v>1</v>
      </c>
      <c r="E11" s="4">
        <v>12</v>
      </c>
      <c r="F11" s="5">
        <v>46074</v>
      </c>
      <c r="H11" s="4">
        <v>10</v>
      </c>
      <c r="I11" s="4" t="s">
        <v>29</v>
      </c>
      <c r="J11" s="4" t="s">
        <v>30</v>
      </c>
      <c r="L11" s="4" t="s">
        <v>33</v>
      </c>
      <c r="T11" s="4">
        <v>0</v>
      </c>
    </row>
    <row r="12" spans="1:23" s="13" customFormat="1" ht="15" thickBot="1" x14ac:dyDescent="0.35">
      <c r="A12" s="12" t="s">
        <v>23</v>
      </c>
      <c r="B12" s="13" t="s">
        <v>24</v>
      </c>
      <c r="C12" s="13" t="s">
        <v>25</v>
      </c>
      <c r="D12" s="13">
        <v>1</v>
      </c>
      <c r="E12" s="13">
        <v>12</v>
      </c>
      <c r="F12" s="14">
        <v>46074</v>
      </c>
      <c r="G12" s="13">
        <f>SUM(H11:H12)</f>
        <v>100</v>
      </c>
      <c r="H12" s="15">
        <v>90</v>
      </c>
      <c r="I12" s="13" t="s">
        <v>28</v>
      </c>
      <c r="J12" s="13">
        <v>34</v>
      </c>
      <c r="K12" s="13" t="s">
        <v>28</v>
      </c>
      <c r="L12" s="13">
        <v>29</v>
      </c>
      <c r="M12" s="13" t="s">
        <v>28</v>
      </c>
      <c r="N12" s="13">
        <v>37</v>
      </c>
      <c r="O12" s="13" t="s">
        <v>28</v>
      </c>
      <c r="P12" s="13">
        <v>30</v>
      </c>
      <c r="Q12" s="13" t="s">
        <v>28</v>
      </c>
      <c r="R12" s="15">
        <v>41.5</v>
      </c>
      <c r="S12" s="13" t="s">
        <v>28</v>
      </c>
      <c r="T12" s="13">
        <v>41.5</v>
      </c>
      <c r="U12" s="13" t="s">
        <v>28</v>
      </c>
      <c r="V12" s="16">
        <v>0.39374999999999999</v>
      </c>
    </row>
    <row r="13" spans="1:23" s="4" customFormat="1" x14ac:dyDescent="0.3">
      <c r="A13" s="3" t="s">
        <v>23</v>
      </c>
      <c r="B13" s="4" t="s">
        <v>24</v>
      </c>
      <c r="C13" s="4" t="s">
        <v>25</v>
      </c>
      <c r="D13" s="4">
        <v>1</v>
      </c>
      <c r="E13" s="4">
        <v>18</v>
      </c>
      <c r="F13" s="5">
        <v>46074</v>
      </c>
      <c r="H13" s="4">
        <v>15</v>
      </c>
      <c r="I13" s="4" t="s">
        <v>31</v>
      </c>
      <c r="J13" s="4" t="s">
        <v>30</v>
      </c>
      <c r="T13" s="4">
        <v>0</v>
      </c>
    </row>
    <row r="14" spans="1:23" s="9" customFormat="1" x14ac:dyDescent="0.3">
      <c r="A14" s="8" t="s">
        <v>23</v>
      </c>
      <c r="B14" s="9" t="s">
        <v>24</v>
      </c>
      <c r="C14" s="9" t="s">
        <v>25</v>
      </c>
      <c r="D14" s="9">
        <v>1</v>
      </c>
      <c r="E14" s="9">
        <v>18</v>
      </c>
      <c r="F14" s="10">
        <v>46074</v>
      </c>
      <c r="H14" s="11">
        <v>50</v>
      </c>
      <c r="I14" s="9" t="s">
        <v>34</v>
      </c>
      <c r="J14" s="9">
        <v>15</v>
      </c>
      <c r="K14" s="9" t="s">
        <v>34</v>
      </c>
      <c r="L14" s="11">
        <v>18.5</v>
      </c>
      <c r="M14" s="9" t="s">
        <v>34</v>
      </c>
      <c r="N14" s="9">
        <v>12</v>
      </c>
      <c r="O14" s="9" t="s">
        <v>34</v>
      </c>
      <c r="P14" s="9">
        <v>13</v>
      </c>
      <c r="Q14" s="9" t="s">
        <v>34</v>
      </c>
      <c r="R14" s="9">
        <v>15</v>
      </c>
      <c r="S14" s="9" t="s">
        <v>34</v>
      </c>
      <c r="T14" s="9">
        <v>18.5</v>
      </c>
      <c r="U14" s="9" t="s">
        <v>34</v>
      </c>
      <c r="V14" s="17">
        <v>0.3840277777777778</v>
      </c>
    </row>
    <row r="15" spans="1:23" s="9" customFormat="1" x14ac:dyDescent="0.3">
      <c r="A15" s="8" t="s">
        <v>23</v>
      </c>
      <c r="B15" s="9" t="s">
        <v>24</v>
      </c>
      <c r="C15" s="9" t="s">
        <v>25</v>
      </c>
      <c r="D15" s="9">
        <v>1</v>
      </c>
      <c r="E15" s="9">
        <v>18</v>
      </c>
      <c r="F15" s="10">
        <v>46074</v>
      </c>
      <c r="H15" s="11">
        <v>20</v>
      </c>
      <c r="I15" s="9" t="s">
        <v>28</v>
      </c>
      <c r="J15" s="9">
        <v>25</v>
      </c>
      <c r="K15" s="9" t="s">
        <v>28</v>
      </c>
      <c r="L15" s="9">
        <v>26</v>
      </c>
      <c r="M15" s="9" t="s">
        <v>28</v>
      </c>
      <c r="N15" s="9">
        <v>22</v>
      </c>
      <c r="O15" s="9" t="s">
        <v>28</v>
      </c>
      <c r="P15" s="9">
        <v>14</v>
      </c>
      <c r="Q15" s="9" t="s">
        <v>28</v>
      </c>
      <c r="R15" s="11">
        <v>36</v>
      </c>
      <c r="S15" s="9" t="s">
        <v>28</v>
      </c>
      <c r="T15" s="9">
        <v>36</v>
      </c>
      <c r="U15" s="9" t="s">
        <v>28</v>
      </c>
    </row>
    <row r="16" spans="1:23" s="9" customFormat="1" x14ac:dyDescent="0.3">
      <c r="A16" s="8" t="s">
        <v>23</v>
      </c>
      <c r="B16" s="9" t="s">
        <v>24</v>
      </c>
      <c r="C16" s="9" t="s">
        <v>25</v>
      </c>
      <c r="D16" s="9">
        <v>1</v>
      </c>
      <c r="E16" s="9">
        <v>18</v>
      </c>
      <c r="F16" s="10">
        <v>46074</v>
      </c>
      <c r="H16" s="9">
        <v>5</v>
      </c>
      <c r="I16" s="9" t="s">
        <v>35</v>
      </c>
      <c r="J16" s="9" t="s">
        <v>30</v>
      </c>
      <c r="T16" s="9">
        <v>0</v>
      </c>
    </row>
    <row r="17" spans="1:23" s="9" customFormat="1" x14ac:dyDescent="0.3">
      <c r="A17" s="8" t="s">
        <v>23</v>
      </c>
      <c r="B17" s="9" t="s">
        <v>24</v>
      </c>
      <c r="C17" s="9" t="s">
        <v>25</v>
      </c>
      <c r="D17" s="9">
        <v>1</v>
      </c>
      <c r="E17" s="9">
        <v>18</v>
      </c>
      <c r="F17" s="10">
        <v>46074</v>
      </c>
      <c r="H17" s="9">
        <v>35</v>
      </c>
      <c r="I17" s="9" t="s">
        <v>29</v>
      </c>
      <c r="J17" s="9" t="s">
        <v>30</v>
      </c>
      <c r="T17" s="9">
        <v>0</v>
      </c>
    </row>
    <row r="18" spans="1:23" s="13" customFormat="1" ht="15" thickBot="1" x14ac:dyDescent="0.35">
      <c r="A18" s="12" t="s">
        <v>23</v>
      </c>
      <c r="B18" s="13" t="s">
        <v>24</v>
      </c>
      <c r="C18" s="13" t="s">
        <v>25</v>
      </c>
      <c r="D18" s="13">
        <v>1</v>
      </c>
      <c r="E18" s="13">
        <v>18</v>
      </c>
      <c r="F18" s="14">
        <v>46074</v>
      </c>
      <c r="G18" s="13">
        <f>SUM(H13:H18)</f>
        <v>135</v>
      </c>
      <c r="H18" s="13">
        <v>10</v>
      </c>
      <c r="I18" s="13" t="s">
        <v>36</v>
      </c>
      <c r="J18" s="13" t="s">
        <v>30</v>
      </c>
      <c r="T18" s="13">
        <v>0</v>
      </c>
    </row>
    <row r="19" spans="1:23" s="4" customFormat="1" x14ac:dyDescent="0.3">
      <c r="A19" s="3" t="s">
        <v>23</v>
      </c>
      <c r="B19" s="4" t="s">
        <v>24</v>
      </c>
      <c r="C19" s="4" t="s">
        <v>25</v>
      </c>
      <c r="D19" s="4">
        <v>1</v>
      </c>
      <c r="E19" s="4">
        <v>24</v>
      </c>
      <c r="F19" s="5">
        <v>46074</v>
      </c>
      <c r="H19" s="6">
        <v>30</v>
      </c>
      <c r="I19" s="4" t="s">
        <v>28</v>
      </c>
      <c r="J19" s="4">
        <v>29</v>
      </c>
      <c r="K19" s="4" t="s">
        <v>28</v>
      </c>
      <c r="L19" s="4">
        <v>19</v>
      </c>
      <c r="M19" s="4" t="s">
        <v>28</v>
      </c>
      <c r="N19" s="6">
        <v>36</v>
      </c>
      <c r="O19" s="4" t="s">
        <v>28</v>
      </c>
      <c r="P19" s="4">
        <v>31</v>
      </c>
      <c r="Q19" s="4" t="s">
        <v>28</v>
      </c>
      <c r="R19" s="4">
        <v>28.5</v>
      </c>
      <c r="S19" s="4" t="s">
        <v>28</v>
      </c>
      <c r="T19" s="4">
        <v>36</v>
      </c>
      <c r="U19" s="4" t="s">
        <v>28</v>
      </c>
      <c r="V19" s="7">
        <v>0.35625000000000001</v>
      </c>
      <c r="W19" s="4" t="s">
        <v>37</v>
      </c>
    </row>
    <row r="20" spans="1:23" s="9" customFormat="1" x14ac:dyDescent="0.3">
      <c r="A20" s="8" t="s">
        <v>23</v>
      </c>
      <c r="B20" s="9" t="s">
        <v>24</v>
      </c>
      <c r="C20" s="9" t="s">
        <v>25</v>
      </c>
      <c r="D20" s="9">
        <v>1</v>
      </c>
      <c r="E20" s="9">
        <v>24</v>
      </c>
      <c r="F20" s="10">
        <v>46074</v>
      </c>
      <c r="H20" s="11">
        <v>35</v>
      </c>
      <c r="I20" s="9" t="s">
        <v>36</v>
      </c>
      <c r="J20" s="9">
        <v>12</v>
      </c>
      <c r="K20" s="9" t="s">
        <v>36</v>
      </c>
      <c r="L20" s="9">
        <v>11.5</v>
      </c>
      <c r="N20" s="9">
        <v>14</v>
      </c>
      <c r="P20" s="9">
        <v>9</v>
      </c>
      <c r="R20" s="11">
        <v>15</v>
      </c>
      <c r="T20" s="9">
        <v>15</v>
      </c>
      <c r="U20" s="9" t="s">
        <v>36</v>
      </c>
    </row>
    <row r="21" spans="1:23" s="9" customFormat="1" x14ac:dyDescent="0.3">
      <c r="A21" s="8" t="s">
        <v>23</v>
      </c>
      <c r="B21" s="9" t="s">
        <v>24</v>
      </c>
      <c r="C21" s="9" t="s">
        <v>25</v>
      </c>
      <c r="D21" s="9">
        <v>1</v>
      </c>
      <c r="E21" s="9">
        <v>24</v>
      </c>
      <c r="F21" s="10">
        <v>46074</v>
      </c>
      <c r="H21" s="9">
        <v>15</v>
      </c>
      <c r="I21" s="9" t="s">
        <v>31</v>
      </c>
      <c r="J21" s="9" t="s">
        <v>30</v>
      </c>
      <c r="T21" s="9">
        <v>0</v>
      </c>
    </row>
    <row r="22" spans="1:23" s="9" customFormat="1" x14ac:dyDescent="0.3">
      <c r="A22" s="8" t="s">
        <v>23</v>
      </c>
      <c r="B22" s="9" t="s">
        <v>24</v>
      </c>
      <c r="C22" s="9" t="s">
        <v>25</v>
      </c>
      <c r="D22" s="9">
        <v>1</v>
      </c>
      <c r="E22" s="9">
        <v>24</v>
      </c>
      <c r="F22" s="10">
        <v>46074</v>
      </c>
      <c r="H22" s="9">
        <v>20</v>
      </c>
      <c r="I22" s="9" t="s">
        <v>35</v>
      </c>
      <c r="J22" s="9" t="s">
        <v>30</v>
      </c>
      <c r="T22" s="9">
        <v>0</v>
      </c>
    </row>
    <row r="23" spans="1:23" s="9" customFormat="1" x14ac:dyDescent="0.3">
      <c r="A23" s="8" t="s">
        <v>23</v>
      </c>
      <c r="B23" s="9" t="s">
        <v>24</v>
      </c>
      <c r="C23" s="9" t="s">
        <v>25</v>
      </c>
      <c r="D23" s="9">
        <v>1</v>
      </c>
      <c r="E23" s="9">
        <v>24</v>
      </c>
      <c r="F23" s="10">
        <v>46074</v>
      </c>
      <c r="H23" s="9">
        <v>35</v>
      </c>
      <c r="I23" s="9" t="s">
        <v>29</v>
      </c>
      <c r="J23" s="9" t="s">
        <v>30</v>
      </c>
      <c r="T23" s="9">
        <v>0</v>
      </c>
    </row>
    <row r="24" spans="1:23" s="13" customFormat="1" ht="15" thickBot="1" x14ac:dyDescent="0.35">
      <c r="A24" s="12" t="s">
        <v>23</v>
      </c>
      <c r="B24" s="13" t="s">
        <v>24</v>
      </c>
      <c r="C24" s="13" t="s">
        <v>25</v>
      </c>
      <c r="D24" s="13">
        <v>1</v>
      </c>
      <c r="E24" s="13">
        <v>24</v>
      </c>
      <c r="F24" s="14">
        <v>46074</v>
      </c>
      <c r="G24" s="13">
        <f>SUM(H19:H24)</f>
        <v>190</v>
      </c>
      <c r="H24" s="15">
        <v>55</v>
      </c>
      <c r="I24" s="13" t="s">
        <v>34</v>
      </c>
      <c r="J24" s="13">
        <v>13</v>
      </c>
      <c r="K24" s="13" t="s">
        <v>38</v>
      </c>
      <c r="L24" s="13">
        <v>12</v>
      </c>
      <c r="N24" s="13">
        <v>11</v>
      </c>
      <c r="P24" s="15">
        <v>18.5</v>
      </c>
      <c r="R24" s="13">
        <v>12</v>
      </c>
      <c r="T24" s="13">
        <v>18.5</v>
      </c>
      <c r="U24" s="13" t="s">
        <v>38</v>
      </c>
    </row>
    <row r="25" spans="1:23" s="4" customFormat="1" x14ac:dyDescent="0.3">
      <c r="A25" s="3" t="s">
        <v>23</v>
      </c>
      <c r="B25" s="4" t="s">
        <v>24</v>
      </c>
      <c r="C25" s="4" t="s">
        <v>25</v>
      </c>
      <c r="D25" s="4">
        <v>1</v>
      </c>
      <c r="E25" s="4">
        <v>48</v>
      </c>
      <c r="F25" s="5">
        <v>46074</v>
      </c>
      <c r="H25" s="6">
        <v>70</v>
      </c>
      <c r="I25" s="4" t="s">
        <v>28</v>
      </c>
      <c r="J25" s="4">
        <v>36</v>
      </c>
      <c r="K25" s="4" t="s">
        <v>28</v>
      </c>
      <c r="L25" s="4">
        <v>32</v>
      </c>
      <c r="M25" s="4" t="s">
        <v>28</v>
      </c>
      <c r="N25" s="4">
        <v>37.5</v>
      </c>
      <c r="O25" s="4" t="s">
        <v>28</v>
      </c>
      <c r="P25" s="6">
        <v>38</v>
      </c>
      <c r="Q25" s="4" t="s">
        <v>28</v>
      </c>
      <c r="R25" s="4">
        <v>37.5</v>
      </c>
      <c r="S25" s="4" t="s">
        <v>28</v>
      </c>
      <c r="T25" s="4">
        <v>38</v>
      </c>
      <c r="U25" s="4" t="s">
        <v>28</v>
      </c>
      <c r="V25" s="7">
        <v>0.34444444444444444</v>
      </c>
      <c r="W25" s="4" t="s">
        <v>75</v>
      </c>
    </row>
    <row r="26" spans="1:23" s="9" customFormat="1" x14ac:dyDescent="0.3">
      <c r="A26" s="8" t="s">
        <v>23</v>
      </c>
      <c r="B26" s="9" t="s">
        <v>24</v>
      </c>
      <c r="C26" s="9" t="s">
        <v>25</v>
      </c>
      <c r="D26" s="9">
        <v>1</v>
      </c>
      <c r="E26" s="9">
        <v>48</v>
      </c>
      <c r="F26" s="10">
        <v>46074</v>
      </c>
      <c r="H26" s="9">
        <v>20</v>
      </c>
      <c r="I26" s="9" t="s">
        <v>36</v>
      </c>
      <c r="J26" s="9" t="s">
        <v>30</v>
      </c>
      <c r="T26" s="9">
        <v>0</v>
      </c>
      <c r="W26" s="9" t="s">
        <v>76</v>
      </c>
    </row>
    <row r="27" spans="1:23" s="9" customFormat="1" x14ac:dyDescent="0.3">
      <c r="A27" s="8" t="s">
        <v>23</v>
      </c>
      <c r="B27" s="9" t="s">
        <v>24</v>
      </c>
      <c r="C27" s="9" t="s">
        <v>25</v>
      </c>
      <c r="D27" s="9">
        <v>1</v>
      </c>
      <c r="E27" s="9">
        <v>48</v>
      </c>
      <c r="F27" s="10">
        <v>46074</v>
      </c>
      <c r="H27" s="9">
        <v>10</v>
      </c>
      <c r="I27" s="9" t="s">
        <v>29</v>
      </c>
      <c r="J27" s="9" t="s">
        <v>30</v>
      </c>
      <c r="T27" s="9">
        <v>0</v>
      </c>
    </row>
    <row r="28" spans="1:23" s="13" customFormat="1" ht="15" thickBot="1" x14ac:dyDescent="0.35">
      <c r="A28" s="12" t="s">
        <v>23</v>
      </c>
      <c r="B28" s="13" t="s">
        <v>24</v>
      </c>
      <c r="C28" s="13" t="s">
        <v>25</v>
      </c>
      <c r="D28" s="13">
        <v>1</v>
      </c>
      <c r="E28" s="13">
        <v>48</v>
      </c>
      <c r="F28" s="14">
        <v>46074</v>
      </c>
      <c r="G28" s="13">
        <f>SUM(H25:H28)</f>
        <v>105</v>
      </c>
      <c r="H28" s="13">
        <v>5</v>
      </c>
      <c r="I28" s="13" t="s">
        <v>31</v>
      </c>
      <c r="J28" s="13" t="s">
        <v>30</v>
      </c>
      <c r="T28" s="13">
        <v>0</v>
      </c>
    </row>
    <row r="29" spans="1:23" s="4" customFormat="1" x14ac:dyDescent="0.3">
      <c r="A29" s="3" t="s">
        <v>23</v>
      </c>
      <c r="B29" s="4" t="s">
        <v>24</v>
      </c>
      <c r="C29" s="4" t="s">
        <v>25</v>
      </c>
      <c r="D29" s="4">
        <v>2</v>
      </c>
      <c r="E29" s="4">
        <v>0.5</v>
      </c>
      <c r="F29" s="5">
        <v>46074</v>
      </c>
      <c r="H29" s="6">
        <v>10</v>
      </c>
      <c r="I29" s="4" t="s">
        <v>26</v>
      </c>
      <c r="J29" s="4">
        <v>66</v>
      </c>
      <c r="K29" s="4" t="s">
        <v>26</v>
      </c>
      <c r="L29" s="6">
        <v>75</v>
      </c>
      <c r="N29" s="4">
        <v>42</v>
      </c>
      <c r="P29" s="4">
        <v>73</v>
      </c>
      <c r="R29" s="4">
        <v>74</v>
      </c>
      <c r="T29" s="4">
        <v>75</v>
      </c>
      <c r="W29" s="4" t="s">
        <v>77</v>
      </c>
    </row>
    <row r="30" spans="1:23" s="9" customFormat="1" x14ac:dyDescent="0.3">
      <c r="A30" s="8" t="s">
        <v>23</v>
      </c>
      <c r="B30" s="9" t="s">
        <v>24</v>
      </c>
      <c r="C30" s="9" t="s">
        <v>25</v>
      </c>
      <c r="D30" s="9">
        <v>2</v>
      </c>
      <c r="E30" s="9">
        <v>0.5</v>
      </c>
      <c r="F30" s="10">
        <v>46074</v>
      </c>
      <c r="H30" s="11">
        <v>40</v>
      </c>
      <c r="I30" s="9" t="s">
        <v>28</v>
      </c>
      <c r="J30" s="9">
        <v>40</v>
      </c>
      <c r="K30" s="9" t="s">
        <v>28</v>
      </c>
      <c r="L30" s="9">
        <v>30</v>
      </c>
      <c r="M30" s="9" t="s">
        <v>28</v>
      </c>
      <c r="N30" s="11">
        <v>59</v>
      </c>
      <c r="O30" s="9" t="s">
        <v>28</v>
      </c>
      <c r="P30" s="9">
        <v>39.5</v>
      </c>
      <c r="Q30" s="9" t="s">
        <v>28</v>
      </c>
      <c r="R30" s="9">
        <v>33</v>
      </c>
      <c r="S30" s="9" t="s">
        <v>28</v>
      </c>
      <c r="T30" s="9">
        <v>59</v>
      </c>
      <c r="U30" s="9" t="s">
        <v>28</v>
      </c>
      <c r="V30" s="9" t="s">
        <v>39</v>
      </c>
    </row>
    <row r="31" spans="1:23" s="9" customFormat="1" x14ac:dyDescent="0.3">
      <c r="A31" s="8" t="s">
        <v>23</v>
      </c>
      <c r="B31" s="9" t="s">
        <v>24</v>
      </c>
      <c r="C31" s="9" t="s">
        <v>25</v>
      </c>
      <c r="D31" s="9">
        <v>2</v>
      </c>
      <c r="E31" s="9">
        <v>0.5</v>
      </c>
      <c r="F31" s="10">
        <v>46074</v>
      </c>
      <c r="H31" s="9">
        <v>10</v>
      </c>
      <c r="I31" s="9" t="s">
        <v>31</v>
      </c>
      <c r="J31" s="9" t="s">
        <v>30</v>
      </c>
      <c r="T31" s="9">
        <v>0</v>
      </c>
    </row>
    <row r="32" spans="1:23" s="9" customFormat="1" x14ac:dyDescent="0.3">
      <c r="A32" s="8" t="s">
        <v>23</v>
      </c>
      <c r="B32" s="9" t="s">
        <v>24</v>
      </c>
      <c r="C32" s="9" t="s">
        <v>25</v>
      </c>
      <c r="D32" s="9">
        <v>2</v>
      </c>
      <c r="E32" s="9">
        <v>0.5</v>
      </c>
      <c r="F32" s="10">
        <v>46074</v>
      </c>
      <c r="H32" s="11">
        <v>60</v>
      </c>
      <c r="I32" s="9" t="s">
        <v>36</v>
      </c>
      <c r="J32" s="9">
        <v>26</v>
      </c>
      <c r="K32" s="9" t="s">
        <v>36</v>
      </c>
      <c r="L32" s="9">
        <v>21</v>
      </c>
      <c r="N32" s="9">
        <v>30</v>
      </c>
      <c r="P32" s="11">
        <v>32</v>
      </c>
      <c r="R32" s="9">
        <v>22</v>
      </c>
      <c r="T32" s="9">
        <v>32</v>
      </c>
    </row>
    <row r="33" spans="1:23" s="13" customFormat="1" ht="15" thickBot="1" x14ac:dyDescent="0.35">
      <c r="A33" s="12" t="s">
        <v>23</v>
      </c>
      <c r="B33" s="13" t="s">
        <v>24</v>
      </c>
      <c r="C33" s="13" t="s">
        <v>25</v>
      </c>
      <c r="D33" s="13">
        <v>2</v>
      </c>
      <c r="E33" s="13">
        <v>0.5</v>
      </c>
      <c r="F33" s="14">
        <v>46074</v>
      </c>
      <c r="G33" s="13">
        <f>SUM(H29:H33)</f>
        <v>125</v>
      </c>
      <c r="H33" s="13">
        <v>5</v>
      </c>
      <c r="I33" s="13" t="s">
        <v>29</v>
      </c>
      <c r="J33" s="13" t="s">
        <v>30</v>
      </c>
      <c r="T33" s="13">
        <v>0</v>
      </c>
    </row>
    <row r="34" spans="1:23" s="4" customFormat="1" x14ac:dyDescent="0.3">
      <c r="A34" s="3" t="s">
        <v>23</v>
      </c>
      <c r="B34" s="4" t="s">
        <v>24</v>
      </c>
      <c r="C34" s="4" t="s">
        <v>25</v>
      </c>
      <c r="D34" s="4">
        <v>2</v>
      </c>
      <c r="E34" s="4">
        <v>2</v>
      </c>
      <c r="F34" s="5">
        <v>46074</v>
      </c>
      <c r="H34" s="6">
        <v>80</v>
      </c>
      <c r="I34" s="4" t="s">
        <v>28</v>
      </c>
      <c r="J34" s="4">
        <v>35</v>
      </c>
      <c r="K34" s="4" t="s">
        <v>28</v>
      </c>
      <c r="L34" s="4">
        <v>37.5</v>
      </c>
      <c r="M34" s="4" t="s">
        <v>28</v>
      </c>
      <c r="N34" s="6">
        <v>40</v>
      </c>
      <c r="O34" s="4" t="s">
        <v>28</v>
      </c>
      <c r="P34" s="4">
        <v>28</v>
      </c>
      <c r="Q34" s="4" t="s">
        <v>28</v>
      </c>
      <c r="R34" s="4">
        <v>36</v>
      </c>
      <c r="S34" s="4" t="s">
        <v>28</v>
      </c>
      <c r="T34" s="4">
        <v>40</v>
      </c>
      <c r="U34" s="4" t="s">
        <v>28</v>
      </c>
      <c r="V34" s="7">
        <v>0.43888888888888888</v>
      </c>
    </row>
    <row r="35" spans="1:23" s="9" customFormat="1" x14ac:dyDescent="0.3">
      <c r="A35" s="8" t="s">
        <v>23</v>
      </c>
      <c r="B35" s="9" t="s">
        <v>24</v>
      </c>
      <c r="C35" s="9" t="s">
        <v>25</v>
      </c>
      <c r="D35" s="9">
        <v>2</v>
      </c>
      <c r="E35" s="9">
        <v>2</v>
      </c>
      <c r="F35" s="10">
        <v>46074</v>
      </c>
      <c r="H35" s="9">
        <v>20</v>
      </c>
      <c r="I35" s="9" t="s">
        <v>31</v>
      </c>
      <c r="J35" s="9" t="s">
        <v>30</v>
      </c>
      <c r="T35" s="9">
        <v>0</v>
      </c>
    </row>
    <row r="36" spans="1:23" s="9" customFormat="1" x14ac:dyDescent="0.3">
      <c r="A36" s="8" t="s">
        <v>23</v>
      </c>
      <c r="B36" s="9" t="s">
        <v>24</v>
      </c>
      <c r="C36" s="9" t="s">
        <v>25</v>
      </c>
      <c r="D36" s="9">
        <v>2</v>
      </c>
      <c r="E36" s="9">
        <v>2</v>
      </c>
      <c r="F36" s="10">
        <v>46074</v>
      </c>
      <c r="H36" s="9">
        <v>15</v>
      </c>
      <c r="I36" s="9" t="s">
        <v>36</v>
      </c>
      <c r="J36" s="9" t="s">
        <v>30</v>
      </c>
      <c r="T36" s="9">
        <v>0</v>
      </c>
    </row>
    <row r="37" spans="1:23" s="13" customFormat="1" ht="15" thickBot="1" x14ac:dyDescent="0.35">
      <c r="A37" s="12" t="s">
        <v>23</v>
      </c>
      <c r="B37" s="13" t="s">
        <v>24</v>
      </c>
      <c r="C37" s="13" t="s">
        <v>25</v>
      </c>
      <c r="D37" s="13">
        <v>2</v>
      </c>
      <c r="E37" s="13">
        <v>2</v>
      </c>
      <c r="F37" s="14">
        <v>46074</v>
      </c>
      <c r="G37" s="13">
        <f>SUM(H34:H37)</f>
        <v>120</v>
      </c>
      <c r="H37" s="13">
        <v>5</v>
      </c>
      <c r="I37" s="13" t="s">
        <v>29</v>
      </c>
      <c r="J37" s="13" t="s">
        <v>30</v>
      </c>
      <c r="T37" s="13">
        <v>0</v>
      </c>
    </row>
    <row r="38" spans="1:23" s="4" customFormat="1" x14ac:dyDescent="0.3">
      <c r="A38" s="3" t="s">
        <v>23</v>
      </c>
      <c r="B38" s="4" t="s">
        <v>24</v>
      </c>
      <c r="C38" s="4" t="s">
        <v>25</v>
      </c>
      <c r="D38" s="4">
        <v>2</v>
      </c>
      <c r="E38" s="4">
        <v>6</v>
      </c>
      <c r="F38" s="5">
        <v>46074</v>
      </c>
      <c r="H38" s="6">
        <v>80</v>
      </c>
      <c r="I38" s="4" t="s">
        <v>28</v>
      </c>
      <c r="J38" s="4">
        <v>37</v>
      </c>
      <c r="K38" s="4" t="s">
        <v>28</v>
      </c>
      <c r="L38" s="4">
        <v>33.5</v>
      </c>
      <c r="M38" s="4" t="s">
        <v>28</v>
      </c>
      <c r="N38" s="6">
        <v>42</v>
      </c>
      <c r="O38" s="4" t="s">
        <v>28</v>
      </c>
      <c r="P38" s="4">
        <v>39</v>
      </c>
      <c r="Q38" s="4" t="s">
        <v>28</v>
      </c>
      <c r="R38" s="4">
        <v>33</v>
      </c>
      <c r="S38" s="4" t="s">
        <v>28</v>
      </c>
      <c r="T38" s="4">
        <v>42</v>
      </c>
      <c r="U38" s="4" t="s">
        <v>28</v>
      </c>
      <c r="V38" s="7">
        <v>0.44722222222222224</v>
      </c>
      <c r="W38" s="4" t="s">
        <v>78</v>
      </c>
    </row>
    <row r="39" spans="1:23" s="9" customFormat="1" x14ac:dyDescent="0.3">
      <c r="A39" s="8" t="s">
        <v>23</v>
      </c>
      <c r="B39" s="9" t="s">
        <v>24</v>
      </c>
      <c r="C39" s="9" t="s">
        <v>25</v>
      </c>
      <c r="D39" s="9">
        <v>2</v>
      </c>
      <c r="E39" s="9">
        <v>6</v>
      </c>
      <c r="F39" s="10">
        <v>46074</v>
      </c>
      <c r="H39" s="9">
        <v>10</v>
      </c>
      <c r="I39" s="9" t="s">
        <v>31</v>
      </c>
      <c r="J39" s="9" t="s">
        <v>30</v>
      </c>
      <c r="T39" s="9">
        <v>0</v>
      </c>
    </row>
    <row r="40" spans="1:23" s="9" customFormat="1" x14ac:dyDescent="0.3">
      <c r="A40" s="8" t="s">
        <v>23</v>
      </c>
      <c r="B40" s="9" t="s">
        <v>24</v>
      </c>
      <c r="C40" s="9" t="s">
        <v>25</v>
      </c>
      <c r="D40" s="9">
        <v>2</v>
      </c>
      <c r="E40" s="9">
        <v>6</v>
      </c>
      <c r="F40" s="10">
        <v>46074</v>
      </c>
      <c r="H40" s="9">
        <v>20</v>
      </c>
      <c r="I40" s="9" t="s">
        <v>29</v>
      </c>
      <c r="J40" s="9" t="s">
        <v>30</v>
      </c>
      <c r="T40" s="9">
        <v>0</v>
      </c>
    </row>
    <row r="41" spans="1:23" s="13" customFormat="1" ht="15" thickBot="1" x14ac:dyDescent="0.35">
      <c r="A41" s="12" t="s">
        <v>23</v>
      </c>
      <c r="B41" s="13" t="s">
        <v>24</v>
      </c>
      <c r="C41" s="13" t="s">
        <v>25</v>
      </c>
      <c r="D41" s="13">
        <v>2</v>
      </c>
      <c r="E41" s="13">
        <v>6</v>
      </c>
      <c r="F41" s="14">
        <v>46074</v>
      </c>
      <c r="G41" s="13">
        <f>SUM(H38:H41)</f>
        <v>115</v>
      </c>
      <c r="H41" s="13">
        <v>5</v>
      </c>
      <c r="I41" s="13" t="s">
        <v>36</v>
      </c>
      <c r="J41" s="13" t="s">
        <v>30</v>
      </c>
      <c r="T41" s="13">
        <v>0</v>
      </c>
    </row>
    <row r="42" spans="1:23" s="4" customFormat="1" x14ac:dyDescent="0.3">
      <c r="A42" s="3" t="s">
        <v>23</v>
      </c>
      <c r="B42" s="4" t="s">
        <v>24</v>
      </c>
      <c r="C42" s="4" t="s">
        <v>25</v>
      </c>
      <c r="D42" s="4">
        <v>2</v>
      </c>
      <c r="E42" s="4">
        <v>12</v>
      </c>
      <c r="F42" s="5">
        <v>46074</v>
      </c>
      <c r="H42" s="6">
        <v>75</v>
      </c>
      <c r="I42" s="4" t="s">
        <v>28</v>
      </c>
      <c r="J42" s="4">
        <v>32</v>
      </c>
      <c r="K42" s="4" t="s">
        <v>28</v>
      </c>
      <c r="L42" s="6">
        <v>35</v>
      </c>
      <c r="M42" s="4" t="s">
        <v>28</v>
      </c>
      <c r="N42" s="4">
        <v>28</v>
      </c>
      <c r="O42" s="4" t="s">
        <v>28</v>
      </c>
      <c r="P42" s="4">
        <v>33</v>
      </c>
      <c r="Q42" s="4" t="s">
        <v>28</v>
      </c>
      <c r="R42" s="4">
        <v>33</v>
      </c>
      <c r="S42" s="4" t="s">
        <v>28</v>
      </c>
      <c r="T42" s="4">
        <v>35</v>
      </c>
      <c r="U42" s="4" t="s">
        <v>28</v>
      </c>
      <c r="V42" s="7">
        <v>0.45347222222222222</v>
      </c>
    </row>
    <row r="43" spans="1:23" s="9" customFormat="1" x14ac:dyDescent="0.3">
      <c r="A43" s="8" t="s">
        <v>23</v>
      </c>
      <c r="B43" s="9" t="s">
        <v>24</v>
      </c>
      <c r="C43" s="9" t="s">
        <v>25</v>
      </c>
      <c r="D43" s="9">
        <v>2</v>
      </c>
      <c r="E43" s="9">
        <v>12</v>
      </c>
      <c r="F43" s="10">
        <v>46074</v>
      </c>
      <c r="H43" s="9">
        <v>10</v>
      </c>
      <c r="I43" s="9" t="s">
        <v>36</v>
      </c>
      <c r="J43" s="9" t="s">
        <v>30</v>
      </c>
      <c r="T43" s="9">
        <v>0</v>
      </c>
    </row>
    <row r="44" spans="1:23" s="9" customFormat="1" x14ac:dyDescent="0.3">
      <c r="A44" s="8" t="s">
        <v>23</v>
      </c>
      <c r="B44" s="9" t="s">
        <v>24</v>
      </c>
      <c r="C44" s="9" t="s">
        <v>25</v>
      </c>
      <c r="D44" s="9">
        <v>2</v>
      </c>
      <c r="E44" s="9">
        <v>12</v>
      </c>
      <c r="F44" s="10">
        <v>46074</v>
      </c>
      <c r="H44" s="9">
        <v>25</v>
      </c>
      <c r="I44" s="9" t="s">
        <v>31</v>
      </c>
      <c r="J44" s="9" t="s">
        <v>30</v>
      </c>
      <c r="T44" s="9">
        <v>0</v>
      </c>
    </row>
    <row r="45" spans="1:23" s="13" customFormat="1" ht="15" thickBot="1" x14ac:dyDescent="0.35">
      <c r="A45" s="12" t="s">
        <v>23</v>
      </c>
      <c r="B45" s="13" t="s">
        <v>24</v>
      </c>
      <c r="C45" s="13" t="s">
        <v>25</v>
      </c>
      <c r="D45" s="13">
        <v>2</v>
      </c>
      <c r="E45" s="13">
        <v>12</v>
      </c>
      <c r="F45" s="14">
        <v>46074</v>
      </c>
      <c r="G45" s="13">
        <f>SUM(H42:H45)</f>
        <v>125</v>
      </c>
      <c r="H45" s="13">
        <v>15</v>
      </c>
      <c r="I45" s="13" t="s">
        <v>29</v>
      </c>
      <c r="J45" s="13" t="s">
        <v>30</v>
      </c>
      <c r="T45" s="13">
        <v>0</v>
      </c>
    </row>
    <row r="46" spans="1:23" s="4" customFormat="1" x14ac:dyDescent="0.3">
      <c r="A46" s="3" t="s">
        <v>23</v>
      </c>
      <c r="B46" s="4" t="s">
        <v>24</v>
      </c>
      <c r="C46" s="4" t="s">
        <v>25</v>
      </c>
      <c r="D46" s="4">
        <v>2</v>
      </c>
      <c r="E46" s="4">
        <v>18</v>
      </c>
      <c r="F46" s="5">
        <v>46074</v>
      </c>
      <c r="H46" s="4">
        <v>10</v>
      </c>
      <c r="I46" s="4" t="s">
        <v>31</v>
      </c>
      <c r="J46" s="4" t="s">
        <v>30</v>
      </c>
      <c r="T46" s="4">
        <v>0</v>
      </c>
    </row>
    <row r="47" spans="1:23" s="9" customFormat="1" x14ac:dyDescent="0.3">
      <c r="A47" s="8" t="s">
        <v>23</v>
      </c>
      <c r="B47" s="9" t="s">
        <v>24</v>
      </c>
      <c r="C47" s="9" t="s">
        <v>25</v>
      </c>
      <c r="D47" s="9">
        <v>2</v>
      </c>
      <c r="E47" s="9">
        <v>18</v>
      </c>
      <c r="F47" s="10">
        <v>46074</v>
      </c>
      <c r="H47" s="11">
        <v>40</v>
      </c>
      <c r="I47" s="9" t="s">
        <v>38</v>
      </c>
      <c r="J47" s="9">
        <v>16</v>
      </c>
      <c r="K47" s="9" t="s">
        <v>38</v>
      </c>
      <c r="L47" s="9">
        <v>12</v>
      </c>
      <c r="N47" s="9">
        <v>18</v>
      </c>
      <c r="P47" s="9">
        <v>11</v>
      </c>
      <c r="R47" s="11">
        <v>24</v>
      </c>
      <c r="T47" s="9">
        <v>24</v>
      </c>
      <c r="V47" s="17">
        <v>0.46111111111111114</v>
      </c>
    </row>
    <row r="48" spans="1:23" s="9" customFormat="1" x14ac:dyDescent="0.3">
      <c r="A48" s="8" t="s">
        <v>23</v>
      </c>
      <c r="B48" s="9" t="s">
        <v>24</v>
      </c>
      <c r="C48" s="9" t="s">
        <v>25</v>
      </c>
      <c r="D48" s="9">
        <v>2</v>
      </c>
      <c r="E48" s="9">
        <v>18</v>
      </c>
      <c r="F48" s="10">
        <v>46074</v>
      </c>
      <c r="H48" s="11">
        <v>20</v>
      </c>
      <c r="I48" s="9" t="s">
        <v>28</v>
      </c>
      <c r="J48" s="9">
        <v>25</v>
      </c>
      <c r="K48" s="9" t="s">
        <v>28</v>
      </c>
      <c r="L48" s="9">
        <v>17</v>
      </c>
      <c r="M48" s="9" t="s">
        <v>28</v>
      </c>
      <c r="N48" s="9">
        <v>26</v>
      </c>
      <c r="O48" s="9" t="s">
        <v>28</v>
      </c>
      <c r="P48" s="11">
        <v>29</v>
      </c>
      <c r="Q48" s="9" t="s">
        <v>28</v>
      </c>
      <c r="R48" s="9">
        <v>27</v>
      </c>
      <c r="S48" s="9" t="s">
        <v>28</v>
      </c>
      <c r="T48" s="9">
        <v>29</v>
      </c>
      <c r="U48" s="9" t="s">
        <v>28</v>
      </c>
    </row>
    <row r="49" spans="1:23" s="9" customFormat="1" x14ac:dyDescent="0.3">
      <c r="A49" s="8" t="s">
        <v>23</v>
      </c>
      <c r="B49" s="9" t="s">
        <v>24</v>
      </c>
      <c r="C49" s="9" t="s">
        <v>25</v>
      </c>
      <c r="D49" s="9">
        <v>2</v>
      </c>
      <c r="E49" s="9">
        <v>18</v>
      </c>
      <c r="F49" s="10">
        <v>46074</v>
      </c>
      <c r="H49" s="9">
        <v>30</v>
      </c>
      <c r="I49" s="9" t="s">
        <v>36</v>
      </c>
      <c r="J49" s="9" t="s">
        <v>30</v>
      </c>
      <c r="T49" s="9">
        <v>0</v>
      </c>
      <c r="W49" s="9" t="s">
        <v>79</v>
      </c>
    </row>
    <row r="50" spans="1:23" s="13" customFormat="1" ht="15" thickBot="1" x14ac:dyDescent="0.35">
      <c r="A50" s="12" t="s">
        <v>23</v>
      </c>
      <c r="B50" s="13" t="s">
        <v>24</v>
      </c>
      <c r="C50" s="13" t="s">
        <v>25</v>
      </c>
      <c r="D50" s="13">
        <v>2</v>
      </c>
      <c r="E50" s="13">
        <v>18</v>
      </c>
      <c r="F50" s="14">
        <v>46074</v>
      </c>
      <c r="G50" s="13">
        <f>SUM(H46:H50)</f>
        <v>140</v>
      </c>
      <c r="H50" s="13">
        <v>40</v>
      </c>
      <c r="I50" s="13" t="s">
        <v>29</v>
      </c>
      <c r="J50" s="13" t="s">
        <v>30</v>
      </c>
      <c r="T50" s="13">
        <v>0</v>
      </c>
    </row>
    <row r="51" spans="1:23" s="4" customFormat="1" x14ac:dyDescent="0.3">
      <c r="A51" s="3" t="s">
        <v>23</v>
      </c>
      <c r="B51" s="4" t="s">
        <v>24</v>
      </c>
      <c r="C51" s="4" t="s">
        <v>25</v>
      </c>
      <c r="D51" s="4">
        <v>2</v>
      </c>
      <c r="E51" s="4">
        <v>24</v>
      </c>
      <c r="F51" s="5">
        <v>46074</v>
      </c>
      <c r="H51" s="6">
        <v>65</v>
      </c>
      <c r="I51" s="4" t="s">
        <v>28</v>
      </c>
      <c r="J51" s="4">
        <v>42</v>
      </c>
      <c r="K51" s="4" t="s">
        <v>28</v>
      </c>
      <c r="L51" s="6">
        <v>55</v>
      </c>
      <c r="M51" s="4" t="s">
        <v>28</v>
      </c>
      <c r="N51" s="4">
        <v>43</v>
      </c>
      <c r="O51" s="4" t="s">
        <v>28</v>
      </c>
      <c r="P51" s="4">
        <v>39</v>
      </c>
      <c r="Q51" s="4" t="s">
        <v>28</v>
      </c>
      <c r="R51" s="4">
        <v>32</v>
      </c>
      <c r="S51" s="4" t="s">
        <v>28</v>
      </c>
      <c r="T51" s="4">
        <v>55</v>
      </c>
      <c r="U51" s="4" t="s">
        <v>28</v>
      </c>
      <c r="V51" s="7">
        <v>0.46944444444444444</v>
      </c>
    </row>
    <row r="52" spans="1:23" s="9" customFormat="1" x14ac:dyDescent="0.3">
      <c r="A52" s="8" t="s">
        <v>23</v>
      </c>
      <c r="B52" s="9" t="s">
        <v>24</v>
      </c>
      <c r="C52" s="9" t="s">
        <v>25</v>
      </c>
      <c r="D52" s="9">
        <v>2</v>
      </c>
      <c r="E52" s="9">
        <v>24</v>
      </c>
      <c r="F52" s="10">
        <v>46074</v>
      </c>
      <c r="H52" s="9">
        <v>25</v>
      </c>
      <c r="I52" s="9" t="s">
        <v>36</v>
      </c>
      <c r="J52" s="9" t="s">
        <v>30</v>
      </c>
      <c r="T52" s="9">
        <v>0</v>
      </c>
    </row>
    <row r="53" spans="1:23" s="9" customFormat="1" x14ac:dyDescent="0.3">
      <c r="A53" s="8" t="s">
        <v>23</v>
      </c>
      <c r="B53" s="9" t="s">
        <v>24</v>
      </c>
      <c r="C53" s="9" t="s">
        <v>25</v>
      </c>
      <c r="D53" s="9">
        <v>2</v>
      </c>
      <c r="E53" s="9">
        <v>24</v>
      </c>
      <c r="F53" s="10">
        <v>46074</v>
      </c>
      <c r="H53" s="9">
        <v>20</v>
      </c>
      <c r="I53" s="9" t="s">
        <v>31</v>
      </c>
      <c r="J53" s="9" t="s">
        <v>30</v>
      </c>
      <c r="T53" s="9">
        <v>0</v>
      </c>
    </row>
    <row r="54" spans="1:23" s="13" customFormat="1" ht="15" thickBot="1" x14ac:dyDescent="0.35">
      <c r="A54" s="12" t="s">
        <v>23</v>
      </c>
      <c r="B54" s="13" t="s">
        <v>24</v>
      </c>
      <c r="C54" s="13" t="s">
        <v>25</v>
      </c>
      <c r="D54" s="13">
        <v>2</v>
      </c>
      <c r="E54" s="13">
        <v>24</v>
      </c>
      <c r="F54" s="14">
        <v>46074</v>
      </c>
      <c r="G54" s="13">
        <f>SUM(H51:H54)</f>
        <v>120</v>
      </c>
      <c r="H54" s="13">
        <v>10</v>
      </c>
      <c r="I54" s="13" t="s">
        <v>29</v>
      </c>
      <c r="J54" s="13" t="s">
        <v>30</v>
      </c>
      <c r="T54" s="13">
        <v>0</v>
      </c>
    </row>
    <row r="55" spans="1:23" s="4" customFormat="1" x14ac:dyDescent="0.3">
      <c r="A55" s="3" t="s">
        <v>23</v>
      </c>
      <c r="B55" s="4" t="s">
        <v>24</v>
      </c>
      <c r="C55" s="4" t="s">
        <v>25</v>
      </c>
      <c r="D55" s="4">
        <v>2</v>
      </c>
      <c r="E55" s="4">
        <v>48</v>
      </c>
      <c r="F55" s="5">
        <v>46074</v>
      </c>
      <c r="H55" s="6">
        <v>70</v>
      </c>
      <c r="I55" s="4" t="s">
        <v>28</v>
      </c>
      <c r="J55" s="4">
        <v>38</v>
      </c>
      <c r="K55" s="4" t="s">
        <v>28</v>
      </c>
      <c r="L55" s="4">
        <v>37.5</v>
      </c>
      <c r="M55" s="4" t="s">
        <v>28</v>
      </c>
      <c r="N55" s="4">
        <v>34</v>
      </c>
      <c r="O55" s="4" t="s">
        <v>28</v>
      </c>
      <c r="P55" s="4">
        <v>40</v>
      </c>
      <c r="Q55" s="4" t="s">
        <v>28</v>
      </c>
      <c r="R55" s="6">
        <v>42</v>
      </c>
      <c r="S55" s="4" t="s">
        <v>28</v>
      </c>
      <c r="T55" s="4">
        <v>42</v>
      </c>
      <c r="U55" s="4" t="s">
        <v>28</v>
      </c>
      <c r="V55" s="4" t="s">
        <v>40</v>
      </c>
    </row>
    <row r="56" spans="1:23" s="9" customFormat="1" x14ac:dyDescent="0.3">
      <c r="A56" s="8" t="s">
        <v>23</v>
      </c>
      <c r="B56" s="9" t="s">
        <v>24</v>
      </c>
      <c r="C56" s="9" t="s">
        <v>25</v>
      </c>
      <c r="D56" s="9">
        <v>2</v>
      </c>
      <c r="E56" s="9">
        <v>48</v>
      </c>
      <c r="F56" s="10">
        <v>46074</v>
      </c>
      <c r="H56" s="9">
        <v>20</v>
      </c>
      <c r="I56" s="9" t="s">
        <v>31</v>
      </c>
      <c r="J56" s="9" t="s">
        <v>30</v>
      </c>
      <c r="T56" s="9">
        <v>0</v>
      </c>
    </row>
    <row r="57" spans="1:23" s="9" customFormat="1" x14ac:dyDescent="0.3">
      <c r="A57" s="8" t="s">
        <v>23</v>
      </c>
      <c r="B57" s="9" t="s">
        <v>24</v>
      </c>
      <c r="C57" s="9" t="s">
        <v>25</v>
      </c>
      <c r="D57" s="9">
        <v>2</v>
      </c>
      <c r="E57" s="9">
        <v>48</v>
      </c>
      <c r="F57" s="10">
        <v>46074</v>
      </c>
      <c r="H57" s="9">
        <v>25</v>
      </c>
      <c r="I57" s="9" t="s">
        <v>36</v>
      </c>
      <c r="J57" s="9" t="s">
        <v>30</v>
      </c>
      <c r="T57" s="9">
        <v>0</v>
      </c>
    </row>
    <row r="58" spans="1:23" s="13" customFormat="1" ht="15" thickBot="1" x14ac:dyDescent="0.35">
      <c r="A58" s="12" t="s">
        <v>23</v>
      </c>
      <c r="B58" s="13" t="s">
        <v>24</v>
      </c>
      <c r="C58" s="13" t="s">
        <v>25</v>
      </c>
      <c r="D58" s="13">
        <v>2</v>
      </c>
      <c r="E58" s="13">
        <v>48</v>
      </c>
      <c r="F58" s="14">
        <v>46074</v>
      </c>
      <c r="G58" s="13">
        <f>SUM(H55:H58)</f>
        <v>130</v>
      </c>
      <c r="H58" s="13">
        <v>15</v>
      </c>
      <c r="I58" s="13" t="s">
        <v>29</v>
      </c>
      <c r="J58" s="13" t="s">
        <v>30</v>
      </c>
      <c r="T58" s="13">
        <v>0</v>
      </c>
    </row>
    <row r="59" spans="1:23" s="4" customFormat="1" x14ac:dyDescent="0.3">
      <c r="A59" s="3" t="s">
        <v>23</v>
      </c>
      <c r="B59" s="4" t="s">
        <v>24</v>
      </c>
      <c r="C59" s="4" t="s">
        <v>41</v>
      </c>
      <c r="D59" s="4">
        <v>1</v>
      </c>
      <c r="E59" s="4">
        <v>0.5</v>
      </c>
      <c r="F59" s="5">
        <v>46073</v>
      </c>
      <c r="H59" s="4">
        <v>10</v>
      </c>
      <c r="I59" s="4" t="s">
        <v>42</v>
      </c>
      <c r="J59" s="4" t="s">
        <v>30</v>
      </c>
      <c r="T59" s="4">
        <v>0</v>
      </c>
    </row>
    <row r="60" spans="1:23" s="9" customFormat="1" x14ac:dyDescent="0.3">
      <c r="A60" s="8" t="s">
        <v>23</v>
      </c>
      <c r="B60" s="9" t="s">
        <v>24</v>
      </c>
      <c r="C60" s="9" t="s">
        <v>41</v>
      </c>
      <c r="D60" s="9">
        <v>1</v>
      </c>
      <c r="E60" s="9">
        <v>0.5</v>
      </c>
      <c r="F60" s="10">
        <v>46073</v>
      </c>
      <c r="H60" s="9">
        <v>60</v>
      </c>
      <c r="I60" s="9" t="s">
        <v>31</v>
      </c>
      <c r="J60" s="9">
        <v>15</v>
      </c>
      <c r="K60" s="9" t="s">
        <v>43</v>
      </c>
      <c r="L60" s="9">
        <v>18</v>
      </c>
      <c r="N60" s="9">
        <v>13</v>
      </c>
      <c r="P60" s="9">
        <v>10</v>
      </c>
      <c r="R60" s="9">
        <v>20.5</v>
      </c>
      <c r="T60" s="9">
        <v>20.5</v>
      </c>
      <c r="V60" s="17">
        <v>0.43958333333333333</v>
      </c>
    </row>
    <row r="61" spans="1:23" s="9" customFormat="1" x14ac:dyDescent="0.3">
      <c r="A61" s="8" t="s">
        <v>23</v>
      </c>
      <c r="B61" s="9" t="s">
        <v>24</v>
      </c>
      <c r="C61" s="9" t="s">
        <v>41</v>
      </c>
      <c r="D61" s="9">
        <v>1</v>
      </c>
      <c r="E61" s="9">
        <v>0.5</v>
      </c>
      <c r="F61" s="10">
        <v>46073</v>
      </c>
      <c r="H61" s="9">
        <v>40</v>
      </c>
      <c r="I61" s="9" t="s">
        <v>28</v>
      </c>
      <c r="J61" s="9">
        <v>26</v>
      </c>
      <c r="K61" s="9" t="s">
        <v>28</v>
      </c>
      <c r="L61" s="9">
        <v>28</v>
      </c>
      <c r="M61" s="9" t="s">
        <v>28</v>
      </c>
      <c r="N61" s="9">
        <v>21.5</v>
      </c>
      <c r="O61" s="9" t="s">
        <v>28</v>
      </c>
      <c r="P61" s="9">
        <v>29</v>
      </c>
      <c r="Q61" s="9" t="s">
        <v>28</v>
      </c>
      <c r="R61" s="9">
        <v>26.5</v>
      </c>
      <c r="S61" s="9" t="s">
        <v>28</v>
      </c>
      <c r="T61" s="9">
        <v>29</v>
      </c>
      <c r="U61" s="9" t="s">
        <v>28</v>
      </c>
    </row>
    <row r="62" spans="1:23" s="13" customFormat="1" ht="15" thickBot="1" x14ac:dyDescent="0.35">
      <c r="A62" s="12" t="s">
        <v>23</v>
      </c>
      <c r="B62" s="13" t="s">
        <v>24</v>
      </c>
      <c r="C62" s="13" t="s">
        <v>41</v>
      </c>
      <c r="D62" s="13">
        <v>1</v>
      </c>
      <c r="E62" s="13">
        <v>0.5</v>
      </c>
      <c r="F62" s="14">
        <v>46073</v>
      </c>
      <c r="G62" s="13">
        <f>SUM(H59:H62)</f>
        <v>125</v>
      </c>
      <c r="H62" s="13">
        <v>15</v>
      </c>
      <c r="I62" s="13" t="s">
        <v>29</v>
      </c>
      <c r="J62" s="13" t="s">
        <v>30</v>
      </c>
      <c r="T62" s="13">
        <v>0</v>
      </c>
    </row>
    <row r="63" spans="1:23" s="4" customFormat="1" x14ac:dyDescent="0.3">
      <c r="A63" s="3" t="s">
        <v>23</v>
      </c>
      <c r="B63" s="4" t="s">
        <v>24</v>
      </c>
      <c r="C63" s="4" t="s">
        <v>41</v>
      </c>
      <c r="D63" s="4">
        <v>1</v>
      </c>
      <c r="E63" s="4">
        <v>2</v>
      </c>
      <c r="F63" s="5">
        <v>46073</v>
      </c>
      <c r="H63" s="4">
        <v>15</v>
      </c>
      <c r="I63" s="4" t="s">
        <v>31</v>
      </c>
      <c r="J63" s="4" t="s">
        <v>30</v>
      </c>
      <c r="T63" s="4">
        <v>0</v>
      </c>
    </row>
    <row r="64" spans="1:23" s="9" customFormat="1" x14ac:dyDescent="0.3">
      <c r="A64" s="8" t="s">
        <v>23</v>
      </c>
      <c r="B64" s="9" t="s">
        <v>24</v>
      </c>
      <c r="C64" s="9" t="s">
        <v>41</v>
      </c>
      <c r="D64" s="9">
        <v>1</v>
      </c>
      <c r="E64" s="9">
        <v>2</v>
      </c>
      <c r="F64" s="10">
        <v>46073</v>
      </c>
      <c r="H64" s="9">
        <v>50</v>
      </c>
      <c r="I64" s="9" t="s">
        <v>28</v>
      </c>
      <c r="J64" s="9">
        <v>29</v>
      </c>
      <c r="K64" s="9" t="s">
        <v>28</v>
      </c>
      <c r="L64" s="9">
        <v>31</v>
      </c>
      <c r="M64" s="9" t="s">
        <v>28</v>
      </c>
      <c r="N64" s="9">
        <v>29</v>
      </c>
      <c r="O64" s="9" t="s">
        <v>28</v>
      </c>
      <c r="P64" s="9">
        <v>28</v>
      </c>
      <c r="Q64" s="9" t="s">
        <v>28</v>
      </c>
      <c r="R64" s="9">
        <v>27.5</v>
      </c>
      <c r="S64" s="9" t="s">
        <v>28</v>
      </c>
      <c r="T64" s="9">
        <v>31</v>
      </c>
      <c r="U64" s="9" t="s">
        <v>28</v>
      </c>
      <c r="V64" s="17">
        <v>0.45347222222222222</v>
      </c>
    </row>
    <row r="65" spans="1:22" s="13" customFormat="1" ht="15" thickBot="1" x14ac:dyDescent="0.35">
      <c r="A65" s="12" t="s">
        <v>23</v>
      </c>
      <c r="B65" s="13" t="s">
        <v>24</v>
      </c>
      <c r="C65" s="13" t="s">
        <v>41</v>
      </c>
      <c r="D65" s="13">
        <v>1</v>
      </c>
      <c r="E65" s="13">
        <v>2</v>
      </c>
      <c r="F65" s="14">
        <v>46073</v>
      </c>
      <c r="G65" s="13">
        <f>SUM(H63:H65)</f>
        <v>100</v>
      </c>
      <c r="H65" s="13">
        <v>35</v>
      </c>
      <c r="I65" s="13" t="s">
        <v>29</v>
      </c>
      <c r="J65" s="13" t="s">
        <v>30</v>
      </c>
      <c r="T65" s="13">
        <v>0</v>
      </c>
    </row>
    <row r="66" spans="1:22" s="4" customFormat="1" x14ac:dyDescent="0.3">
      <c r="A66" s="3" t="s">
        <v>23</v>
      </c>
      <c r="B66" s="4" t="s">
        <v>24</v>
      </c>
      <c r="C66" s="4" t="s">
        <v>41</v>
      </c>
      <c r="D66" s="4">
        <v>1</v>
      </c>
      <c r="E66" s="4">
        <v>6</v>
      </c>
      <c r="F66" s="5">
        <v>46073</v>
      </c>
      <c r="H66" s="4">
        <v>80</v>
      </c>
      <c r="I66" s="4" t="s">
        <v>28</v>
      </c>
      <c r="J66" s="4">
        <v>39</v>
      </c>
      <c r="K66" s="4" t="s">
        <v>28</v>
      </c>
      <c r="L66" s="4">
        <v>42.5</v>
      </c>
      <c r="M66" s="4" t="s">
        <v>28</v>
      </c>
      <c r="N66" s="4">
        <v>39</v>
      </c>
      <c r="O66" s="4" t="s">
        <v>28</v>
      </c>
      <c r="P66" s="4">
        <v>40</v>
      </c>
      <c r="Q66" s="4" t="s">
        <v>28</v>
      </c>
      <c r="R66" s="4">
        <v>35</v>
      </c>
      <c r="S66" s="4" t="s">
        <v>28</v>
      </c>
      <c r="T66" s="4">
        <v>42.5</v>
      </c>
      <c r="U66" s="4" t="s">
        <v>28</v>
      </c>
      <c r="V66" s="7">
        <v>0.46180555555555558</v>
      </c>
    </row>
    <row r="67" spans="1:22" s="9" customFormat="1" x14ac:dyDescent="0.3">
      <c r="A67" s="8" t="s">
        <v>23</v>
      </c>
      <c r="B67" s="9" t="s">
        <v>24</v>
      </c>
      <c r="C67" s="9" t="s">
        <v>41</v>
      </c>
      <c r="D67" s="9">
        <v>1</v>
      </c>
      <c r="E67" s="9">
        <v>6</v>
      </c>
      <c r="F67" s="10">
        <v>46073</v>
      </c>
      <c r="H67" s="9">
        <v>5</v>
      </c>
      <c r="I67" s="9" t="s">
        <v>44</v>
      </c>
      <c r="J67" s="9" t="s">
        <v>30</v>
      </c>
      <c r="T67" s="9">
        <v>0</v>
      </c>
    </row>
    <row r="68" spans="1:22" s="13" customFormat="1" ht="15" thickBot="1" x14ac:dyDescent="0.35">
      <c r="A68" s="12" t="s">
        <v>23</v>
      </c>
      <c r="B68" s="13" t="s">
        <v>24</v>
      </c>
      <c r="C68" s="13" t="s">
        <v>41</v>
      </c>
      <c r="D68" s="13">
        <v>1</v>
      </c>
      <c r="E68" s="13">
        <v>6</v>
      </c>
      <c r="F68" s="14">
        <v>46073</v>
      </c>
      <c r="G68" s="13">
        <f>SUM(H66:H68)</f>
        <v>105</v>
      </c>
      <c r="H68" s="13">
        <v>20</v>
      </c>
      <c r="I68" s="13" t="s">
        <v>29</v>
      </c>
      <c r="J68" s="13" t="s">
        <v>30</v>
      </c>
      <c r="T68" s="13">
        <v>0</v>
      </c>
    </row>
    <row r="69" spans="1:22" s="4" customFormat="1" x14ac:dyDescent="0.3">
      <c r="A69" s="3" t="s">
        <v>23</v>
      </c>
      <c r="B69" s="4" t="s">
        <v>24</v>
      </c>
      <c r="C69" s="4" t="s">
        <v>41</v>
      </c>
      <c r="D69" s="4">
        <v>1</v>
      </c>
      <c r="E69" s="4">
        <v>12</v>
      </c>
      <c r="F69" s="5">
        <v>46073</v>
      </c>
      <c r="H69" s="4">
        <v>60</v>
      </c>
      <c r="I69" s="4" t="s">
        <v>28</v>
      </c>
      <c r="J69" s="4">
        <v>51</v>
      </c>
      <c r="K69" s="4" t="s">
        <v>28</v>
      </c>
      <c r="L69" s="4">
        <v>44</v>
      </c>
      <c r="M69" s="4" t="s">
        <v>28</v>
      </c>
      <c r="N69" s="4">
        <v>71</v>
      </c>
      <c r="O69" s="4" t="s">
        <v>28</v>
      </c>
      <c r="P69" s="4">
        <v>48.5</v>
      </c>
      <c r="Q69" s="4" t="s">
        <v>28</v>
      </c>
      <c r="R69" s="4">
        <v>41.5</v>
      </c>
      <c r="S69" s="4" t="s">
        <v>28</v>
      </c>
      <c r="T69" s="4">
        <v>71</v>
      </c>
      <c r="U69" s="4" t="s">
        <v>28</v>
      </c>
      <c r="V69" s="7">
        <v>0.46875</v>
      </c>
    </row>
    <row r="70" spans="1:22" s="13" customFormat="1" ht="15" thickBot="1" x14ac:dyDescent="0.35">
      <c r="A70" s="12" t="s">
        <v>23</v>
      </c>
      <c r="B70" s="13" t="s">
        <v>24</v>
      </c>
      <c r="C70" s="13" t="s">
        <v>41</v>
      </c>
      <c r="D70" s="13">
        <v>1</v>
      </c>
      <c r="E70" s="13">
        <v>12</v>
      </c>
      <c r="F70" s="14">
        <v>46073</v>
      </c>
      <c r="G70" s="13">
        <f>SUM(H69:H70)</f>
        <v>100</v>
      </c>
      <c r="H70" s="13">
        <v>40</v>
      </c>
      <c r="I70" s="13" t="s">
        <v>29</v>
      </c>
      <c r="J70" s="13" t="s">
        <v>30</v>
      </c>
      <c r="T70" s="13">
        <v>0</v>
      </c>
    </row>
    <row r="71" spans="1:22" s="4" customFormat="1" x14ac:dyDescent="0.3">
      <c r="A71" s="3" t="s">
        <v>23</v>
      </c>
      <c r="B71" s="4" t="s">
        <v>24</v>
      </c>
      <c r="C71" s="4" t="s">
        <v>41</v>
      </c>
      <c r="D71" s="4">
        <v>1</v>
      </c>
      <c r="E71" s="4">
        <v>18</v>
      </c>
      <c r="F71" s="5">
        <v>46073</v>
      </c>
      <c r="H71" s="4">
        <v>80</v>
      </c>
      <c r="I71" s="4" t="s">
        <v>28</v>
      </c>
      <c r="J71" s="4">
        <v>38</v>
      </c>
      <c r="K71" s="4" t="s">
        <v>28</v>
      </c>
      <c r="L71" s="4">
        <v>33</v>
      </c>
      <c r="M71" s="4" t="s">
        <v>28</v>
      </c>
      <c r="N71" s="4">
        <v>32</v>
      </c>
      <c r="O71" s="4" t="s">
        <v>28</v>
      </c>
      <c r="P71" s="4">
        <v>42</v>
      </c>
      <c r="Q71" s="4" t="s">
        <v>28</v>
      </c>
      <c r="R71" s="4">
        <v>44</v>
      </c>
      <c r="S71" s="4" t="s">
        <v>28</v>
      </c>
      <c r="T71" s="4">
        <v>44</v>
      </c>
      <c r="U71" s="4" t="s">
        <v>28</v>
      </c>
      <c r="V71" s="7">
        <v>0.47569444444444442</v>
      </c>
    </row>
    <row r="72" spans="1:22" s="13" customFormat="1" ht="15" thickBot="1" x14ac:dyDescent="0.35">
      <c r="A72" s="12" t="s">
        <v>23</v>
      </c>
      <c r="B72" s="13" t="s">
        <v>24</v>
      </c>
      <c r="C72" s="13" t="s">
        <v>41</v>
      </c>
      <c r="D72" s="13">
        <v>1</v>
      </c>
      <c r="E72" s="13">
        <v>18</v>
      </c>
      <c r="F72" s="14">
        <v>46073</v>
      </c>
      <c r="G72" s="13">
        <f>SUM(H71:H72)</f>
        <v>100</v>
      </c>
      <c r="H72" s="13">
        <v>20</v>
      </c>
      <c r="I72" s="13" t="s">
        <v>29</v>
      </c>
      <c r="J72" s="13" t="s">
        <v>30</v>
      </c>
      <c r="T72" s="13">
        <v>0</v>
      </c>
    </row>
    <row r="73" spans="1:22" s="4" customFormat="1" x14ac:dyDescent="0.3">
      <c r="A73" s="3" t="s">
        <v>23</v>
      </c>
      <c r="B73" s="4" t="s">
        <v>24</v>
      </c>
      <c r="C73" s="4" t="s">
        <v>41</v>
      </c>
      <c r="D73" s="4">
        <v>1</v>
      </c>
      <c r="E73" s="4">
        <v>24</v>
      </c>
      <c r="F73" s="5">
        <v>46073</v>
      </c>
      <c r="H73" s="4">
        <v>15</v>
      </c>
      <c r="I73" s="4" t="s">
        <v>29</v>
      </c>
      <c r="J73" s="4" t="s">
        <v>30</v>
      </c>
      <c r="T73" s="4">
        <v>0</v>
      </c>
    </row>
    <row r="74" spans="1:22" s="9" customFormat="1" x14ac:dyDescent="0.3">
      <c r="A74" s="8" t="s">
        <v>23</v>
      </c>
      <c r="B74" s="9" t="s">
        <v>24</v>
      </c>
      <c r="C74" s="9" t="s">
        <v>41</v>
      </c>
      <c r="D74" s="9">
        <v>1</v>
      </c>
      <c r="E74" s="9">
        <v>24</v>
      </c>
      <c r="F74" s="10">
        <v>46073</v>
      </c>
      <c r="H74" s="9">
        <v>85</v>
      </c>
      <c r="I74" s="9" t="s">
        <v>28</v>
      </c>
      <c r="J74" s="9">
        <v>36</v>
      </c>
      <c r="K74" s="9" t="s">
        <v>28</v>
      </c>
      <c r="L74" s="9">
        <v>33</v>
      </c>
      <c r="M74" s="9" t="s">
        <v>28</v>
      </c>
      <c r="N74" s="9">
        <v>35</v>
      </c>
      <c r="O74" s="9" t="s">
        <v>28</v>
      </c>
      <c r="P74" s="9">
        <v>37</v>
      </c>
      <c r="Q74" s="9" t="s">
        <v>28</v>
      </c>
      <c r="R74" s="9">
        <v>38</v>
      </c>
      <c r="S74" s="9" t="s">
        <v>28</v>
      </c>
      <c r="T74" s="9">
        <v>38</v>
      </c>
      <c r="U74" s="9" t="s">
        <v>28</v>
      </c>
      <c r="V74" s="17">
        <v>0.48194444444444445</v>
      </c>
    </row>
    <row r="75" spans="1:22" s="13" customFormat="1" ht="15" thickBot="1" x14ac:dyDescent="0.35">
      <c r="A75" s="12" t="s">
        <v>23</v>
      </c>
      <c r="B75" s="13" t="s">
        <v>24</v>
      </c>
      <c r="C75" s="13" t="s">
        <v>41</v>
      </c>
      <c r="D75" s="13">
        <v>1</v>
      </c>
      <c r="E75" s="13">
        <v>24</v>
      </c>
      <c r="F75" s="14">
        <v>46073</v>
      </c>
      <c r="G75" s="13">
        <f>SUM(H73:H75)</f>
        <v>140</v>
      </c>
      <c r="H75" s="13">
        <v>40</v>
      </c>
      <c r="I75" s="13" t="s">
        <v>36</v>
      </c>
      <c r="J75" s="13" t="s">
        <v>30</v>
      </c>
      <c r="T75" s="13">
        <v>0</v>
      </c>
    </row>
    <row r="76" spans="1:22" s="4" customFormat="1" x14ac:dyDescent="0.3">
      <c r="A76" s="3" t="s">
        <v>23</v>
      </c>
      <c r="B76" s="4" t="s">
        <v>24</v>
      </c>
      <c r="C76" s="4" t="s">
        <v>41</v>
      </c>
      <c r="D76" s="4">
        <v>1</v>
      </c>
      <c r="E76" s="4">
        <v>48</v>
      </c>
      <c r="F76" s="5">
        <v>46073</v>
      </c>
      <c r="H76" s="4">
        <v>40</v>
      </c>
      <c r="I76" s="4" t="s">
        <v>35</v>
      </c>
      <c r="J76" s="4" t="s">
        <v>30</v>
      </c>
      <c r="T76" s="4">
        <v>0</v>
      </c>
    </row>
    <row r="77" spans="1:22" s="9" customFormat="1" x14ac:dyDescent="0.3">
      <c r="A77" s="8" t="s">
        <v>23</v>
      </c>
      <c r="B77" s="9" t="s">
        <v>24</v>
      </c>
      <c r="C77" s="9" t="s">
        <v>41</v>
      </c>
      <c r="D77" s="9">
        <v>1</v>
      </c>
      <c r="E77" s="9">
        <v>48</v>
      </c>
      <c r="F77" s="10">
        <v>46073</v>
      </c>
      <c r="H77" s="9">
        <v>10</v>
      </c>
      <c r="I77" s="9" t="s">
        <v>45</v>
      </c>
      <c r="J77" s="9" t="s">
        <v>30</v>
      </c>
      <c r="T77" s="9">
        <v>0</v>
      </c>
    </row>
    <row r="78" spans="1:22" s="9" customFormat="1" x14ac:dyDescent="0.3">
      <c r="A78" s="8" t="s">
        <v>23</v>
      </c>
      <c r="B78" s="9" t="s">
        <v>24</v>
      </c>
      <c r="C78" s="9" t="s">
        <v>41</v>
      </c>
      <c r="D78" s="9">
        <v>1</v>
      </c>
      <c r="E78" s="9">
        <v>48</v>
      </c>
      <c r="F78" s="10">
        <v>46073</v>
      </c>
      <c r="H78" s="9">
        <v>45</v>
      </c>
      <c r="I78" s="9" t="s">
        <v>28</v>
      </c>
      <c r="J78" s="9">
        <v>36</v>
      </c>
      <c r="K78" s="9" t="s">
        <v>28</v>
      </c>
      <c r="L78" s="9">
        <v>45</v>
      </c>
      <c r="M78" s="9" t="s">
        <v>28</v>
      </c>
      <c r="N78" s="9">
        <v>42</v>
      </c>
      <c r="O78" s="9" t="s">
        <v>28</v>
      </c>
      <c r="P78" s="9">
        <v>29</v>
      </c>
      <c r="Q78" s="9" t="s">
        <v>28</v>
      </c>
      <c r="R78" s="9">
        <v>28.5</v>
      </c>
      <c r="S78" s="9" t="s">
        <v>28</v>
      </c>
      <c r="T78" s="9">
        <v>45</v>
      </c>
      <c r="U78" s="9" t="s">
        <v>28</v>
      </c>
      <c r="V78" s="17">
        <v>0.48888888888888887</v>
      </c>
    </row>
    <row r="79" spans="1:22" s="9" customFormat="1" x14ac:dyDescent="0.3">
      <c r="A79" s="8" t="s">
        <v>23</v>
      </c>
      <c r="B79" s="9" t="s">
        <v>24</v>
      </c>
      <c r="C79" s="9" t="s">
        <v>41</v>
      </c>
      <c r="D79" s="9">
        <v>1</v>
      </c>
      <c r="E79" s="9">
        <v>48</v>
      </c>
      <c r="F79" s="10">
        <v>46073</v>
      </c>
      <c r="H79" s="9">
        <v>40</v>
      </c>
      <c r="I79" s="9" t="s">
        <v>36</v>
      </c>
      <c r="J79" s="9" t="s">
        <v>30</v>
      </c>
      <c r="T79" s="9">
        <v>0</v>
      </c>
    </row>
    <row r="80" spans="1:22" s="13" customFormat="1" ht="15" thickBot="1" x14ac:dyDescent="0.35">
      <c r="A80" s="12" t="s">
        <v>23</v>
      </c>
      <c r="B80" s="13" t="s">
        <v>24</v>
      </c>
      <c r="C80" s="13" t="s">
        <v>41</v>
      </c>
      <c r="D80" s="13">
        <v>1</v>
      </c>
      <c r="E80" s="13">
        <v>48</v>
      </c>
      <c r="F80" s="14">
        <v>46073</v>
      </c>
      <c r="G80" s="13">
        <f>SUM(H76:H80)</f>
        <v>145</v>
      </c>
      <c r="H80" s="13">
        <v>10</v>
      </c>
      <c r="I80" s="13" t="s">
        <v>29</v>
      </c>
      <c r="J80" s="13" t="s">
        <v>30</v>
      </c>
      <c r="T80" s="13">
        <v>0</v>
      </c>
    </row>
    <row r="81" spans="1:22" s="4" customFormat="1" x14ac:dyDescent="0.3">
      <c r="A81" s="3" t="s">
        <v>23</v>
      </c>
      <c r="B81" s="4" t="s">
        <v>24</v>
      </c>
      <c r="C81" s="4" t="s">
        <v>41</v>
      </c>
      <c r="D81" s="4">
        <v>2</v>
      </c>
      <c r="E81" s="4">
        <v>0.5</v>
      </c>
      <c r="F81" s="5">
        <v>46073</v>
      </c>
      <c r="H81" s="4">
        <v>30</v>
      </c>
      <c r="I81" s="4" t="s">
        <v>46</v>
      </c>
      <c r="J81" s="4" t="s">
        <v>30</v>
      </c>
      <c r="T81" s="4">
        <v>0</v>
      </c>
    </row>
    <row r="82" spans="1:22" s="9" customFormat="1" x14ac:dyDescent="0.3">
      <c r="A82" s="8" t="s">
        <v>23</v>
      </c>
      <c r="B82" s="9" t="s">
        <v>24</v>
      </c>
      <c r="C82" s="9" t="s">
        <v>41</v>
      </c>
      <c r="D82" s="9">
        <v>2</v>
      </c>
      <c r="E82" s="9">
        <v>0.5</v>
      </c>
      <c r="F82" s="10">
        <v>46073</v>
      </c>
      <c r="H82" s="9">
        <v>10</v>
      </c>
      <c r="I82" s="9" t="s">
        <v>28</v>
      </c>
      <c r="J82" s="9">
        <v>28</v>
      </c>
      <c r="K82" s="9" t="s">
        <v>28</v>
      </c>
      <c r="L82" s="9">
        <v>28</v>
      </c>
      <c r="M82" s="9" t="s">
        <v>28</v>
      </c>
      <c r="N82" s="9" t="s">
        <v>30</v>
      </c>
      <c r="O82" s="9" t="s">
        <v>28</v>
      </c>
      <c r="P82" s="9" t="s">
        <v>30</v>
      </c>
      <c r="Q82" s="9" t="s">
        <v>28</v>
      </c>
      <c r="R82" s="9" t="s">
        <v>30</v>
      </c>
      <c r="S82" s="9" t="s">
        <v>28</v>
      </c>
      <c r="T82" s="9">
        <v>28</v>
      </c>
      <c r="U82" s="9" t="s">
        <v>28</v>
      </c>
      <c r="V82" s="9" t="s">
        <v>47</v>
      </c>
    </row>
    <row r="83" spans="1:22" s="13" customFormat="1" ht="15" thickBot="1" x14ac:dyDescent="0.35">
      <c r="A83" s="12" t="s">
        <v>23</v>
      </c>
      <c r="B83" s="13" t="s">
        <v>24</v>
      </c>
      <c r="C83" s="13" t="s">
        <v>41</v>
      </c>
      <c r="D83" s="13">
        <v>2</v>
      </c>
      <c r="E83" s="13">
        <v>0.5</v>
      </c>
      <c r="F83" s="14">
        <v>46073</v>
      </c>
      <c r="G83" s="13">
        <f>SUM(H81:H83)</f>
        <v>55</v>
      </c>
      <c r="H83" s="13">
        <v>15</v>
      </c>
      <c r="I83" s="13" t="s">
        <v>29</v>
      </c>
      <c r="J83" s="13" t="s">
        <v>30</v>
      </c>
      <c r="T83" s="13">
        <v>0</v>
      </c>
    </row>
    <row r="84" spans="1:22" s="4" customFormat="1" x14ac:dyDescent="0.3">
      <c r="A84" s="3" t="s">
        <v>23</v>
      </c>
      <c r="B84" s="4" t="s">
        <v>24</v>
      </c>
      <c r="C84" s="4" t="s">
        <v>41</v>
      </c>
      <c r="D84" s="4">
        <v>2</v>
      </c>
      <c r="E84" s="4">
        <v>2</v>
      </c>
      <c r="F84" s="5">
        <v>46073</v>
      </c>
      <c r="H84" s="4">
        <v>50</v>
      </c>
      <c r="I84" s="4" t="s">
        <v>28</v>
      </c>
      <c r="J84" s="4" t="s">
        <v>30</v>
      </c>
      <c r="T84" s="4">
        <v>0</v>
      </c>
    </row>
    <row r="85" spans="1:22" s="9" customFormat="1" x14ac:dyDescent="0.3">
      <c r="A85" s="8" t="s">
        <v>23</v>
      </c>
      <c r="B85" s="9" t="s">
        <v>24</v>
      </c>
      <c r="C85" s="9" t="s">
        <v>41</v>
      </c>
      <c r="D85" s="9">
        <v>2</v>
      </c>
      <c r="E85" s="9">
        <v>2</v>
      </c>
      <c r="F85" s="10">
        <v>46073</v>
      </c>
      <c r="H85" s="9">
        <v>50</v>
      </c>
      <c r="I85" s="9" t="s">
        <v>29</v>
      </c>
      <c r="J85" s="9" t="s">
        <v>30</v>
      </c>
      <c r="T85" s="9">
        <v>0</v>
      </c>
    </row>
    <row r="86" spans="1:22" s="13" customFormat="1" ht="15" thickBot="1" x14ac:dyDescent="0.35">
      <c r="A86" s="12" t="s">
        <v>23</v>
      </c>
      <c r="B86" s="13" t="s">
        <v>24</v>
      </c>
      <c r="C86" s="13" t="s">
        <v>41</v>
      </c>
      <c r="D86" s="13">
        <v>2</v>
      </c>
      <c r="E86" s="13">
        <v>2</v>
      </c>
      <c r="F86" s="14">
        <v>46073</v>
      </c>
      <c r="G86" s="13">
        <f>SUM(H84:H86)</f>
        <v>105</v>
      </c>
      <c r="H86" s="13">
        <v>5</v>
      </c>
      <c r="I86" s="13" t="s">
        <v>48</v>
      </c>
      <c r="J86" s="13" t="s">
        <v>30</v>
      </c>
      <c r="T86" s="13">
        <v>0</v>
      </c>
    </row>
    <row r="87" spans="1:22" s="4" customFormat="1" x14ac:dyDescent="0.3">
      <c r="A87" s="3" t="s">
        <v>23</v>
      </c>
      <c r="B87" s="4" t="s">
        <v>24</v>
      </c>
      <c r="C87" s="4" t="s">
        <v>41</v>
      </c>
      <c r="D87" s="4">
        <v>2</v>
      </c>
      <c r="E87" s="4">
        <v>6</v>
      </c>
      <c r="F87" s="5">
        <v>46073</v>
      </c>
      <c r="H87" s="4">
        <v>90</v>
      </c>
      <c r="I87" s="4" t="s">
        <v>28</v>
      </c>
      <c r="J87" s="4">
        <v>33</v>
      </c>
      <c r="K87" s="4" t="s">
        <v>28</v>
      </c>
      <c r="L87" s="4">
        <v>32.5</v>
      </c>
      <c r="M87" s="4" t="s">
        <v>28</v>
      </c>
      <c r="N87" s="4">
        <v>31</v>
      </c>
      <c r="O87" s="4" t="s">
        <v>28</v>
      </c>
      <c r="P87" s="4">
        <v>32</v>
      </c>
      <c r="Q87" s="4" t="s">
        <v>28</v>
      </c>
      <c r="R87" s="4">
        <v>37.5</v>
      </c>
      <c r="S87" s="4" t="s">
        <v>28</v>
      </c>
      <c r="T87" s="4">
        <v>37.5</v>
      </c>
      <c r="U87" s="4" t="s">
        <v>28</v>
      </c>
      <c r="V87" s="7">
        <v>0.39930555555555558</v>
      </c>
    </row>
    <row r="88" spans="1:22" s="9" customFormat="1" x14ac:dyDescent="0.3">
      <c r="A88" s="8" t="s">
        <v>23</v>
      </c>
      <c r="B88" s="9" t="s">
        <v>24</v>
      </c>
      <c r="C88" s="9" t="s">
        <v>41</v>
      </c>
      <c r="D88" s="9">
        <v>2</v>
      </c>
      <c r="E88" s="9">
        <v>6</v>
      </c>
      <c r="F88" s="10">
        <v>46073</v>
      </c>
      <c r="H88" s="9">
        <v>20</v>
      </c>
      <c r="I88" s="9" t="s">
        <v>49</v>
      </c>
      <c r="J88" s="9" t="s">
        <v>30</v>
      </c>
      <c r="T88" s="9">
        <v>0</v>
      </c>
    </row>
    <row r="89" spans="1:22" s="9" customFormat="1" x14ac:dyDescent="0.3">
      <c r="A89" s="8" t="s">
        <v>23</v>
      </c>
      <c r="B89" s="9" t="s">
        <v>24</v>
      </c>
      <c r="C89" s="9" t="s">
        <v>41</v>
      </c>
      <c r="D89" s="9">
        <v>2</v>
      </c>
      <c r="E89" s="9">
        <v>6</v>
      </c>
      <c r="F89" s="10">
        <v>46073</v>
      </c>
      <c r="H89" s="9">
        <v>15</v>
      </c>
      <c r="I89" s="9" t="s">
        <v>50</v>
      </c>
      <c r="J89" s="9" t="s">
        <v>30</v>
      </c>
      <c r="T89" s="9">
        <v>0</v>
      </c>
    </row>
    <row r="90" spans="1:22" s="13" customFormat="1" ht="15" thickBot="1" x14ac:dyDescent="0.35">
      <c r="A90" s="12" t="s">
        <v>23</v>
      </c>
      <c r="B90" s="13" t="s">
        <v>24</v>
      </c>
      <c r="C90" s="13" t="s">
        <v>41</v>
      </c>
      <c r="D90" s="13">
        <v>2</v>
      </c>
      <c r="E90" s="13">
        <v>6</v>
      </c>
      <c r="F90" s="14">
        <v>46073</v>
      </c>
      <c r="G90" s="13">
        <f>SUM(H87:H90)</f>
        <v>130</v>
      </c>
      <c r="H90" s="13">
        <v>5</v>
      </c>
      <c r="I90" s="13" t="s">
        <v>29</v>
      </c>
      <c r="J90" s="13" t="s">
        <v>30</v>
      </c>
      <c r="T90" s="13">
        <v>0</v>
      </c>
    </row>
    <row r="91" spans="1:22" s="4" customFormat="1" x14ac:dyDescent="0.3">
      <c r="A91" s="3" t="s">
        <v>23</v>
      </c>
      <c r="B91" s="4" t="s">
        <v>24</v>
      </c>
      <c r="C91" s="4" t="s">
        <v>41</v>
      </c>
      <c r="D91" s="4">
        <v>2</v>
      </c>
      <c r="E91" s="4">
        <v>12</v>
      </c>
      <c r="F91" s="5">
        <v>46073</v>
      </c>
      <c r="H91" s="4">
        <v>90</v>
      </c>
      <c r="I91" s="4" t="s">
        <v>28</v>
      </c>
      <c r="J91" s="4">
        <v>39</v>
      </c>
      <c r="K91" s="4" t="s">
        <v>28</v>
      </c>
      <c r="L91" s="4">
        <v>36</v>
      </c>
      <c r="M91" s="4" t="s">
        <v>28</v>
      </c>
      <c r="N91" s="4">
        <v>33</v>
      </c>
      <c r="O91" s="4" t="s">
        <v>28</v>
      </c>
      <c r="P91" s="4">
        <v>43</v>
      </c>
      <c r="Q91" s="4" t="s">
        <v>28</v>
      </c>
      <c r="R91" s="4">
        <v>45.5</v>
      </c>
      <c r="S91" s="4" t="s">
        <v>28</v>
      </c>
      <c r="T91" s="4">
        <v>45.5</v>
      </c>
      <c r="U91" s="4" t="s">
        <v>28</v>
      </c>
      <c r="V91" s="7">
        <v>0.38958333333333334</v>
      </c>
    </row>
    <row r="92" spans="1:22" s="13" customFormat="1" ht="15" thickBot="1" x14ac:dyDescent="0.35">
      <c r="A92" s="12" t="s">
        <v>23</v>
      </c>
      <c r="B92" s="13" t="s">
        <v>24</v>
      </c>
      <c r="C92" s="13" t="s">
        <v>41</v>
      </c>
      <c r="D92" s="13">
        <v>2</v>
      </c>
      <c r="E92" s="13">
        <v>12</v>
      </c>
      <c r="F92" s="14">
        <v>46073</v>
      </c>
      <c r="G92" s="13">
        <f>SUM(H91:H92)</f>
        <v>100</v>
      </c>
      <c r="H92" s="13">
        <v>10</v>
      </c>
      <c r="I92" s="13" t="s">
        <v>29</v>
      </c>
      <c r="J92" s="13" t="s">
        <v>30</v>
      </c>
      <c r="T92" s="13">
        <v>0</v>
      </c>
    </row>
    <row r="93" spans="1:22" s="4" customFormat="1" x14ac:dyDescent="0.3">
      <c r="A93" s="3" t="s">
        <v>23</v>
      </c>
      <c r="B93" s="4" t="s">
        <v>24</v>
      </c>
      <c r="C93" s="4" t="s">
        <v>41</v>
      </c>
      <c r="D93" s="4">
        <v>2</v>
      </c>
      <c r="E93" s="4">
        <v>18</v>
      </c>
      <c r="F93" s="5">
        <v>46073</v>
      </c>
      <c r="H93" s="4">
        <v>75</v>
      </c>
      <c r="I93" s="4" t="s">
        <v>28</v>
      </c>
      <c r="J93" s="4">
        <v>37</v>
      </c>
      <c r="K93" s="4" t="s">
        <v>28</v>
      </c>
      <c r="L93" s="4">
        <v>43</v>
      </c>
      <c r="M93" s="4" t="s">
        <v>28</v>
      </c>
      <c r="N93" s="4">
        <v>37</v>
      </c>
      <c r="O93" s="4" t="s">
        <v>28</v>
      </c>
      <c r="P93" s="4">
        <v>31</v>
      </c>
      <c r="Q93" s="4" t="s">
        <v>28</v>
      </c>
      <c r="R93" s="4">
        <v>38</v>
      </c>
      <c r="S93" s="4" t="s">
        <v>28</v>
      </c>
      <c r="T93" s="4">
        <v>43</v>
      </c>
      <c r="U93" s="4" t="s">
        <v>28</v>
      </c>
      <c r="V93" s="7">
        <v>0.38194444444444442</v>
      </c>
    </row>
    <row r="94" spans="1:22" s="13" customFormat="1" ht="15" thickBot="1" x14ac:dyDescent="0.35">
      <c r="A94" s="12" t="s">
        <v>23</v>
      </c>
      <c r="B94" s="13" t="s">
        <v>24</v>
      </c>
      <c r="C94" s="13" t="s">
        <v>41</v>
      </c>
      <c r="D94" s="13">
        <v>2</v>
      </c>
      <c r="E94" s="13">
        <v>18</v>
      </c>
      <c r="F94" s="14">
        <v>46073</v>
      </c>
      <c r="G94" s="13">
        <f>SUM(H93:H94)</f>
        <v>100</v>
      </c>
      <c r="H94" s="13">
        <v>25</v>
      </c>
      <c r="I94" s="13" t="s">
        <v>29</v>
      </c>
      <c r="J94" s="13" t="s">
        <v>30</v>
      </c>
      <c r="T94" s="13">
        <v>0</v>
      </c>
    </row>
    <row r="95" spans="1:22" s="4" customFormat="1" x14ac:dyDescent="0.3">
      <c r="A95" s="3" t="s">
        <v>23</v>
      </c>
      <c r="B95" s="4" t="s">
        <v>24</v>
      </c>
      <c r="C95" s="4" t="s">
        <v>41</v>
      </c>
      <c r="D95" s="4">
        <v>2</v>
      </c>
      <c r="E95" s="4">
        <v>24</v>
      </c>
      <c r="F95" s="5">
        <v>46073</v>
      </c>
      <c r="H95" s="4">
        <v>70</v>
      </c>
      <c r="I95" s="4" t="s">
        <v>28</v>
      </c>
      <c r="J95" s="4">
        <v>41</v>
      </c>
      <c r="K95" s="4" t="s">
        <v>28</v>
      </c>
      <c r="L95" s="4">
        <v>37</v>
      </c>
      <c r="M95" s="4" t="s">
        <v>28</v>
      </c>
      <c r="N95" s="4">
        <v>38</v>
      </c>
      <c r="O95" s="4" t="s">
        <v>28</v>
      </c>
      <c r="P95" s="4">
        <v>46</v>
      </c>
      <c r="Q95" s="4" t="s">
        <v>28</v>
      </c>
      <c r="R95" s="4">
        <v>43.5</v>
      </c>
      <c r="S95" s="4" t="s">
        <v>28</v>
      </c>
      <c r="T95" s="4">
        <v>46</v>
      </c>
      <c r="U95" s="4" t="s">
        <v>28</v>
      </c>
      <c r="V95" s="7">
        <v>0.37083333333333335</v>
      </c>
    </row>
    <row r="96" spans="1:22" s="13" customFormat="1" ht="15" thickBot="1" x14ac:dyDescent="0.35">
      <c r="A96" s="12" t="s">
        <v>23</v>
      </c>
      <c r="B96" s="13" t="s">
        <v>24</v>
      </c>
      <c r="C96" s="13" t="s">
        <v>41</v>
      </c>
      <c r="D96" s="13">
        <v>2</v>
      </c>
      <c r="E96" s="13">
        <v>24</v>
      </c>
      <c r="F96" s="14">
        <v>46073</v>
      </c>
      <c r="G96" s="13">
        <f>SUM(H95:H96)</f>
        <v>105</v>
      </c>
      <c r="H96" s="13">
        <v>35</v>
      </c>
      <c r="I96" s="13" t="s">
        <v>29</v>
      </c>
      <c r="J96" s="13" t="s">
        <v>30</v>
      </c>
      <c r="T96" s="13">
        <v>0</v>
      </c>
    </row>
    <row r="97" spans="1:22" s="4" customFormat="1" x14ac:dyDescent="0.3">
      <c r="A97" s="3" t="s">
        <v>23</v>
      </c>
      <c r="B97" s="4" t="s">
        <v>24</v>
      </c>
      <c r="C97" s="4" t="s">
        <v>41</v>
      </c>
      <c r="D97" s="4">
        <v>2</v>
      </c>
      <c r="E97" s="4">
        <v>48</v>
      </c>
      <c r="F97" s="5">
        <v>46073</v>
      </c>
      <c r="H97" s="4">
        <v>90</v>
      </c>
      <c r="I97" s="4" t="s">
        <v>28</v>
      </c>
      <c r="J97" s="4">
        <v>37</v>
      </c>
      <c r="K97" s="4" t="s">
        <v>28</v>
      </c>
      <c r="L97" s="4">
        <v>26</v>
      </c>
      <c r="M97" s="4" t="s">
        <v>28</v>
      </c>
      <c r="N97" s="4">
        <v>43</v>
      </c>
      <c r="O97" s="4" t="s">
        <v>28</v>
      </c>
      <c r="P97" s="4">
        <v>39.5</v>
      </c>
      <c r="Q97" s="4" t="s">
        <v>28</v>
      </c>
      <c r="R97" s="4">
        <v>38</v>
      </c>
      <c r="S97" s="4" t="s">
        <v>28</v>
      </c>
      <c r="T97" s="4">
        <v>43</v>
      </c>
      <c r="U97" s="4" t="s">
        <v>28</v>
      </c>
      <c r="V97" s="4" t="s">
        <v>51</v>
      </c>
    </row>
    <row r="98" spans="1:22" s="13" customFormat="1" ht="15" thickBot="1" x14ac:dyDescent="0.35">
      <c r="A98" s="12" t="s">
        <v>23</v>
      </c>
      <c r="B98" s="13" t="s">
        <v>24</v>
      </c>
      <c r="C98" s="13" t="s">
        <v>41</v>
      </c>
      <c r="D98" s="13">
        <v>2</v>
      </c>
      <c r="E98" s="13">
        <v>48</v>
      </c>
      <c r="F98" s="14">
        <v>46073</v>
      </c>
      <c r="G98" s="13">
        <f>SUM(H97:H98)</f>
        <v>100</v>
      </c>
      <c r="H98" s="13">
        <v>10</v>
      </c>
      <c r="I98" s="13" t="s">
        <v>29</v>
      </c>
      <c r="J98" s="13" t="s">
        <v>30</v>
      </c>
      <c r="T98" s="13">
        <v>0</v>
      </c>
    </row>
    <row r="99" spans="1:22" s="4" customFormat="1" x14ac:dyDescent="0.3">
      <c r="A99" s="3" t="s">
        <v>23</v>
      </c>
      <c r="B99" s="4" t="s">
        <v>24</v>
      </c>
      <c r="C99" s="4" t="s">
        <v>52</v>
      </c>
      <c r="D99" s="4">
        <v>1</v>
      </c>
      <c r="E99" s="4">
        <v>0.5</v>
      </c>
      <c r="F99" s="5">
        <v>46060</v>
      </c>
      <c r="H99" s="4">
        <v>55</v>
      </c>
      <c r="I99" s="4" t="s">
        <v>31</v>
      </c>
      <c r="J99" s="4">
        <v>14</v>
      </c>
      <c r="K99" s="4" t="s">
        <v>31</v>
      </c>
      <c r="L99" s="4">
        <v>15</v>
      </c>
      <c r="N99" s="4">
        <v>13.5</v>
      </c>
      <c r="P99" s="4">
        <v>13</v>
      </c>
      <c r="R99" s="4">
        <v>16</v>
      </c>
      <c r="T99" s="4">
        <v>16</v>
      </c>
    </row>
    <row r="100" spans="1:22" s="9" customFormat="1" x14ac:dyDescent="0.3">
      <c r="A100" s="8" t="s">
        <v>23</v>
      </c>
      <c r="B100" s="9" t="s">
        <v>24</v>
      </c>
      <c r="C100" s="9" t="s">
        <v>52</v>
      </c>
      <c r="D100" s="9">
        <v>1</v>
      </c>
      <c r="E100" s="9">
        <v>0.5</v>
      </c>
      <c r="F100" s="10">
        <v>46060</v>
      </c>
      <c r="H100" s="9">
        <v>70</v>
      </c>
      <c r="I100" s="9" t="s">
        <v>36</v>
      </c>
      <c r="J100" s="9" t="s">
        <v>30</v>
      </c>
      <c r="T100" s="9">
        <v>0</v>
      </c>
    </row>
    <row r="101" spans="1:22" s="9" customFormat="1" x14ac:dyDescent="0.3">
      <c r="A101" s="8" t="s">
        <v>23</v>
      </c>
      <c r="B101" s="9" t="s">
        <v>24</v>
      </c>
      <c r="C101" s="9" t="s">
        <v>52</v>
      </c>
      <c r="D101" s="9">
        <v>1</v>
      </c>
      <c r="E101" s="9">
        <v>0.5</v>
      </c>
      <c r="F101" s="10">
        <v>46060</v>
      </c>
      <c r="H101" s="9">
        <v>15</v>
      </c>
      <c r="I101" s="9" t="s">
        <v>28</v>
      </c>
      <c r="J101" s="9">
        <v>22</v>
      </c>
      <c r="K101" s="9" t="s">
        <v>28</v>
      </c>
      <c r="L101" s="9">
        <v>25</v>
      </c>
      <c r="M101" s="9" t="s">
        <v>28</v>
      </c>
      <c r="N101" s="9">
        <v>24</v>
      </c>
      <c r="O101" s="9" t="s">
        <v>28</v>
      </c>
      <c r="P101" s="9">
        <v>22</v>
      </c>
      <c r="Q101" s="9" t="s">
        <v>28</v>
      </c>
      <c r="R101" s="9">
        <v>15</v>
      </c>
      <c r="S101" s="9" t="s">
        <v>28</v>
      </c>
      <c r="T101" s="9">
        <v>25</v>
      </c>
      <c r="U101" s="9" t="s">
        <v>28</v>
      </c>
      <c r="V101" s="9" t="s">
        <v>53</v>
      </c>
    </row>
    <row r="102" spans="1:22" s="13" customFormat="1" ht="15" thickBot="1" x14ac:dyDescent="0.35">
      <c r="A102" s="12" t="s">
        <v>23</v>
      </c>
      <c r="B102" s="13" t="s">
        <v>24</v>
      </c>
      <c r="C102" s="13" t="s">
        <v>52</v>
      </c>
      <c r="D102" s="13">
        <v>1</v>
      </c>
      <c r="E102" s="13">
        <v>0.5</v>
      </c>
      <c r="F102" s="14">
        <v>46060</v>
      </c>
      <c r="G102" s="13">
        <f>SUM(H99:H102)</f>
        <v>150</v>
      </c>
      <c r="H102" s="13">
        <v>10</v>
      </c>
      <c r="I102" s="13" t="s">
        <v>29</v>
      </c>
      <c r="J102" s="13" t="s">
        <v>30</v>
      </c>
      <c r="T102" s="13">
        <v>0</v>
      </c>
    </row>
    <row r="103" spans="1:22" s="4" customFormat="1" x14ac:dyDescent="0.3">
      <c r="A103" s="3" t="s">
        <v>23</v>
      </c>
      <c r="B103" s="4" t="s">
        <v>24</v>
      </c>
      <c r="C103" s="4" t="s">
        <v>52</v>
      </c>
      <c r="D103" s="4">
        <v>1</v>
      </c>
      <c r="E103" s="4">
        <v>2</v>
      </c>
      <c r="F103" s="5">
        <v>46060</v>
      </c>
      <c r="H103" s="4">
        <v>40</v>
      </c>
      <c r="I103" s="4" t="s">
        <v>31</v>
      </c>
      <c r="J103" s="4">
        <v>21</v>
      </c>
      <c r="L103" s="4">
        <v>16</v>
      </c>
      <c r="N103" s="4">
        <v>24</v>
      </c>
      <c r="P103" s="4">
        <v>22</v>
      </c>
      <c r="T103" s="4">
        <v>24</v>
      </c>
    </row>
    <row r="104" spans="1:22" s="9" customFormat="1" x14ac:dyDescent="0.3">
      <c r="A104" s="8" t="s">
        <v>23</v>
      </c>
      <c r="B104" s="9" t="s">
        <v>24</v>
      </c>
      <c r="C104" s="9" t="s">
        <v>52</v>
      </c>
      <c r="D104" s="9">
        <v>1</v>
      </c>
      <c r="E104" s="9">
        <v>2</v>
      </c>
      <c r="F104" s="10">
        <v>46060</v>
      </c>
      <c r="H104" s="9">
        <v>10</v>
      </c>
      <c r="I104" s="9" t="s">
        <v>28</v>
      </c>
      <c r="J104" s="9" t="s">
        <v>30</v>
      </c>
      <c r="K104" s="9">
        <v>35</v>
      </c>
      <c r="T104" s="9">
        <v>0</v>
      </c>
    </row>
    <row r="105" spans="1:22" s="9" customFormat="1" x14ac:dyDescent="0.3">
      <c r="A105" s="8" t="s">
        <v>23</v>
      </c>
      <c r="B105" s="9" t="s">
        <v>24</v>
      </c>
      <c r="C105" s="9" t="s">
        <v>52</v>
      </c>
      <c r="D105" s="9">
        <v>1</v>
      </c>
      <c r="E105" s="9">
        <v>2</v>
      </c>
      <c r="F105" s="10">
        <v>46060</v>
      </c>
      <c r="H105" s="9">
        <v>70</v>
      </c>
      <c r="I105" s="9" t="s">
        <v>36</v>
      </c>
      <c r="J105" s="9">
        <v>15</v>
      </c>
      <c r="K105" s="9" t="s">
        <v>36</v>
      </c>
      <c r="L105" s="9">
        <v>17</v>
      </c>
      <c r="N105" s="9">
        <v>12</v>
      </c>
      <c r="P105" s="9">
        <v>17.5</v>
      </c>
      <c r="R105" s="9">
        <v>14</v>
      </c>
      <c r="T105" s="9">
        <v>17.5</v>
      </c>
      <c r="V105" s="9" t="s">
        <v>54</v>
      </c>
    </row>
    <row r="106" spans="1:22" s="13" customFormat="1" ht="15" thickBot="1" x14ac:dyDescent="0.35">
      <c r="A106" s="12" t="s">
        <v>23</v>
      </c>
      <c r="B106" s="13" t="s">
        <v>24</v>
      </c>
      <c r="C106" s="13" t="s">
        <v>52</v>
      </c>
      <c r="D106" s="13">
        <v>1</v>
      </c>
      <c r="E106" s="13">
        <v>2</v>
      </c>
      <c r="F106" s="14">
        <v>46060</v>
      </c>
      <c r="G106" s="13">
        <f>SUM(H103:H106)</f>
        <v>125</v>
      </c>
      <c r="H106" s="13">
        <v>5</v>
      </c>
      <c r="I106" s="13" t="s">
        <v>29</v>
      </c>
      <c r="J106" s="13" t="s">
        <v>30</v>
      </c>
      <c r="T106" s="13">
        <v>0</v>
      </c>
    </row>
    <row r="107" spans="1:22" s="4" customFormat="1" x14ac:dyDescent="0.3">
      <c r="A107" s="3" t="s">
        <v>23</v>
      </c>
      <c r="B107" s="4" t="s">
        <v>24</v>
      </c>
      <c r="C107" s="4" t="s">
        <v>52</v>
      </c>
      <c r="D107" s="4">
        <v>1</v>
      </c>
      <c r="E107" s="4">
        <v>6</v>
      </c>
      <c r="F107" s="5">
        <v>46060</v>
      </c>
      <c r="H107" s="4">
        <v>90</v>
      </c>
      <c r="I107" s="4" t="s">
        <v>31</v>
      </c>
      <c r="J107" s="4">
        <v>25</v>
      </c>
      <c r="K107" s="4" t="s">
        <v>31</v>
      </c>
      <c r="L107" s="4">
        <v>31</v>
      </c>
      <c r="N107" s="4">
        <v>22</v>
      </c>
      <c r="P107" s="4">
        <v>22</v>
      </c>
      <c r="R107" s="4">
        <v>23</v>
      </c>
      <c r="T107" s="4">
        <v>31</v>
      </c>
    </row>
    <row r="108" spans="1:22" s="9" customFormat="1" x14ac:dyDescent="0.3">
      <c r="A108" s="8" t="s">
        <v>23</v>
      </c>
      <c r="B108" s="9" t="s">
        <v>24</v>
      </c>
      <c r="C108" s="9" t="s">
        <v>52</v>
      </c>
      <c r="D108" s="9">
        <v>1</v>
      </c>
      <c r="E108" s="9">
        <v>6</v>
      </c>
      <c r="F108" s="10">
        <v>46060</v>
      </c>
      <c r="H108" s="9">
        <v>10</v>
      </c>
      <c r="I108" s="9" t="s">
        <v>29</v>
      </c>
      <c r="J108" s="9" t="s">
        <v>30</v>
      </c>
      <c r="T108" s="9">
        <v>0</v>
      </c>
    </row>
    <row r="109" spans="1:22" s="9" customFormat="1" x14ac:dyDescent="0.3">
      <c r="A109" s="8" t="s">
        <v>23</v>
      </c>
      <c r="B109" s="9" t="s">
        <v>24</v>
      </c>
      <c r="C109" s="9" t="s">
        <v>52</v>
      </c>
      <c r="D109" s="9">
        <v>1</v>
      </c>
      <c r="E109" s="9">
        <v>6</v>
      </c>
      <c r="F109" s="10">
        <v>46060</v>
      </c>
      <c r="H109" s="9">
        <v>15</v>
      </c>
      <c r="I109" s="9" t="s">
        <v>28</v>
      </c>
      <c r="J109" s="9">
        <v>31</v>
      </c>
      <c r="K109" s="9" t="s">
        <v>28</v>
      </c>
      <c r="M109" s="9" t="s">
        <v>28</v>
      </c>
      <c r="O109" s="9" t="s">
        <v>28</v>
      </c>
      <c r="P109" s="9">
        <v>30.5</v>
      </c>
      <c r="Q109" s="9" t="s">
        <v>28</v>
      </c>
      <c r="S109" s="9" t="s">
        <v>28</v>
      </c>
      <c r="T109" s="9">
        <v>30.5</v>
      </c>
      <c r="U109" s="9" t="s">
        <v>28</v>
      </c>
      <c r="V109" s="9" t="s">
        <v>55</v>
      </c>
    </row>
    <row r="110" spans="1:22" s="13" customFormat="1" ht="15" thickBot="1" x14ac:dyDescent="0.35">
      <c r="A110" s="12" t="s">
        <v>23</v>
      </c>
      <c r="B110" s="13" t="s">
        <v>24</v>
      </c>
      <c r="C110" s="13" t="s">
        <v>52</v>
      </c>
      <c r="D110" s="13">
        <v>1</v>
      </c>
      <c r="E110" s="13">
        <v>6</v>
      </c>
      <c r="F110" s="14">
        <v>46060</v>
      </c>
      <c r="G110" s="13">
        <f>SUM(H107:H110)</f>
        <v>120</v>
      </c>
      <c r="H110" s="13">
        <v>5</v>
      </c>
      <c r="I110" s="13" t="s">
        <v>36</v>
      </c>
      <c r="J110" s="13" t="s">
        <v>30</v>
      </c>
      <c r="T110" s="13">
        <v>0</v>
      </c>
    </row>
    <row r="111" spans="1:22" s="4" customFormat="1" x14ac:dyDescent="0.3">
      <c r="A111" s="3" t="s">
        <v>23</v>
      </c>
      <c r="B111" s="4" t="s">
        <v>24</v>
      </c>
      <c r="C111" s="4" t="s">
        <v>52</v>
      </c>
      <c r="D111" s="4">
        <v>1</v>
      </c>
      <c r="E111" s="4">
        <v>12</v>
      </c>
      <c r="F111" s="5">
        <v>46060</v>
      </c>
      <c r="H111" s="4">
        <v>50</v>
      </c>
      <c r="I111" s="4" t="s">
        <v>28</v>
      </c>
      <c r="J111" s="4">
        <v>53</v>
      </c>
      <c r="K111" s="4" t="s">
        <v>28</v>
      </c>
      <c r="L111" s="4">
        <v>49</v>
      </c>
      <c r="M111" s="4" t="s">
        <v>28</v>
      </c>
      <c r="N111" s="4">
        <v>62</v>
      </c>
      <c r="O111" s="4" t="s">
        <v>28</v>
      </c>
      <c r="P111" s="4">
        <v>52</v>
      </c>
      <c r="Q111" s="4" t="s">
        <v>28</v>
      </c>
      <c r="R111" s="4">
        <v>48</v>
      </c>
      <c r="S111" s="4" t="s">
        <v>28</v>
      </c>
      <c r="T111" s="4">
        <v>62</v>
      </c>
      <c r="U111" s="4" t="s">
        <v>28</v>
      </c>
      <c r="V111" s="7">
        <v>0.43333333333333335</v>
      </c>
    </row>
    <row r="112" spans="1:22" s="9" customFormat="1" x14ac:dyDescent="0.3">
      <c r="A112" s="8" t="s">
        <v>23</v>
      </c>
      <c r="B112" s="9" t="s">
        <v>24</v>
      </c>
      <c r="C112" s="9" t="s">
        <v>52</v>
      </c>
      <c r="D112" s="9">
        <v>1</v>
      </c>
      <c r="E112" s="9">
        <v>12</v>
      </c>
      <c r="F112" s="10">
        <v>46060</v>
      </c>
      <c r="H112" s="9">
        <v>15</v>
      </c>
      <c r="I112" s="9" t="s">
        <v>56</v>
      </c>
      <c r="J112" s="9">
        <v>81</v>
      </c>
      <c r="K112" s="9" t="s">
        <v>26</v>
      </c>
      <c r="L112" s="9">
        <v>59.5</v>
      </c>
      <c r="N112" s="9">
        <v>98</v>
      </c>
      <c r="P112" s="9">
        <v>85</v>
      </c>
      <c r="R112" s="9" t="s">
        <v>30</v>
      </c>
      <c r="T112" s="9">
        <v>98</v>
      </c>
    </row>
    <row r="113" spans="1:22" s="9" customFormat="1" x14ac:dyDescent="0.3">
      <c r="A113" s="8" t="s">
        <v>23</v>
      </c>
      <c r="B113" s="9" t="s">
        <v>24</v>
      </c>
      <c r="C113" s="9" t="s">
        <v>52</v>
      </c>
      <c r="D113" s="9">
        <v>1</v>
      </c>
      <c r="E113" s="9">
        <v>12</v>
      </c>
      <c r="F113" s="10">
        <v>46060</v>
      </c>
      <c r="H113" s="9">
        <v>5</v>
      </c>
      <c r="I113" s="9" t="s">
        <v>50</v>
      </c>
      <c r="J113" s="9" t="s">
        <v>30</v>
      </c>
      <c r="T113" s="9">
        <v>0</v>
      </c>
    </row>
    <row r="114" spans="1:22" s="13" customFormat="1" ht="15" thickBot="1" x14ac:dyDescent="0.35">
      <c r="A114" s="12" t="s">
        <v>23</v>
      </c>
      <c r="B114" s="13" t="s">
        <v>24</v>
      </c>
      <c r="C114" s="13" t="s">
        <v>52</v>
      </c>
      <c r="D114" s="13">
        <v>1</v>
      </c>
      <c r="E114" s="13">
        <v>12</v>
      </c>
      <c r="F114" s="14">
        <v>46060</v>
      </c>
      <c r="G114" s="13">
        <f>SUM(H111:H114)</f>
        <v>120</v>
      </c>
      <c r="H114" s="13">
        <v>50</v>
      </c>
      <c r="I114" s="13" t="s">
        <v>29</v>
      </c>
      <c r="J114" s="13" t="s">
        <v>30</v>
      </c>
      <c r="T114" s="13">
        <v>0</v>
      </c>
    </row>
    <row r="115" spans="1:22" s="4" customFormat="1" x14ac:dyDescent="0.3">
      <c r="A115" s="3" t="s">
        <v>23</v>
      </c>
      <c r="B115" s="4" t="s">
        <v>24</v>
      </c>
      <c r="C115" s="4" t="s">
        <v>52</v>
      </c>
      <c r="D115" s="4">
        <v>1</v>
      </c>
      <c r="E115" s="4">
        <v>18</v>
      </c>
      <c r="F115" s="5">
        <v>46060</v>
      </c>
      <c r="H115" s="4">
        <v>65</v>
      </c>
      <c r="I115" s="4" t="s">
        <v>28</v>
      </c>
      <c r="J115" s="4">
        <v>46</v>
      </c>
      <c r="K115" s="4" t="s">
        <v>28</v>
      </c>
      <c r="L115" s="4">
        <v>48</v>
      </c>
      <c r="M115" s="4" t="s">
        <v>28</v>
      </c>
      <c r="N115" s="4">
        <v>43</v>
      </c>
      <c r="O115" s="4" t="s">
        <v>28</v>
      </c>
      <c r="P115" s="4">
        <v>45</v>
      </c>
      <c r="Q115" s="4" t="s">
        <v>28</v>
      </c>
      <c r="R115" s="4">
        <v>47</v>
      </c>
      <c r="S115" s="4" t="s">
        <v>28</v>
      </c>
      <c r="T115" s="4">
        <v>48</v>
      </c>
      <c r="U115" s="4" t="s">
        <v>28</v>
      </c>
      <c r="V115" s="4" t="s">
        <v>57</v>
      </c>
    </row>
    <row r="116" spans="1:22" s="9" customFormat="1" x14ac:dyDescent="0.3">
      <c r="A116" s="8" t="s">
        <v>23</v>
      </c>
      <c r="B116" s="9" t="s">
        <v>24</v>
      </c>
      <c r="C116" s="9" t="s">
        <v>52</v>
      </c>
      <c r="D116" s="9">
        <v>1</v>
      </c>
      <c r="E116" s="9">
        <v>18</v>
      </c>
      <c r="F116" s="10">
        <v>46060</v>
      </c>
      <c r="H116" s="9">
        <v>10</v>
      </c>
      <c r="I116" s="9" t="s">
        <v>31</v>
      </c>
      <c r="J116" s="9" t="s">
        <v>30</v>
      </c>
      <c r="T116" s="9">
        <v>0</v>
      </c>
    </row>
    <row r="117" spans="1:22" s="9" customFormat="1" x14ac:dyDescent="0.3">
      <c r="A117" s="8" t="s">
        <v>23</v>
      </c>
      <c r="B117" s="9" t="s">
        <v>24</v>
      </c>
      <c r="C117" s="9" t="s">
        <v>52</v>
      </c>
      <c r="D117" s="9">
        <v>1</v>
      </c>
      <c r="E117" s="9">
        <v>18</v>
      </c>
      <c r="F117" s="10">
        <v>46060</v>
      </c>
      <c r="H117" s="9">
        <v>30</v>
      </c>
      <c r="I117" s="9" t="s">
        <v>26</v>
      </c>
      <c r="J117" s="9">
        <v>73</v>
      </c>
      <c r="K117" s="9" t="s">
        <v>26</v>
      </c>
      <c r="L117" s="9">
        <v>81</v>
      </c>
      <c r="N117" s="9">
        <v>78</v>
      </c>
      <c r="P117" s="9">
        <v>61.5</v>
      </c>
      <c r="R117" s="9">
        <v>71.5</v>
      </c>
      <c r="T117" s="9">
        <v>81</v>
      </c>
    </row>
    <row r="118" spans="1:22" s="13" customFormat="1" ht="15" thickBot="1" x14ac:dyDescent="0.35">
      <c r="A118" s="12" t="s">
        <v>23</v>
      </c>
      <c r="B118" s="13" t="s">
        <v>24</v>
      </c>
      <c r="C118" s="13" t="s">
        <v>52</v>
      </c>
      <c r="D118" s="13">
        <v>1</v>
      </c>
      <c r="E118" s="13">
        <v>18</v>
      </c>
      <c r="F118" s="14">
        <v>46060</v>
      </c>
      <c r="G118" s="13">
        <f>SUM(H115:H118)</f>
        <v>170</v>
      </c>
      <c r="H118" s="13">
        <v>65</v>
      </c>
      <c r="I118" s="13" t="s">
        <v>29</v>
      </c>
      <c r="J118" s="13" t="s">
        <v>30</v>
      </c>
      <c r="T118" s="13">
        <v>0</v>
      </c>
    </row>
    <row r="119" spans="1:22" s="4" customFormat="1" x14ac:dyDescent="0.3">
      <c r="A119" s="3" t="s">
        <v>23</v>
      </c>
      <c r="B119" s="4" t="s">
        <v>24</v>
      </c>
      <c r="C119" s="4" t="s">
        <v>52</v>
      </c>
      <c r="D119" s="4">
        <v>1</v>
      </c>
      <c r="E119" s="4">
        <v>24</v>
      </c>
      <c r="F119" s="5">
        <v>46060</v>
      </c>
      <c r="H119" s="4">
        <v>70</v>
      </c>
      <c r="I119" s="4" t="s">
        <v>28</v>
      </c>
      <c r="J119" s="4">
        <v>46</v>
      </c>
      <c r="K119" s="4" t="s">
        <v>28</v>
      </c>
      <c r="L119" s="4">
        <v>41</v>
      </c>
      <c r="M119" s="4" t="s">
        <v>28</v>
      </c>
      <c r="N119" s="4">
        <v>45</v>
      </c>
      <c r="O119" s="4" t="s">
        <v>28</v>
      </c>
      <c r="P119" s="4">
        <v>41.5</v>
      </c>
      <c r="Q119" s="4" t="s">
        <v>28</v>
      </c>
      <c r="R119" s="4">
        <v>56</v>
      </c>
      <c r="S119" s="4" t="s">
        <v>28</v>
      </c>
      <c r="T119" s="4">
        <v>56</v>
      </c>
      <c r="U119" s="4" t="s">
        <v>28</v>
      </c>
      <c r="V119" s="7">
        <v>0.40763888888888888</v>
      </c>
    </row>
    <row r="120" spans="1:22" s="9" customFormat="1" x14ac:dyDescent="0.3">
      <c r="A120" s="8" t="s">
        <v>23</v>
      </c>
      <c r="B120" s="9" t="s">
        <v>24</v>
      </c>
      <c r="C120" s="9" t="s">
        <v>52</v>
      </c>
      <c r="D120" s="9">
        <v>1</v>
      </c>
      <c r="E120" s="9">
        <v>24</v>
      </c>
      <c r="F120" s="10">
        <v>46060</v>
      </c>
      <c r="H120" s="9">
        <v>35</v>
      </c>
      <c r="I120" s="9" t="s">
        <v>36</v>
      </c>
      <c r="J120" s="9" t="s">
        <v>30</v>
      </c>
      <c r="T120" s="9">
        <v>0</v>
      </c>
    </row>
    <row r="121" spans="1:22" s="9" customFormat="1" x14ac:dyDescent="0.3">
      <c r="A121" s="8" t="s">
        <v>23</v>
      </c>
      <c r="B121" s="9" t="s">
        <v>24</v>
      </c>
      <c r="C121" s="9" t="s">
        <v>52</v>
      </c>
      <c r="D121" s="9">
        <v>1</v>
      </c>
      <c r="E121" s="9">
        <v>24</v>
      </c>
      <c r="F121" s="10">
        <v>46060</v>
      </c>
      <c r="H121" s="9">
        <v>30</v>
      </c>
      <c r="I121" s="9" t="s">
        <v>26</v>
      </c>
      <c r="J121" s="9">
        <v>68</v>
      </c>
      <c r="K121" s="9" t="s">
        <v>26</v>
      </c>
      <c r="L121" s="9">
        <v>74</v>
      </c>
      <c r="N121" s="9">
        <v>60</v>
      </c>
      <c r="P121" s="9">
        <v>70</v>
      </c>
      <c r="R121" s="9">
        <v>66</v>
      </c>
      <c r="T121" s="9">
        <v>74</v>
      </c>
    </row>
    <row r="122" spans="1:22" s="9" customFormat="1" x14ac:dyDescent="0.3">
      <c r="A122" s="8" t="s">
        <v>23</v>
      </c>
      <c r="B122" s="9" t="s">
        <v>24</v>
      </c>
      <c r="C122" s="9" t="s">
        <v>52</v>
      </c>
      <c r="D122" s="9">
        <v>1</v>
      </c>
      <c r="E122" s="9">
        <v>24</v>
      </c>
      <c r="F122" s="10">
        <v>46060</v>
      </c>
      <c r="H122" s="9">
        <v>25</v>
      </c>
      <c r="I122" s="9" t="s">
        <v>29</v>
      </c>
      <c r="J122" s="9" t="s">
        <v>30</v>
      </c>
      <c r="T122" s="9">
        <v>0</v>
      </c>
    </row>
    <row r="123" spans="1:22" s="13" customFormat="1" ht="15" thickBot="1" x14ac:dyDescent="0.35">
      <c r="A123" s="12" t="s">
        <v>23</v>
      </c>
      <c r="B123" s="13" t="s">
        <v>24</v>
      </c>
      <c r="C123" s="13" t="s">
        <v>52</v>
      </c>
      <c r="D123" s="13">
        <v>1</v>
      </c>
      <c r="E123" s="13">
        <v>24</v>
      </c>
      <c r="F123" s="14">
        <v>46060</v>
      </c>
      <c r="G123" s="13">
        <f>SUM(H119:H123)</f>
        <v>195</v>
      </c>
      <c r="H123" s="13">
        <v>35</v>
      </c>
      <c r="I123" s="13" t="s">
        <v>50</v>
      </c>
      <c r="J123" s="13" t="s">
        <v>30</v>
      </c>
      <c r="T123" s="13">
        <v>0</v>
      </c>
    </row>
    <row r="124" spans="1:22" s="4" customFormat="1" x14ac:dyDescent="0.3">
      <c r="A124" s="3" t="s">
        <v>23</v>
      </c>
      <c r="B124" s="4" t="s">
        <v>24</v>
      </c>
      <c r="C124" s="4" t="s">
        <v>52</v>
      </c>
      <c r="D124" s="4">
        <v>1</v>
      </c>
      <c r="E124" s="4">
        <v>48</v>
      </c>
      <c r="F124" s="5">
        <v>46060</v>
      </c>
      <c r="H124" s="4">
        <v>15</v>
      </c>
      <c r="I124" s="4" t="s">
        <v>29</v>
      </c>
      <c r="J124" s="4" t="s">
        <v>30</v>
      </c>
      <c r="T124" s="4">
        <v>0</v>
      </c>
    </row>
    <row r="125" spans="1:22" s="9" customFormat="1" x14ac:dyDescent="0.3">
      <c r="A125" s="8" t="s">
        <v>23</v>
      </c>
      <c r="B125" s="9" t="s">
        <v>24</v>
      </c>
      <c r="C125" s="9" t="s">
        <v>52</v>
      </c>
      <c r="D125" s="9">
        <v>1</v>
      </c>
      <c r="E125" s="9">
        <v>48</v>
      </c>
      <c r="F125" s="10">
        <v>46060</v>
      </c>
      <c r="H125" s="9">
        <v>75</v>
      </c>
      <c r="I125" s="9" t="s">
        <v>31</v>
      </c>
      <c r="J125" s="9">
        <v>34</v>
      </c>
      <c r="K125" s="9" t="s">
        <v>31</v>
      </c>
      <c r="L125" s="9">
        <v>33</v>
      </c>
      <c r="N125" s="9">
        <v>39</v>
      </c>
      <c r="P125" s="9">
        <v>33.5</v>
      </c>
      <c r="R125" s="9">
        <v>32</v>
      </c>
      <c r="T125" s="9">
        <v>39</v>
      </c>
      <c r="V125" s="17">
        <v>0.39583333333333331</v>
      </c>
    </row>
    <row r="126" spans="1:22" s="13" customFormat="1" ht="15" thickBot="1" x14ac:dyDescent="0.35">
      <c r="A126" s="12" t="s">
        <v>23</v>
      </c>
      <c r="B126" s="13" t="s">
        <v>24</v>
      </c>
      <c r="C126" s="13" t="s">
        <v>52</v>
      </c>
      <c r="D126" s="13">
        <v>1</v>
      </c>
      <c r="E126" s="13">
        <v>48</v>
      </c>
      <c r="F126" s="14">
        <v>46060</v>
      </c>
      <c r="G126" s="13">
        <v>105</v>
      </c>
      <c r="H126" s="13">
        <v>15</v>
      </c>
      <c r="I126" s="13" t="s">
        <v>28</v>
      </c>
      <c r="J126" s="13" t="s">
        <v>30</v>
      </c>
      <c r="T126" s="13">
        <v>0</v>
      </c>
    </row>
    <row r="127" spans="1:22" s="4" customFormat="1" x14ac:dyDescent="0.3">
      <c r="A127" s="3" t="s">
        <v>23</v>
      </c>
      <c r="B127" s="4" t="s">
        <v>24</v>
      </c>
      <c r="C127" s="4" t="s">
        <v>52</v>
      </c>
      <c r="D127" s="4">
        <v>2</v>
      </c>
      <c r="E127" s="4">
        <v>0.5</v>
      </c>
      <c r="F127" s="5">
        <v>46060</v>
      </c>
      <c r="H127" s="4">
        <v>55</v>
      </c>
      <c r="I127" s="4" t="s">
        <v>28</v>
      </c>
      <c r="J127" s="4">
        <v>35</v>
      </c>
      <c r="K127" s="4" t="s">
        <v>28</v>
      </c>
      <c r="L127" s="4">
        <v>37.5</v>
      </c>
      <c r="M127" s="4" t="s">
        <v>28</v>
      </c>
      <c r="N127" s="4">
        <v>39</v>
      </c>
      <c r="O127" s="4" t="s">
        <v>28</v>
      </c>
      <c r="P127" s="4">
        <v>25.5</v>
      </c>
      <c r="Q127" s="4" t="s">
        <v>28</v>
      </c>
      <c r="R127" s="4">
        <v>37</v>
      </c>
      <c r="S127" s="4" t="s">
        <v>28</v>
      </c>
      <c r="T127" s="4">
        <v>39</v>
      </c>
      <c r="U127" s="4" t="s">
        <v>28</v>
      </c>
      <c r="V127" s="7">
        <v>0.48680555555555555</v>
      </c>
    </row>
    <row r="128" spans="1:22" s="9" customFormat="1" x14ac:dyDescent="0.3">
      <c r="A128" s="8" t="s">
        <v>23</v>
      </c>
      <c r="B128" s="9" t="s">
        <v>24</v>
      </c>
      <c r="C128" s="9" t="s">
        <v>52</v>
      </c>
      <c r="D128" s="9">
        <v>2</v>
      </c>
      <c r="E128" s="9">
        <v>0.5</v>
      </c>
      <c r="F128" s="10">
        <v>46060</v>
      </c>
      <c r="H128" s="9">
        <v>50</v>
      </c>
      <c r="I128" s="9" t="s">
        <v>36</v>
      </c>
      <c r="J128" s="9" t="s">
        <v>30</v>
      </c>
      <c r="T128" s="9">
        <v>0</v>
      </c>
    </row>
    <row r="129" spans="1:22" s="9" customFormat="1" x14ac:dyDescent="0.3">
      <c r="A129" s="8" t="s">
        <v>23</v>
      </c>
      <c r="B129" s="9" t="s">
        <v>24</v>
      </c>
      <c r="C129" s="9" t="s">
        <v>52</v>
      </c>
      <c r="D129" s="9">
        <v>2</v>
      </c>
      <c r="E129" s="9">
        <v>0.5</v>
      </c>
      <c r="F129" s="10">
        <v>46060</v>
      </c>
      <c r="H129" s="9">
        <v>35</v>
      </c>
      <c r="I129" s="9" t="s">
        <v>31</v>
      </c>
      <c r="J129" s="9" t="s">
        <v>30</v>
      </c>
      <c r="T129" s="9">
        <v>0</v>
      </c>
    </row>
    <row r="130" spans="1:22" s="13" customFormat="1" ht="15" thickBot="1" x14ac:dyDescent="0.35">
      <c r="A130" s="12" t="s">
        <v>23</v>
      </c>
      <c r="B130" s="13" t="s">
        <v>24</v>
      </c>
      <c r="C130" s="13" t="s">
        <v>52</v>
      </c>
      <c r="D130" s="13">
        <v>2</v>
      </c>
      <c r="E130" s="13">
        <v>0.5</v>
      </c>
      <c r="F130" s="14">
        <v>46060</v>
      </c>
      <c r="G130" s="13">
        <v>165</v>
      </c>
      <c r="H130" s="13">
        <v>25</v>
      </c>
      <c r="I130" s="13" t="s">
        <v>29</v>
      </c>
      <c r="J130" s="13" t="s">
        <v>30</v>
      </c>
      <c r="T130" s="13">
        <v>0</v>
      </c>
    </row>
    <row r="131" spans="1:22" s="4" customFormat="1" x14ac:dyDescent="0.3">
      <c r="A131" s="3" t="s">
        <v>23</v>
      </c>
      <c r="B131" s="4" t="s">
        <v>24</v>
      </c>
      <c r="C131" s="4" t="s">
        <v>52</v>
      </c>
      <c r="D131" s="4">
        <v>2</v>
      </c>
      <c r="E131" s="4">
        <v>2</v>
      </c>
      <c r="F131" s="5">
        <v>46060</v>
      </c>
      <c r="H131" s="4">
        <v>30</v>
      </c>
      <c r="I131" s="4" t="s">
        <v>28</v>
      </c>
      <c r="J131" s="4">
        <v>32</v>
      </c>
      <c r="K131" s="4" t="s">
        <v>28</v>
      </c>
      <c r="L131" s="4">
        <v>31.5</v>
      </c>
      <c r="M131" s="4" t="s">
        <v>28</v>
      </c>
      <c r="N131" s="4" t="s">
        <v>30</v>
      </c>
      <c r="O131" s="4" t="s">
        <v>28</v>
      </c>
      <c r="P131" s="4" t="s">
        <v>30</v>
      </c>
      <c r="Q131" s="4" t="s">
        <v>28</v>
      </c>
      <c r="R131" s="4" t="s">
        <v>30</v>
      </c>
      <c r="S131" s="4" t="s">
        <v>28</v>
      </c>
      <c r="T131" s="4">
        <v>31.5</v>
      </c>
      <c r="U131" s="4" t="s">
        <v>28</v>
      </c>
      <c r="V131" s="4" t="s">
        <v>58</v>
      </c>
    </row>
    <row r="132" spans="1:22" s="9" customFormat="1" x14ac:dyDescent="0.3">
      <c r="A132" s="8" t="s">
        <v>23</v>
      </c>
      <c r="B132" s="9" t="s">
        <v>24</v>
      </c>
      <c r="C132" s="9" t="s">
        <v>52</v>
      </c>
      <c r="D132" s="9">
        <v>2</v>
      </c>
      <c r="E132" s="9">
        <v>2</v>
      </c>
      <c r="F132" s="10">
        <v>46060</v>
      </c>
      <c r="H132" s="9">
        <v>60</v>
      </c>
      <c r="I132" s="9" t="s">
        <v>36</v>
      </c>
      <c r="J132" s="9">
        <v>13</v>
      </c>
      <c r="K132" s="9" t="s">
        <v>36</v>
      </c>
      <c r="L132" s="9">
        <v>15</v>
      </c>
      <c r="N132" s="9">
        <v>12</v>
      </c>
      <c r="P132" s="9">
        <v>13</v>
      </c>
      <c r="R132" s="9">
        <v>11</v>
      </c>
      <c r="T132" s="9">
        <v>15</v>
      </c>
    </row>
    <row r="133" spans="1:22" s="9" customFormat="1" x14ac:dyDescent="0.3">
      <c r="A133" s="8" t="s">
        <v>23</v>
      </c>
      <c r="B133" s="9" t="s">
        <v>24</v>
      </c>
      <c r="C133" s="9" t="s">
        <v>52</v>
      </c>
      <c r="D133" s="9">
        <v>2</v>
      </c>
      <c r="E133" s="9">
        <v>2</v>
      </c>
      <c r="F133" s="10">
        <v>46060</v>
      </c>
      <c r="H133" s="9">
        <v>40</v>
      </c>
      <c r="I133" s="9" t="s">
        <v>31</v>
      </c>
      <c r="J133" s="9">
        <v>21</v>
      </c>
      <c r="K133" s="9" t="s">
        <v>31</v>
      </c>
      <c r="L133" s="9" t="s">
        <v>30</v>
      </c>
      <c r="N133" s="9">
        <v>20</v>
      </c>
      <c r="P133" s="9">
        <v>28</v>
      </c>
      <c r="R133" s="9">
        <v>16</v>
      </c>
      <c r="T133" s="9">
        <v>28</v>
      </c>
    </row>
    <row r="134" spans="1:22" s="13" customFormat="1" ht="15" thickBot="1" x14ac:dyDescent="0.35">
      <c r="A134" s="12" t="s">
        <v>23</v>
      </c>
      <c r="B134" s="13" t="s">
        <v>24</v>
      </c>
      <c r="C134" s="13" t="s">
        <v>52</v>
      </c>
      <c r="D134" s="13">
        <v>2</v>
      </c>
      <c r="E134" s="13">
        <v>2</v>
      </c>
      <c r="F134" s="14">
        <v>46060</v>
      </c>
      <c r="G134" s="13">
        <v>140</v>
      </c>
      <c r="H134" s="13">
        <v>10</v>
      </c>
      <c r="I134" s="13" t="s">
        <v>29</v>
      </c>
      <c r="J134" s="13" t="s">
        <v>30</v>
      </c>
      <c r="T134" s="13">
        <v>0</v>
      </c>
    </row>
    <row r="135" spans="1:22" s="4" customFormat="1" x14ac:dyDescent="0.3">
      <c r="A135" s="3" t="s">
        <v>23</v>
      </c>
      <c r="B135" s="4" t="s">
        <v>24</v>
      </c>
      <c r="C135" s="4" t="s">
        <v>52</v>
      </c>
      <c r="D135" s="4">
        <v>2</v>
      </c>
      <c r="E135" s="4">
        <v>6</v>
      </c>
      <c r="F135" s="5">
        <v>46060</v>
      </c>
      <c r="H135" s="4">
        <v>45</v>
      </c>
      <c r="I135" s="4" t="s">
        <v>28</v>
      </c>
      <c r="J135" s="4">
        <v>48</v>
      </c>
      <c r="K135" s="4" t="s">
        <v>28</v>
      </c>
      <c r="L135" s="4">
        <v>38</v>
      </c>
      <c r="M135" s="4" t="s">
        <v>28</v>
      </c>
      <c r="N135" s="4">
        <v>47</v>
      </c>
      <c r="O135" s="4" t="s">
        <v>28</v>
      </c>
      <c r="P135" s="4">
        <v>57</v>
      </c>
      <c r="Q135" s="4" t="s">
        <v>28</v>
      </c>
      <c r="R135" s="4">
        <v>51</v>
      </c>
      <c r="S135" s="4" t="s">
        <v>28</v>
      </c>
      <c r="T135" s="4">
        <v>57</v>
      </c>
      <c r="U135" s="4" t="s">
        <v>28</v>
      </c>
      <c r="V135" s="7">
        <v>0.50277777777777777</v>
      </c>
    </row>
    <row r="136" spans="1:22" s="9" customFormat="1" x14ac:dyDescent="0.3">
      <c r="A136" s="8" t="s">
        <v>23</v>
      </c>
      <c r="B136" s="9" t="s">
        <v>24</v>
      </c>
      <c r="C136" s="9" t="s">
        <v>52</v>
      </c>
      <c r="D136" s="9">
        <v>2</v>
      </c>
      <c r="E136" s="9">
        <v>6</v>
      </c>
      <c r="F136" s="10">
        <v>46060</v>
      </c>
      <c r="H136" s="9">
        <v>30</v>
      </c>
      <c r="I136" s="9" t="s">
        <v>36</v>
      </c>
      <c r="J136" s="9" t="s">
        <v>30</v>
      </c>
      <c r="T136" s="9">
        <v>0</v>
      </c>
    </row>
    <row r="137" spans="1:22" s="9" customFormat="1" x14ac:dyDescent="0.3">
      <c r="A137" s="8" t="s">
        <v>23</v>
      </c>
      <c r="B137" s="9" t="s">
        <v>24</v>
      </c>
      <c r="C137" s="9" t="s">
        <v>52</v>
      </c>
      <c r="D137" s="9">
        <v>2</v>
      </c>
      <c r="E137" s="9">
        <v>6</v>
      </c>
      <c r="F137" s="10">
        <v>46060</v>
      </c>
      <c r="H137" s="9">
        <v>30</v>
      </c>
      <c r="I137" s="9" t="s">
        <v>31</v>
      </c>
      <c r="J137" s="9" t="s">
        <v>30</v>
      </c>
      <c r="T137" s="9">
        <v>0</v>
      </c>
    </row>
    <row r="138" spans="1:22" s="9" customFormat="1" x14ac:dyDescent="0.3">
      <c r="A138" s="8" t="s">
        <v>23</v>
      </c>
      <c r="B138" s="9" t="s">
        <v>24</v>
      </c>
      <c r="C138" s="9" t="s">
        <v>52</v>
      </c>
      <c r="D138" s="9">
        <v>2</v>
      </c>
      <c r="E138" s="9">
        <v>6</v>
      </c>
      <c r="F138" s="10">
        <v>46060</v>
      </c>
      <c r="H138" s="9">
        <v>20</v>
      </c>
      <c r="I138" s="9" t="s">
        <v>26</v>
      </c>
      <c r="J138" s="9">
        <v>70</v>
      </c>
      <c r="K138" s="9" t="s">
        <v>26</v>
      </c>
      <c r="L138" s="9">
        <v>66</v>
      </c>
      <c r="N138" s="9" t="s">
        <v>30</v>
      </c>
      <c r="P138" s="9">
        <v>81</v>
      </c>
      <c r="R138" s="9">
        <v>63</v>
      </c>
      <c r="T138" s="9">
        <v>81</v>
      </c>
    </row>
    <row r="139" spans="1:22" s="13" customFormat="1" ht="15" thickBot="1" x14ac:dyDescent="0.35">
      <c r="A139" s="12" t="s">
        <v>23</v>
      </c>
      <c r="B139" s="13" t="s">
        <v>24</v>
      </c>
      <c r="C139" s="13" t="s">
        <v>52</v>
      </c>
      <c r="D139" s="13">
        <v>2</v>
      </c>
      <c r="E139" s="13">
        <v>6</v>
      </c>
      <c r="F139" s="14">
        <v>46060</v>
      </c>
      <c r="G139" s="13">
        <v>155</v>
      </c>
      <c r="H139" s="13">
        <v>30</v>
      </c>
      <c r="I139" s="13" t="s">
        <v>29</v>
      </c>
      <c r="J139" s="13" t="s">
        <v>30</v>
      </c>
      <c r="T139" s="13">
        <v>0</v>
      </c>
    </row>
    <row r="140" spans="1:22" s="4" customFormat="1" x14ac:dyDescent="0.3">
      <c r="A140" s="3" t="s">
        <v>23</v>
      </c>
      <c r="B140" s="4" t="s">
        <v>24</v>
      </c>
      <c r="C140" s="4" t="s">
        <v>52</v>
      </c>
      <c r="D140" s="4">
        <v>2</v>
      </c>
      <c r="E140" s="4">
        <v>12</v>
      </c>
      <c r="F140" s="5">
        <v>46060</v>
      </c>
      <c r="H140" s="4">
        <v>70</v>
      </c>
      <c r="I140" s="4" t="s">
        <v>29</v>
      </c>
      <c r="J140" s="4" t="s">
        <v>30</v>
      </c>
      <c r="T140" s="4">
        <v>0</v>
      </c>
      <c r="V140" s="7">
        <v>0.51111111111111107</v>
      </c>
    </row>
    <row r="141" spans="1:22" s="9" customFormat="1" x14ac:dyDescent="0.3">
      <c r="A141" s="8" t="s">
        <v>23</v>
      </c>
      <c r="B141" s="9" t="s">
        <v>24</v>
      </c>
      <c r="C141" s="9" t="s">
        <v>52</v>
      </c>
      <c r="D141" s="9">
        <v>2</v>
      </c>
      <c r="E141" s="9">
        <v>12</v>
      </c>
      <c r="F141" s="10">
        <v>46060</v>
      </c>
      <c r="H141" s="9">
        <v>50</v>
      </c>
      <c r="I141" s="9" t="s">
        <v>28</v>
      </c>
      <c r="J141" s="9">
        <v>45</v>
      </c>
      <c r="K141" s="9" t="s">
        <v>28</v>
      </c>
      <c r="L141" s="9">
        <v>55</v>
      </c>
      <c r="M141" s="9" t="s">
        <v>28</v>
      </c>
      <c r="N141" s="9">
        <v>26</v>
      </c>
      <c r="O141" s="9" t="s">
        <v>28</v>
      </c>
      <c r="P141" s="9">
        <v>42.5</v>
      </c>
      <c r="Q141" s="9" t="s">
        <v>28</v>
      </c>
      <c r="R141" s="9">
        <v>57</v>
      </c>
      <c r="S141" s="9" t="s">
        <v>28</v>
      </c>
      <c r="T141" s="9">
        <v>57</v>
      </c>
      <c r="U141" s="9" t="s">
        <v>28</v>
      </c>
    </row>
    <row r="142" spans="1:22" s="9" customFormat="1" x14ac:dyDescent="0.3">
      <c r="A142" s="8" t="s">
        <v>23</v>
      </c>
      <c r="B142" s="9" t="s">
        <v>24</v>
      </c>
      <c r="C142" s="9" t="s">
        <v>52</v>
      </c>
      <c r="D142" s="9">
        <v>2</v>
      </c>
      <c r="E142" s="9">
        <v>12</v>
      </c>
      <c r="F142" s="10">
        <v>46060</v>
      </c>
      <c r="H142" s="9">
        <v>30</v>
      </c>
      <c r="I142" s="9" t="s">
        <v>36</v>
      </c>
      <c r="J142" s="9" t="s">
        <v>30</v>
      </c>
      <c r="T142" s="9">
        <v>0</v>
      </c>
    </row>
    <row r="143" spans="1:22" s="9" customFormat="1" x14ac:dyDescent="0.3">
      <c r="A143" s="8" t="s">
        <v>23</v>
      </c>
      <c r="B143" s="9" t="s">
        <v>24</v>
      </c>
      <c r="C143" s="9" t="s">
        <v>52</v>
      </c>
      <c r="D143" s="9">
        <v>2</v>
      </c>
      <c r="E143" s="9">
        <v>12</v>
      </c>
      <c r="F143" s="10">
        <v>46060</v>
      </c>
      <c r="H143" s="9">
        <v>20</v>
      </c>
      <c r="I143" s="9" t="s">
        <v>31</v>
      </c>
      <c r="J143" s="9" t="s">
        <v>30</v>
      </c>
      <c r="T143" s="9">
        <v>0</v>
      </c>
    </row>
    <row r="144" spans="1:22" s="13" customFormat="1" ht="15" thickBot="1" x14ac:dyDescent="0.35">
      <c r="A144" s="12" t="s">
        <v>23</v>
      </c>
      <c r="B144" s="13" t="s">
        <v>24</v>
      </c>
      <c r="C144" s="13" t="s">
        <v>52</v>
      </c>
      <c r="D144" s="13">
        <v>2</v>
      </c>
      <c r="E144" s="13">
        <v>12</v>
      </c>
      <c r="F144" s="14">
        <v>46060</v>
      </c>
      <c r="G144" s="13">
        <v>185</v>
      </c>
      <c r="H144" s="13">
        <v>15</v>
      </c>
      <c r="I144" s="13" t="s">
        <v>26</v>
      </c>
      <c r="J144" s="13">
        <v>55</v>
      </c>
      <c r="K144" s="13" t="s">
        <v>26</v>
      </c>
      <c r="L144" s="13" t="s">
        <v>30</v>
      </c>
      <c r="N144" s="13">
        <v>46.5</v>
      </c>
      <c r="P144" s="13">
        <v>59.5</v>
      </c>
      <c r="R144" s="13">
        <v>59.5</v>
      </c>
      <c r="T144" s="13">
        <v>59.5</v>
      </c>
    </row>
    <row r="145" spans="1:22" s="4" customFormat="1" x14ac:dyDescent="0.3">
      <c r="A145" s="3" t="s">
        <v>23</v>
      </c>
      <c r="B145" s="4" t="s">
        <v>24</v>
      </c>
      <c r="C145" s="4" t="s">
        <v>52</v>
      </c>
      <c r="D145" s="4">
        <v>2</v>
      </c>
      <c r="E145" s="4">
        <v>18</v>
      </c>
      <c r="F145" s="5">
        <v>46060</v>
      </c>
      <c r="H145" s="4">
        <v>60</v>
      </c>
      <c r="I145" s="4" t="s">
        <v>29</v>
      </c>
      <c r="J145" s="4" t="s">
        <v>30</v>
      </c>
      <c r="T145" s="4">
        <v>0</v>
      </c>
      <c r="V145" s="7">
        <v>0.5180555555555556</v>
      </c>
    </row>
    <row r="146" spans="1:22" s="9" customFormat="1" x14ac:dyDescent="0.3">
      <c r="A146" s="8" t="s">
        <v>23</v>
      </c>
      <c r="B146" s="9" t="s">
        <v>24</v>
      </c>
      <c r="C146" s="9" t="s">
        <v>52</v>
      </c>
      <c r="D146" s="9">
        <v>2</v>
      </c>
      <c r="E146" s="9">
        <v>18</v>
      </c>
      <c r="F146" s="10">
        <v>46060</v>
      </c>
      <c r="H146" s="9">
        <v>45</v>
      </c>
      <c r="I146" s="9" t="s">
        <v>28</v>
      </c>
      <c r="J146" s="9">
        <v>48</v>
      </c>
      <c r="K146" s="9" t="s">
        <v>28</v>
      </c>
      <c r="L146" s="9">
        <v>42.5</v>
      </c>
      <c r="M146" s="9" t="s">
        <v>28</v>
      </c>
      <c r="N146" s="9">
        <v>50</v>
      </c>
      <c r="O146" s="9" t="s">
        <v>28</v>
      </c>
      <c r="P146" s="9">
        <v>55</v>
      </c>
      <c r="Q146" s="9" t="s">
        <v>28</v>
      </c>
      <c r="R146" s="9">
        <v>44</v>
      </c>
      <c r="S146" s="9" t="s">
        <v>28</v>
      </c>
      <c r="T146" s="9">
        <v>55</v>
      </c>
      <c r="U146" s="9" t="s">
        <v>28</v>
      </c>
    </row>
    <row r="147" spans="1:22" s="9" customFormat="1" x14ac:dyDescent="0.3">
      <c r="A147" s="8" t="s">
        <v>23</v>
      </c>
      <c r="B147" s="9" t="s">
        <v>24</v>
      </c>
      <c r="C147" s="9" t="s">
        <v>52</v>
      </c>
      <c r="D147" s="9">
        <v>2</v>
      </c>
      <c r="E147" s="9">
        <v>18</v>
      </c>
      <c r="F147" s="10">
        <v>46060</v>
      </c>
      <c r="H147" s="9">
        <v>40</v>
      </c>
      <c r="I147" s="9" t="s">
        <v>26</v>
      </c>
      <c r="J147" s="9">
        <v>66</v>
      </c>
      <c r="K147" s="9" t="s">
        <v>26</v>
      </c>
      <c r="L147" s="9">
        <v>58.5</v>
      </c>
      <c r="N147" s="9">
        <v>68</v>
      </c>
      <c r="P147" s="9">
        <v>70</v>
      </c>
      <c r="R147" s="9">
        <v>66</v>
      </c>
      <c r="T147" s="9">
        <v>70</v>
      </c>
    </row>
    <row r="148" spans="1:22" s="9" customFormat="1" x14ac:dyDescent="0.3">
      <c r="A148" s="8" t="s">
        <v>23</v>
      </c>
      <c r="B148" s="9" t="s">
        <v>24</v>
      </c>
      <c r="C148" s="9" t="s">
        <v>52</v>
      </c>
      <c r="D148" s="9">
        <v>2</v>
      </c>
      <c r="E148" s="9">
        <v>18</v>
      </c>
      <c r="F148" s="10">
        <v>46060</v>
      </c>
      <c r="H148" s="9">
        <v>35</v>
      </c>
      <c r="I148" s="9" t="s">
        <v>36</v>
      </c>
      <c r="J148" s="9" t="s">
        <v>30</v>
      </c>
      <c r="T148" s="9">
        <v>0</v>
      </c>
    </row>
    <row r="149" spans="1:22" s="13" customFormat="1" ht="15" thickBot="1" x14ac:dyDescent="0.35">
      <c r="A149" s="12" t="s">
        <v>23</v>
      </c>
      <c r="B149" s="13" t="s">
        <v>24</v>
      </c>
      <c r="C149" s="13" t="s">
        <v>52</v>
      </c>
      <c r="D149" s="13">
        <v>2</v>
      </c>
      <c r="E149" s="13">
        <v>18</v>
      </c>
      <c r="F149" s="14">
        <v>46060</v>
      </c>
      <c r="G149" s="13">
        <v>190</v>
      </c>
      <c r="H149" s="13">
        <v>10</v>
      </c>
      <c r="I149" s="13" t="s">
        <v>44</v>
      </c>
      <c r="J149" s="13" t="s">
        <v>30</v>
      </c>
      <c r="T149" s="13">
        <v>0</v>
      </c>
    </row>
    <row r="150" spans="1:22" s="4" customFormat="1" x14ac:dyDescent="0.3">
      <c r="A150" s="3" t="s">
        <v>23</v>
      </c>
      <c r="B150" s="4" t="s">
        <v>24</v>
      </c>
      <c r="C150" s="4" t="s">
        <v>52</v>
      </c>
      <c r="D150" s="4">
        <v>2</v>
      </c>
      <c r="E150" s="4">
        <v>24</v>
      </c>
      <c r="F150" s="5">
        <v>46060</v>
      </c>
      <c r="H150" s="4">
        <v>30</v>
      </c>
      <c r="I150" s="4" t="s">
        <v>29</v>
      </c>
      <c r="J150" s="4" t="s">
        <v>30</v>
      </c>
      <c r="T150" s="4">
        <v>0</v>
      </c>
    </row>
    <row r="151" spans="1:22" s="9" customFormat="1" x14ac:dyDescent="0.3">
      <c r="A151" s="8" t="s">
        <v>23</v>
      </c>
      <c r="B151" s="9" t="s">
        <v>24</v>
      </c>
      <c r="C151" s="9" t="s">
        <v>52</v>
      </c>
      <c r="D151" s="9">
        <v>2</v>
      </c>
      <c r="E151" s="9">
        <v>24</v>
      </c>
      <c r="F151" s="10">
        <v>46060</v>
      </c>
      <c r="H151" s="9">
        <v>15</v>
      </c>
      <c r="I151" s="9" t="s">
        <v>26</v>
      </c>
      <c r="J151" s="9">
        <v>60</v>
      </c>
      <c r="K151" s="9" t="s">
        <v>26</v>
      </c>
      <c r="L151" s="9" t="s">
        <v>30</v>
      </c>
      <c r="N151" s="9" t="s">
        <v>30</v>
      </c>
      <c r="P151" s="9">
        <v>55</v>
      </c>
      <c r="R151" s="9">
        <v>65</v>
      </c>
      <c r="T151" s="9">
        <v>65</v>
      </c>
    </row>
    <row r="152" spans="1:22" s="9" customFormat="1" x14ac:dyDescent="0.3">
      <c r="A152" s="8" t="s">
        <v>23</v>
      </c>
      <c r="B152" s="9" t="s">
        <v>24</v>
      </c>
      <c r="C152" s="9" t="s">
        <v>52</v>
      </c>
      <c r="D152" s="9">
        <v>2</v>
      </c>
      <c r="E152" s="9">
        <v>24</v>
      </c>
      <c r="F152" s="10">
        <v>46060</v>
      </c>
      <c r="H152" s="9">
        <v>45</v>
      </c>
      <c r="I152" s="9" t="s">
        <v>28</v>
      </c>
      <c r="J152" s="9">
        <v>42</v>
      </c>
      <c r="K152" s="9" t="s">
        <v>28</v>
      </c>
      <c r="L152" s="9">
        <v>52</v>
      </c>
      <c r="M152" s="9" t="s">
        <v>28</v>
      </c>
      <c r="N152" s="9">
        <v>33</v>
      </c>
      <c r="O152" s="9" t="s">
        <v>28</v>
      </c>
      <c r="P152" s="9">
        <v>41</v>
      </c>
      <c r="Q152" s="9" t="s">
        <v>28</v>
      </c>
      <c r="R152" s="9">
        <v>40</v>
      </c>
      <c r="S152" s="9" t="s">
        <v>28</v>
      </c>
      <c r="T152" s="9">
        <v>52</v>
      </c>
      <c r="U152" s="9" t="s">
        <v>28</v>
      </c>
      <c r="V152" s="17">
        <v>0.52638888888888891</v>
      </c>
    </row>
    <row r="153" spans="1:22" s="9" customFormat="1" x14ac:dyDescent="0.3">
      <c r="A153" s="8" t="s">
        <v>23</v>
      </c>
      <c r="B153" s="9" t="s">
        <v>24</v>
      </c>
      <c r="C153" s="9" t="s">
        <v>52</v>
      </c>
      <c r="D153" s="9">
        <v>2</v>
      </c>
      <c r="E153" s="9">
        <v>24</v>
      </c>
      <c r="F153" s="10">
        <v>46060</v>
      </c>
      <c r="H153" s="9">
        <v>25</v>
      </c>
      <c r="I153" s="9" t="s">
        <v>31</v>
      </c>
      <c r="J153" s="9" t="s">
        <v>30</v>
      </c>
      <c r="T153" s="9">
        <v>0</v>
      </c>
    </row>
    <row r="154" spans="1:22" s="13" customFormat="1" ht="15" thickBot="1" x14ac:dyDescent="0.35">
      <c r="A154" s="12" t="s">
        <v>23</v>
      </c>
      <c r="B154" s="13" t="s">
        <v>24</v>
      </c>
      <c r="C154" s="13" t="s">
        <v>52</v>
      </c>
      <c r="D154" s="13">
        <v>2</v>
      </c>
      <c r="E154" s="13">
        <v>24</v>
      </c>
      <c r="F154" s="14">
        <v>46060</v>
      </c>
      <c r="G154" s="13">
        <v>140</v>
      </c>
      <c r="H154" s="13">
        <v>25</v>
      </c>
      <c r="I154" s="13" t="s">
        <v>36</v>
      </c>
      <c r="J154" s="13" t="s">
        <v>30</v>
      </c>
      <c r="T154" s="13">
        <v>0</v>
      </c>
    </row>
    <row r="155" spans="1:22" s="4" customFormat="1" x14ac:dyDescent="0.3">
      <c r="A155" s="3" t="s">
        <v>23</v>
      </c>
      <c r="B155" s="4" t="s">
        <v>24</v>
      </c>
      <c r="C155" s="4" t="s">
        <v>52</v>
      </c>
      <c r="D155" s="4">
        <v>2</v>
      </c>
      <c r="E155" s="4">
        <v>48</v>
      </c>
      <c r="F155" s="5">
        <v>46060</v>
      </c>
      <c r="H155" s="4">
        <v>5</v>
      </c>
      <c r="I155" s="4" t="s">
        <v>29</v>
      </c>
      <c r="J155" s="4" t="s">
        <v>30</v>
      </c>
      <c r="T155" s="4">
        <v>0</v>
      </c>
      <c r="V155" s="4" t="s">
        <v>59</v>
      </c>
    </row>
    <row r="156" spans="1:22" s="9" customFormat="1" x14ac:dyDescent="0.3">
      <c r="A156" s="8" t="s">
        <v>23</v>
      </c>
      <c r="B156" s="9" t="s">
        <v>24</v>
      </c>
      <c r="C156" s="9" t="s">
        <v>52</v>
      </c>
      <c r="D156" s="9">
        <v>2</v>
      </c>
      <c r="E156" s="9">
        <v>48</v>
      </c>
      <c r="F156" s="10">
        <v>46060</v>
      </c>
      <c r="H156" s="9">
        <v>10</v>
      </c>
      <c r="I156" s="9" t="s">
        <v>36</v>
      </c>
      <c r="J156" s="9" t="s">
        <v>30</v>
      </c>
      <c r="T156" s="9">
        <v>0</v>
      </c>
    </row>
    <row r="157" spans="1:22" s="9" customFormat="1" x14ac:dyDescent="0.3">
      <c r="A157" s="8" t="s">
        <v>23</v>
      </c>
      <c r="B157" s="9" t="s">
        <v>24</v>
      </c>
      <c r="C157" s="9" t="s">
        <v>52</v>
      </c>
      <c r="D157" s="9">
        <v>2</v>
      </c>
      <c r="E157" s="9">
        <v>48</v>
      </c>
      <c r="F157" s="10">
        <v>46060</v>
      </c>
      <c r="H157" s="9">
        <v>95</v>
      </c>
      <c r="I157" s="9" t="s">
        <v>31</v>
      </c>
      <c r="J157" s="9">
        <v>34</v>
      </c>
      <c r="K157" s="9" t="s">
        <v>31</v>
      </c>
      <c r="L157" s="9">
        <v>37</v>
      </c>
      <c r="N157" s="9">
        <v>28.5</v>
      </c>
      <c r="P157" s="9">
        <v>28</v>
      </c>
      <c r="R157" s="9">
        <v>44</v>
      </c>
      <c r="T157" s="9">
        <v>44</v>
      </c>
    </row>
    <row r="158" spans="1:22" s="13" customFormat="1" ht="15" thickBot="1" x14ac:dyDescent="0.35">
      <c r="A158" s="12" t="s">
        <v>23</v>
      </c>
      <c r="B158" s="13" t="s">
        <v>24</v>
      </c>
      <c r="C158" s="13" t="s">
        <v>52</v>
      </c>
      <c r="D158" s="13">
        <v>2</v>
      </c>
      <c r="E158" s="13">
        <v>48</v>
      </c>
      <c r="F158" s="14">
        <v>46060</v>
      </c>
      <c r="G158" s="13">
        <v>115</v>
      </c>
      <c r="H158" s="13">
        <v>5</v>
      </c>
      <c r="I158" s="13" t="s">
        <v>26</v>
      </c>
      <c r="J158" s="13">
        <v>58</v>
      </c>
      <c r="K158" s="13" t="s">
        <v>26</v>
      </c>
      <c r="L158" s="13">
        <v>57.5</v>
      </c>
      <c r="N158" s="13" t="s">
        <v>30</v>
      </c>
      <c r="P158" s="13" t="s">
        <v>30</v>
      </c>
      <c r="R158" s="13" t="s">
        <v>30</v>
      </c>
      <c r="T158" s="13">
        <v>57.5</v>
      </c>
    </row>
    <row r="159" spans="1:22" s="4" customFormat="1" x14ac:dyDescent="0.3">
      <c r="A159" s="3" t="s">
        <v>23</v>
      </c>
      <c r="B159" s="4" t="s">
        <v>24</v>
      </c>
      <c r="C159" s="4" t="s">
        <v>60</v>
      </c>
      <c r="D159" s="4">
        <v>1</v>
      </c>
      <c r="E159" s="4">
        <v>0.5</v>
      </c>
      <c r="F159" s="5">
        <v>46059</v>
      </c>
      <c r="H159" s="4">
        <v>65</v>
      </c>
      <c r="I159" s="4" t="s">
        <v>28</v>
      </c>
      <c r="J159" s="4">
        <v>57</v>
      </c>
      <c r="K159" s="4" t="s">
        <v>28</v>
      </c>
      <c r="L159" s="4">
        <v>50</v>
      </c>
      <c r="M159" s="4" t="s">
        <v>28</v>
      </c>
      <c r="N159" s="4">
        <v>48.5</v>
      </c>
      <c r="O159" s="4" t="s">
        <v>28</v>
      </c>
      <c r="P159" s="4">
        <v>66</v>
      </c>
      <c r="Q159" s="4" t="s">
        <v>28</v>
      </c>
      <c r="R159" s="4">
        <v>63.5</v>
      </c>
      <c r="S159" s="4" t="s">
        <v>28</v>
      </c>
      <c r="T159" s="4">
        <v>66</v>
      </c>
      <c r="U159" s="4" t="s">
        <v>28</v>
      </c>
      <c r="V159" s="4" t="s">
        <v>61</v>
      </c>
    </row>
    <row r="160" spans="1:22" s="9" customFormat="1" x14ac:dyDescent="0.3">
      <c r="A160" s="8" t="s">
        <v>23</v>
      </c>
      <c r="B160" s="9" t="s">
        <v>24</v>
      </c>
      <c r="C160" s="9" t="s">
        <v>60</v>
      </c>
      <c r="D160" s="9">
        <v>1</v>
      </c>
      <c r="E160" s="9">
        <v>0.5</v>
      </c>
      <c r="F160" s="10">
        <v>46059</v>
      </c>
      <c r="H160" s="9">
        <v>20</v>
      </c>
      <c r="I160" s="9" t="s">
        <v>26</v>
      </c>
      <c r="J160" s="9" t="s">
        <v>30</v>
      </c>
      <c r="T160" s="9">
        <v>0</v>
      </c>
    </row>
    <row r="161" spans="1:22" s="13" customFormat="1" ht="15" thickBot="1" x14ac:dyDescent="0.35">
      <c r="A161" s="12" t="s">
        <v>23</v>
      </c>
      <c r="B161" s="13" t="s">
        <v>24</v>
      </c>
      <c r="C161" s="13" t="s">
        <v>60</v>
      </c>
      <c r="D161" s="13">
        <v>1</v>
      </c>
      <c r="E161" s="13">
        <v>0.5</v>
      </c>
      <c r="F161" s="14">
        <v>46059</v>
      </c>
      <c r="G161" s="13">
        <v>105</v>
      </c>
      <c r="H161" s="13">
        <v>20</v>
      </c>
      <c r="I161" s="13" t="s">
        <v>29</v>
      </c>
      <c r="J161" s="13" t="s">
        <v>30</v>
      </c>
      <c r="T161" s="13">
        <v>0</v>
      </c>
    </row>
    <row r="162" spans="1:22" s="4" customFormat="1" x14ac:dyDescent="0.3">
      <c r="A162" s="3" t="s">
        <v>23</v>
      </c>
      <c r="B162" s="4" t="s">
        <v>24</v>
      </c>
      <c r="C162" s="4" t="s">
        <v>60</v>
      </c>
      <c r="D162" s="4">
        <v>1</v>
      </c>
      <c r="E162" s="4">
        <v>2</v>
      </c>
      <c r="F162" s="5">
        <v>46059</v>
      </c>
      <c r="H162" s="4">
        <v>60</v>
      </c>
      <c r="I162" s="4" t="s">
        <v>62</v>
      </c>
      <c r="J162" s="4" t="s">
        <v>30</v>
      </c>
      <c r="T162" s="4">
        <v>0</v>
      </c>
    </row>
    <row r="163" spans="1:22" s="9" customFormat="1" x14ac:dyDescent="0.3">
      <c r="A163" s="8" t="s">
        <v>23</v>
      </c>
      <c r="B163" s="9" t="s">
        <v>24</v>
      </c>
      <c r="C163" s="9" t="s">
        <v>60</v>
      </c>
      <c r="D163" s="9">
        <v>1</v>
      </c>
      <c r="E163" s="9">
        <v>2</v>
      </c>
      <c r="F163" s="10">
        <v>46059</v>
      </c>
      <c r="H163" s="9">
        <v>70</v>
      </c>
      <c r="I163" s="9" t="s">
        <v>28</v>
      </c>
      <c r="J163" s="9">
        <v>53</v>
      </c>
      <c r="K163" s="9" t="s">
        <v>28</v>
      </c>
      <c r="L163" s="9">
        <v>53</v>
      </c>
      <c r="M163" s="9" t="s">
        <v>28</v>
      </c>
      <c r="N163" s="9">
        <v>62.5</v>
      </c>
      <c r="O163" s="9" t="s">
        <v>28</v>
      </c>
      <c r="P163" s="9">
        <v>48</v>
      </c>
      <c r="Q163" s="9" t="s">
        <v>28</v>
      </c>
      <c r="R163" s="9">
        <v>48</v>
      </c>
      <c r="S163" s="9" t="s">
        <v>28</v>
      </c>
      <c r="T163" s="9">
        <v>62.5</v>
      </c>
      <c r="U163" s="9" t="s">
        <v>28</v>
      </c>
      <c r="V163" s="17">
        <v>0.52013888888888893</v>
      </c>
    </row>
    <row r="164" spans="1:22" s="13" customFormat="1" ht="15" thickBot="1" x14ac:dyDescent="0.35">
      <c r="A164" s="12" t="s">
        <v>23</v>
      </c>
      <c r="B164" s="13" t="s">
        <v>24</v>
      </c>
      <c r="C164" s="13" t="s">
        <v>60</v>
      </c>
      <c r="D164" s="13">
        <v>1</v>
      </c>
      <c r="E164" s="13">
        <v>2</v>
      </c>
      <c r="F164" s="14">
        <v>46059</v>
      </c>
      <c r="G164" s="13">
        <v>180</v>
      </c>
      <c r="H164" s="13">
        <v>50</v>
      </c>
      <c r="I164" s="13" t="s">
        <v>29</v>
      </c>
      <c r="J164" s="13" t="s">
        <v>30</v>
      </c>
      <c r="T164" s="13">
        <v>0</v>
      </c>
    </row>
    <row r="165" spans="1:22" s="4" customFormat="1" x14ac:dyDescent="0.3">
      <c r="A165" s="3" t="s">
        <v>23</v>
      </c>
      <c r="B165" s="4" t="s">
        <v>24</v>
      </c>
      <c r="C165" s="4" t="s">
        <v>60</v>
      </c>
      <c r="D165" s="4">
        <v>1</v>
      </c>
      <c r="E165" s="4">
        <v>6</v>
      </c>
      <c r="F165" s="5">
        <v>46059</v>
      </c>
      <c r="H165" s="4">
        <v>50</v>
      </c>
      <c r="I165" s="4" t="s">
        <v>63</v>
      </c>
      <c r="J165" s="4" t="s">
        <v>30</v>
      </c>
      <c r="T165" s="4">
        <v>0</v>
      </c>
    </row>
    <row r="166" spans="1:22" s="13" customFormat="1" ht="15" thickBot="1" x14ac:dyDescent="0.35">
      <c r="A166" s="12" t="s">
        <v>23</v>
      </c>
      <c r="B166" s="13" t="s">
        <v>24</v>
      </c>
      <c r="C166" s="13" t="s">
        <v>60</v>
      </c>
      <c r="D166" s="13">
        <v>1</v>
      </c>
      <c r="E166" s="13">
        <v>6</v>
      </c>
      <c r="F166" s="14">
        <v>46059</v>
      </c>
      <c r="G166" s="13">
        <v>100</v>
      </c>
      <c r="H166" s="13">
        <v>50</v>
      </c>
      <c r="I166" s="13" t="s">
        <v>28</v>
      </c>
      <c r="J166" s="13">
        <v>60</v>
      </c>
      <c r="K166" s="13" t="s">
        <v>28</v>
      </c>
      <c r="L166" s="13">
        <v>59.5</v>
      </c>
      <c r="M166" s="13" t="s">
        <v>28</v>
      </c>
      <c r="N166" s="13">
        <v>61</v>
      </c>
      <c r="O166" s="13" t="s">
        <v>28</v>
      </c>
      <c r="P166" s="13">
        <v>63</v>
      </c>
      <c r="Q166" s="13" t="s">
        <v>28</v>
      </c>
      <c r="R166" s="13">
        <v>57</v>
      </c>
      <c r="S166" s="13" t="s">
        <v>28</v>
      </c>
      <c r="T166" s="13">
        <v>63</v>
      </c>
      <c r="U166" s="13" t="s">
        <v>28</v>
      </c>
      <c r="V166" s="16">
        <v>0.52569444444444446</v>
      </c>
    </row>
    <row r="167" spans="1:22" s="4" customFormat="1" x14ac:dyDescent="0.3">
      <c r="A167" s="3" t="s">
        <v>23</v>
      </c>
      <c r="B167" s="4" t="s">
        <v>24</v>
      </c>
      <c r="C167" s="4" t="s">
        <v>60</v>
      </c>
      <c r="D167" s="4">
        <v>1</v>
      </c>
      <c r="E167" s="4">
        <v>12</v>
      </c>
      <c r="F167" s="5">
        <v>46059</v>
      </c>
      <c r="H167" s="4">
        <v>65</v>
      </c>
      <c r="I167" s="4" t="s">
        <v>28</v>
      </c>
      <c r="J167" s="4">
        <v>50</v>
      </c>
      <c r="K167" s="4" t="s">
        <v>28</v>
      </c>
      <c r="L167" s="4">
        <v>50</v>
      </c>
      <c r="M167" s="4" t="s">
        <v>28</v>
      </c>
      <c r="N167" s="4">
        <v>49</v>
      </c>
      <c r="O167" s="4" t="s">
        <v>28</v>
      </c>
      <c r="P167" s="4">
        <v>51</v>
      </c>
      <c r="Q167" s="4" t="s">
        <v>28</v>
      </c>
      <c r="R167" s="4">
        <v>48</v>
      </c>
      <c r="S167" s="4" t="s">
        <v>28</v>
      </c>
      <c r="T167" s="4">
        <v>51</v>
      </c>
      <c r="U167" s="4" t="s">
        <v>28</v>
      </c>
      <c r="V167" s="7">
        <v>0.53194444444444444</v>
      </c>
    </row>
    <row r="168" spans="1:22" s="13" customFormat="1" ht="15" thickBot="1" x14ac:dyDescent="0.35">
      <c r="A168" s="12" t="s">
        <v>23</v>
      </c>
      <c r="B168" s="13" t="s">
        <v>24</v>
      </c>
      <c r="C168" s="13" t="s">
        <v>60</v>
      </c>
      <c r="D168" s="13">
        <v>1</v>
      </c>
      <c r="E168" s="13">
        <v>12</v>
      </c>
      <c r="F168" s="14">
        <v>46059</v>
      </c>
      <c r="G168" s="13">
        <v>100</v>
      </c>
      <c r="H168" s="13">
        <v>35</v>
      </c>
      <c r="I168" s="13" t="s">
        <v>29</v>
      </c>
      <c r="J168" s="13" t="s">
        <v>30</v>
      </c>
      <c r="T168" s="13">
        <v>0</v>
      </c>
    </row>
    <row r="169" spans="1:22" s="4" customFormat="1" x14ac:dyDescent="0.3">
      <c r="A169" s="3" t="s">
        <v>23</v>
      </c>
      <c r="B169" s="4" t="s">
        <v>24</v>
      </c>
      <c r="C169" s="4" t="s">
        <v>60</v>
      </c>
      <c r="D169" s="4">
        <v>1</v>
      </c>
      <c r="E169" s="4">
        <v>18</v>
      </c>
      <c r="F169" s="5">
        <v>46059</v>
      </c>
      <c r="H169" s="4">
        <v>80</v>
      </c>
      <c r="I169" s="4" t="s">
        <v>28</v>
      </c>
      <c r="J169" s="4">
        <v>63</v>
      </c>
      <c r="K169" s="4" t="s">
        <v>28</v>
      </c>
      <c r="L169" s="4">
        <v>65.5</v>
      </c>
      <c r="M169" s="4" t="s">
        <v>28</v>
      </c>
      <c r="N169" s="4">
        <v>66.5</v>
      </c>
      <c r="O169" s="4" t="s">
        <v>28</v>
      </c>
      <c r="P169" s="4">
        <v>58.5</v>
      </c>
      <c r="Q169" s="4" t="s">
        <v>28</v>
      </c>
      <c r="R169" s="4">
        <v>61</v>
      </c>
      <c r="S169" s="4" t="s">
        <v>28</v>
      </c>
      <c r="T169" s="4">
        <v>66.5</v>
      </c>
      <c r="U169" s="4" t="s">
        <v>28</v>
      </c>
      <c r="V169" s="7">
        <v>0.53749999999999998</v>
      </c>
    </row>
    <row r="170" spans="1:22" s="9" customFormat="1" x14ac:dyDescent="0.3">
      <c r="A170" s="8" t="s">
        <v>23</v>
      </c>
      <c r="B170" s="9" t="s">
        <v>24</v>
      </c>
      <c r="C170" s="9" t="s">
        <v>60</v>
      </c>
      <c r="D170" s="9">
        <v>1</v>
      </c>
      <c r="E170" s="9">
        <v>18</v>
      </c>
      <c r="F170" s="10">
        <v>46059</v>
      </c>
      <c r="H170" s="9">
        <v>20</v>
      </c>
      <c r="I170" s="9" t="s">
        <v>29</v>
      </c>
      <c r="J170" s="9" t="s">
        <v>30</v>
      </c>
      <c r="T170" s="9">
        <v>0</v>
      </c>
    </row>
    <row r="171" spans="1:22" s="13" customFormat="1" ht="15" thickBot="1" x14ac:dyDescent="0.35">
      <c r="A171" s="12" t="s">
        <v>23</v>
      </c>
      <c r="B171" s="13" t="s">
        <v>24</v>
      </c>
      <c r="C171" s="13" t="s">
        <v>60</v>
      </c>
      <c r="D171" s="13">
        <v>1</v>
      </c>
      <c r="E171" s="13">
        <v>18</v>
      </c>
      <c r="F171" s="14">
        <v>46059</v>
      </c>
      <c r="G171" s="13">
        <v>100</v>
      </c>
      <c r="H171" s="13" t="s">
        <v>64</v>
      </c>
      <c r="I171" s="13" t="s">
        <v>65</v>
      </c>
      <c r="J171" s="13" t="s">
        <v>30</v>
      </c>
      <c r="T171" s="13">
        <v>0</v>
      </c>
    </row>
    <row r="172" spans="1:22" s="4" customFormat="1" x14ac:dyDescent="0.3">
      <c r="A172" s="3" t="s">
        <v>23</v>
      </c>
      <c r="B172" s="4" t="s">
        <v>24</v>
      </c>
      <c r="C172" s="4" t="s">
        <v>60</v>
      </c>
      <c r="D172" s="4">
        <v>1</v>
      </c>
      <c r="E172" s="4">
        <v>24</v>
      </c>
      <c r="F172" s="5">
        <v>46059</v>
      </c>
      <c r="H172" s="4">
        <v>15</v>
      </c>
      <c r="I172" s="4" t="s">
        <v>50</v>
      </c>
      <c r="J172" s="4" t="s">
        <v>30</v>
      </c>
      <c r="T172" s="4">
        <v>0</v>
      </c>
    </row>
    <row r="173" spans="1:22" s="9" customFormat="1" x14ac:dyDescent="0.3">
      <c r="A173" s="8" t="s">
        <v>23</v>
      </c>
      <c r="B173" s="9" t="s">
        <v>24</v>
      </c>
      <c r="C173" s="9" t="s">
        <v>60</v>
      </c>
      <c r="D173" s="9">
        <v>1</v>
      </c>
      <c r="E173" s="9">
        <v>24</v>
      </c>
      <c r="F173" s="10">
        <v>46059</v>
      </c>
      <c r="H173" s="9">
        <v>85</v>
      </c>
      <c r="I173" s="9" t="s">
        <v>28</v>
      </c>
      <c r="J173" s="9">
        <v>57</v>
      </c>
      <c r="K173" s="9" t="s">
        <v>28</v>
      </c>
      <c r="L173" s="9">
        <v>57</v>
      </c>
      <c r="M173" s="9" t="s">
        <v>28</v>
      </c>
      <c r="N173" s="9">
        <v>55.5</v>
      </c>
      <c r="O173" s="9" t="s">
        <v>28</v>
      </c>
      <c r="P173" s="9">
        <v>60</v>
      </c>
      <c r="Q173" s="9" t="s">
        <v>28</v>
      </c>
      <c r="R173" s="9">
        <v>57</v>
      </c>
      <c r="S173" s="9" t="s">
        <v>28</v>
      </c>
      <c r="T173" s="9">
        <v>60</v>
      </c>
      <c r="V173" s="17">
        <v>0.54374999999999996</v>
      </c>
    </row>
    <row r="174" spans="1:22" s="13" customFormat="1" ht="15" thickBot="1" x14ac:dyDescent="0.35">
      <c r="A174" s="12" t="s">
        <v>23</v>
      </c>
      <c r="B174" s="13" t="s">
        <v>24</v>
      </c>
      <c r="C174" s="13" t="s">
        <v>60</v>
      </c>
      <c r="D174" s="13">
        <v>1</v>
      </c>
      <c r="E174" s="13">
        <v>24</v>
      </c>
      <c r="F174" s="14">
        <v>46059</v>
      </c>
      <c r="G174" s="13">
        <v>115</v>
      </c>
      <c r="H174" s="13">
        <v>15</v>
      </c>
      <c r="I174" s="13" t="s">
        <v>29</v>
      </c>
      <c r="J174" s="13" t="s">
        <v>30</v>
      </c>
      <c r="T174" s="13">
        <v>0</v>
      </c>
    </row>
    <row r="175" spans="1:22" s="4" customFormat="1" x14ac:dyDescent="0.3">
      <c r="A175" s="3" t="s">
        <v>23</v>
      </c>
      <c r="B175" s="4" t="s">
        <v>24</v>
      </c>
      <c r="C175" s="4" t="s">
        <v>60</v>
      </c>
      <c r="D175" s="4">
        <v>1</v>
      </c>
      <c r="E175" s="4">
        <v>48</v>
      </c>
      <c r="F175" s="5">
        <v>46059</v>
      </c>
      <c r="H175" s="4">
        <v>90</v>
      </c>
      <c r="I175" s="4" t="s">
        <v>28</v>
      </c>
      <c r="J175" s="4">
        <v>56</v>
      </c>
      <c r="K175" s="4" t="s">
        <v>28</v>
      </c>
      <c r="L175" s="4">
        <v>61.5</v>
      </c>
      <c r="M175" s="4" t="s">
        <v>28</v>
      </c>
      <c r="N175" s="4">
        <v>50</v>
      </c>
      <c r="O175" s="4" t="s">
        <v>28</v>
      </c>
      <c r="T175" s="4">
        <v>61.5</v>
      </c>
    </row>
    <row r="176" spans="1:22" s="13" customFormat="1" ht="15" thickBot="1" x14ac:dyDescent="0.35">
      <c r="A176" s="12" t="s">
        <v>23</v>
      </c>
      <c r="B176" s="13" t="s">
        <v>24</v>
      </c>
      <c r="C176" s="13" t="s">
        <v>60</v>
      </c>
      <c r="D176" s="13">
        <v>1</v>
      </c>
      <c r="E176" s="13">
        <v>48</v>
      </c>
      <c r="F176" s="14">
        <v>46059</v>
      </c>
      <c r="G176" s="13">
        <v>100</v>
      </c>
      <c r="H176" s="13">
        <v>10</v>
      </c>
      <c r="I176" s="13" t="s">
        <v>29</v>
      </c>
      <c r="J176" s="13" t="s">
        <v>30</v>
      </c>
      <c r="T176" s="13">
        <v>0</v>
      </c>
    </row>
    <row r="177" spans="1:21" s="4" customFormat="1" x14ac:dyDescent="0.3">
      <c r="A177" s="3" t="s">
        <v>23</v>
      </c>
      <c r="B177" s="4" t="s">
        <v>24</v>
      </c>
      <c r="C177" s="4" t="s">
        <v>60</v>
      </c>
      <c r="D177" s="4">
        <v>2</v>
      </c>
      <c r="E177" s="4">
        <v>0.5</v>
      </c>
      <c r="F177" s="5">
        <v>46059</v>
      </c>
      <c r="H177" s="4">
        <v>50</v>
      </c>
      <c r="I177" s="4" t="s">
        <v>29</v>
      </c>
      <c r="J177" s="4" t="s">
        <v>30</v>
      </c>
      <c r="T177" s="4">
        <v>0</v>
      </c>
    </row>
    <row r="178" spans="1:21" s="9" customFormat="1" x14ac:dyDescent="0.3">
      <c r="A178" s="8" t="s">
        <v>23</v>
      </c>
      <c r="B178" s="9" t="s">
        <v>24</v>
      </c>
      <c r="C178" s="9" t="s">
        <v>60</v>
      </c>
      <c r="D178" s="9">
        <v>2</v>
      </c>
      <c r="E178" s="9">
        <v>0.5</v>
      </c>
      <c r="F178" s="10">
        <v>46059</v>
      </c>
      <c r="H178" s="9">
        <v>5</v>
      </c>
      <c r="I178" s="9" t="s">
        <v>28</v>
      </c>
      <c r="J178" s="9" t="s">
        <v>30</v>
      </c>
      <c r="T178" s="9">
        <v>0</v>
      </c>
    </row>
    <row r="179" spans="1:21" s="9" customFormat="1" x14ac:dyDescent="0.3">
      <c r="A179" s="8" t="s">
        <v>23</v>
      </c>
      <c r="B179" s="9" t="s">
        <v>24</v>
      </c>
      <c r="C179" s="9" t="s">
        <v>60</v>
      </c>
      <c r="D179" s="9">
        <v>2</v>
      </c>
      <c r="E179" s="9">
        <v>0.5</v>
      </c>
      <c r="F179" s="10">
        <v>46059</v>
      </c>
      <c r="H179" s="9">
        <v>65</v>
      </c>
      <c r="I179" s="9" t="s">
        <v>28</v>
      </c>
      <c r="J179" s="9">
        <v>52</v>
      </c>
      <c r="K179" s="9" t="s">
        <v>28</v>
      </c>
      <c r="L179" s="9">
        <v>50</v>
      </c>
      <c r="M179" s="9" t="s">
        <v>28</v>
      </c>
      <c r="N179" s="9">
        <v>47</v>
      </c>
      <c r="O179" s="9" t="s">
        <v>28</v>
      </c>
      <c r="P179" s="9">
        <v>62</v>
      </c>
      <c r="Q179" s="9" t="s">
        <v>28</v>
      </c>
      <c r="R179" s="9">
        <v>49</v>
      </c>
      <c r="S179" s="9" t="s">
        <v>28</v>
      </c>
      <c r="T179" s="9">
        <v>62</v>
      </c>
      <c r="U179" s="9" t="s">
        <v>28</v>
      </c>
    </row>
    <row r="180" spans="1:21" s="13" customFormat="1" ht="15" thickBot="1" x14ac:dyDescent="0.35">
      <c r="A180" s="12" t="s">
        <v>23</v>
      </c>
      <c r="B180" s="13" t="s">
        <v>24</v>
      </c>
      <c r="C180" s="13" t="s">
        <v>60</v>
      </c>
      <c r="D180" s="13">
        <v>2</v>
      </c>
      <c r="E180" s="13">
        <v>0.5</v>
      </c>
      <c r="F180" s="14">
        <v>46059</v>
      </c>
      <c r="G180" s="13">
        <v>200</v>
      </c>
      <c r="H180" s="13">
        <v>80</v>
      </c>
      <c r="I180" s="13" t="s">
        <v>66</v>
      </c>
      <c r="J180" s="13" t="s">
        <v>30</v>
      </c>
      <c r="T180" s="13">
        <v>0</v>
      </c>
    </row>
    <row r="181" spans="1:21" s="4" customFormat="1" x14ac:dyDescent="0.3">
      <c r="A181" s="3" t="s">
        <v>23</v>
      </c>
      <c r="B181" s="4" t="s">
        <v>24</v>
      </c>
      <c r="C181" s="4" t="s">
        <v>60</v>
      </c>
      <c r="D181" s="4">
        <v>2</v>
      </c>
      <c r="E181" s="4">
        <v>2</v>
      </c>
      <c r="F181" s="5">
        <v>46059</v>
      </c>
      <c r="H181" s="4">
        <v>20</v>
      </c>
      <c r="I181" s="4" t="s">
        <v>26</v>
      </c>
      <c r="J181" s="4">
        <v>70</v>
      </c>
      <c r="K181" s="4" t="s">
        <v>26</v>
      </c>
      <c r="L181" s="4" t="s">
        <v>30</v>
      </c>
      <c r="N181" s="4">
        <v>79</v>
      </c>
      <c r="P181" s="4">
        <v>60.5</v>
      </c>
      <c r="R181" s="4" t="s">
        <v>30</v>
      </c>
      <c r="T181" s="4">
        <v>79</v>
      </c>
    </row>
    <row r="182" spans="1:21" s="9" customFormat="1" x14ac:dyDescent="0.3">
      <c r="A182" s="8" t="s">
        <v>23</v>
      </c>
      <c r="B182" s="9" t="s">
        <v>24</v>
      </c>
      <c r="C182" s="9" t="s">
        <v>60</v>
      </c>
      <c r="D182" s="9">
        <v>2</v>
      </c>
      <c r="E182" s="9">
        <v>2</v>
      </c>
      <c r="F182" s="10">
        <v>46059</v>
      </c>
      <c r="H182" s="9">
        <v>35</v>
      </c>
      <c r="I182" s="9" t="s">
        <v>28</v>
      </c>
      <c r="J182" s="9">
        <v>55</v>
      </c>
      <c r="K182" s="9" t="s">
        <v>28</v>
      </c>
      <c r="L182" s="9">
        <v>65.5</v>
      </c>
      <c r="M182" s="9" t="s">
        <v>28</v>
      </c>
      <c r="N182" s="9">
        <v>54</v>
      </c>
      <c r="O182" s="9" t="s">
        <v>28</v>
      </c>
      <c r="P182" s="9">
        <v>50</v>
      </c>
      <c r="Q182" s="9" t="s">
        <v>28</v>
      </c>
      <c r="R182" s="9">
        <v>49</v>
      </c>
      <c r="S182" s="9" t="s">
        <v>28</v>
      </c>
      <c r="T182" s="9">
        <v>65.5</v>
      </c>
      <c r="U182" s="9" t="s">
        <v>28</v>
      </c>
    </row>
    <row r="183" spans="1:21" s="9" customFormat="1" x14ac:dyDescent="0.3">
      <c r="A183" s="8" t="s">
        <v>23</v>
      </c>
      <c r="B183" s="9" t="s">
        <v>24</v>
      </c>
      <c r="C183" s="9" t="s">
        <v>60</v>
      </c>
      <c r="D183" s="9">
        <v>2</v>
      </c>
      <c r="E183" s="9">
        <v>2</v>
      </c>
      <c r="F183" s="10">
        <v>46059</v>
      </c>
      <c r="H183" s="9">
        <v>50</v>
      </c>
      <c r="I183" s="9" t="s">
        <v>63</v>
      </c>
      <c r="J183" s="9" t="s">
        <v>30</v>
      </c>
      <c r="T183" s="9">
        <v>0</v>
      </c>
    </row>
    <row r="184" spans="1:21" s="13" customFormat="1" ht="15" thickBot="1" x14ac:dyDescent="0.35">
      <c r="A184" s="12" t="s">
        <v>23</v>
      </c>
      <c r="B184" s="13" t="s">
        <v>24</v>
      </c>
      <c r="C184" s="13" t="s">
        <v>60</v>
      </c>
      <c r="D184" s="13">
        <v>2</v>
      </c>
      <c r="E184" s="13">
        <v>2</v>
      </c>
      <c r="F184" s="14">
        <v>46059</v>
      </c>
      <c r="G184" s="13">
        <v>110</v>
      </c>
      <c r="H184" s="13">
        <v>5</v>
      </c>
      <c r="I184" s="13" t="s">
        <v>28</v>
      </c>
      <c r="J184" s="13" t="s">
        <v>30</v>
      </c>
      <c r="T184" s="13">
        <v>0</v>
      </c>
    </row>
    <row r="185" spans="1:21" s="4" customFormat="1" x14ac:dyDescent="0.3">
      <c r="A185" s="3" t="s">
        <v>23</v>
      </c>
      <c r="B185" s="4" t="s">
        <v>24</v>
      </c>
      <c r="C185" s="4" t="s">
        <v>60</v>
      </c>
      <c r="D185" s="4">
        <v>2</v>
      </c>
      <c r="E185" s="4">
        <v>6</v>
      </c>
      <c r="F185" s="5">
        <v>46059</v>
      </c>
      <c r="H185" s="4">
        <v>35</v>
      </c>
      <c r="I185" s="4" t="s">
        <v>29</v>
      </c>
      <c r="J185" s="4" t="s">
        <v>30</v>
      </c>
      <c r="T185" s="4">
        <v>0</v>
      </c>
    </row>
    <row r="186" spans="1:21" s="9" customFormat="1" x14ac:dyDescent="0.3">
      <c r="A186" s="8" t="s">
        <v>23</v>
      </c>
      <c r="B186" s="9" t="s">
        <v>24</v>
      </c>
      <c r="C186" s="9" t="s">
        <v>60</v>
      </c>
      <c r="D186" s="9">
        <v>2</v>
      </c>
      <c r="E186" s="9">
        <v>6</v>
      </c>
      <c r="F186" s="10">
        <v>46059</v>
      </c>
      <c r="H186" s="9">
        <v>65</v>
      </c>
      <c r="I186" s="9" t="s">
        <v>28</v>
      </c>
      <c r="J186" s="9">
        <v>52</v>
      </c>
      <c r="K186" s="9" t="s">
        <v>28</v>
      </c>
      <c r="L186" s="9">
        <v>50</v>
      </c>
      <c r="M186" s="9" t="s">
        <v>28</v>
      </c>
      <c r="N186" s="9">
        <v>47</v>
      </c>
      <c r="O186" s="9" t="s">
        <v>28</v>
      </c>
      <c r="P186" s="9">
        <v>62</v>
      </c>
      <c r="Q186" s="9" t="s">
        <v>28</v>
      </c>
      <c r="R186" s="9">
        <v>49</v>
      </c>
      <c r="S186" s="9" t="s">
        <v>28</v>
      </c>
      <c r="T186" s="9">
        <v>62</v>
      </c>
      <c r="U186" s="9" t="s">
        <v>28</v>
      </c>
    </row>
    <row r="187" spans="1:21" s="13" customFormat="1" ht="15" thickBot="1" x14ac:dyDescent="0.35">
      <c r="A187" s="12" t="s">
        <v>23</v>
      </c>
      <c r="B187" s="13" t="s">
        <v>24</v>
      </c>
      <c r="C187" s="13" t="s">
        <v>60</v>
      </c>
      <c r="D187" s="13">
        <v>2</v>
      </c>
      <c r="E187" s="13">
        <v>6</v>
      </c>
      <c r="F187" s="14">
        <v>46059</v>
      </c>
      <c r="G187" s="13">
        <v>180</v>
      </c>
      <c r="H187" s="13">
        <v>80</v>
      </c>
      <c r="I187" s="13" t="s">
        <v>67</v>
      </c>
      <c r="J187" s="13" t="s">
        <v>30</v>
      </c>
      <c r="T187" s="13">
        <v>0</v>
      </c>
    </row>
    <row r="188" spans="1:21" s="4" customFormat="1" x14ac:dyDescent="0.3">
      <c r="A188" s="3" t="s">
        <v>23</v>
      </c>
      <c r="B188" s="4" t="s">
        <v>24</v>
      </c>
      <c r="C188" s="4" t="s">
        <v>60</v>
      </c>
      <c r="D188" s="4">
        <v>2</v>
      </c>
      <c r="E188" s="4">
        <v>12</v>
      </c>
      <c r="F188" s="5">
        <v>46059</v>
      </c>
      <c r="H188" s="4">
        <v>5</v>
      </c>
      <c r="I188" s="4" t="s">
        <v>68</v>
      </c>
      <c r="J188" s="4" t="s">
        <v>30</v>
      </c>
      <c r="T188" s="4">
        <v>0</v>
      </c>
    </row>
    <row r="189" spans="1:21" s="9" customFormat="1" x14ac:dyDescent="0.3">
      <c r="A189" s="8" t="s">
        <v>23</v>
      </c>
      <c r="B189" s="9" t="s">
        <v>24</v>
      </c>
      <c r="C189" s="9" t="s">
        <v>60</v>
      </c>
      <c r="D189" s="9">
        <v>2</v>
      </c>
      <c r="E189" s="9">
        <v>12</v>
      </c>
      <c r="F189" s="10">
        <v>46059</v>
      </c>
      <c r="H189" s="9">
        <v>75</v>
      </c>
      <c r="I189" s="9" t="s">
        <v>28</v>
      </c>
      <c r="J189" s="9">
        <v>54</v>
      </c>
      <c r="K189" s="9" t="s">
        <v>28</v>
      </c>
      <c r="L189" s="9">
        <v>54.5</v>
      </c>
      <c r="M189" s="9" t="s">
        <v>28</v>
      </c>
      <c r="N189" s="9">
        <v>53</v>
      </c>
      <c r="O189" s="9" t="s">
        <v>28</v>
      </c>
      <c r="P189" s="9">
        <v>53</v>
      </c>
      <c r="Q189" s="9" t="s">
        <v>28</v>
      </c>
      <c r="R189" s="9">
        <v>57</v>
      </c>
      <c r="S189" s="9" t="s">
        <v>28</v>
      </c>
      <c r="T189" s="9">
        <v>57</v>
      </c>
      <c r="U189" s="9" t="s">
        <v>28</v>
      </c>
    </row>
    <row r="190" spans="1:21" s="13" customFormat="1" ht="15" thickBot="1" x14ac:dyDescent="0.35">
      <c r="A190" s="12" t="s">
        <v>23</v>
      </c>
      <c r="B190" s="13" t="s">
        <v>24</v>
      </c>
      <c r="C190" s="13" t="s">
        <v>60</v>
      </c>
      <c r="D190" s="13">
        <v>2</v>
      </c>
      <c r="E190" s="13">
        <v>12</v>
      </c>
      <c r="F190" s="14">
        <v>46059</v>
      </c>
      <c r="G190" s="13">
        <v>105</v>
      </c>
      <c r="H190" s="13">
        <v>25</v>
      </c>
      <c r="I190" s="13" t="s">
        <v>29</v>
      </c>
      <c r="J190" s="13" t="s">
        <v>30</v>
      </c>
      <c r="T190" s="13">
        <v>0</v>
      </c>
    </row>
    <row r="191" spans="1:21" s="4" customFormat="1" x14ac:dyDescent="0.3">
      <c r="A191" s="3" t="s">
        <v>23</v>
      </c>
      <c r="B191" s="4" t="s">
        <v>24</v>
      </c>
      <c r="C191" s="4" t="s">
        <v>60</v>
      </c>
      <c r="D191" s="4">
        <v>2</v>
      </c>
      <c r="E191" s="4">
        <v>18</v>
      </c>
      <c r="F191" s="5">
        <v>46059</v>
      </c>
      <c r="H191" s="4">
        <v>10</v>
      </c>
      <c r="I191" s="4" t="s">
        <v>29</v>
      </c>
      <c r="J191" s="4" t="s">
        <v>30</v>
      </c>
      <c r="T191" s="4">
        <v>0</v>
      </c>
    </row>
    <row r="192" spans="1:21" s="13" customFormat="1" ht="15" thickBot="1" x14ac:dyDescent="0.35">
      <c r="A192" s="12" t="s">
        <v>23</v>
      </c>
      <c r="B192" s="13" t="s">
        <v>24</v>
      </c>
      <c r="C192" s="13" t="s">
        <v>60</v>
      </c>
      <c r="D192" s="13">
        <v>2</v>
      </c>
      <c r="E192" s="13">
        <v>18</v>
      </c>
      <c r="F192" s="14">
        <v>46059</v>
      </c>
      <c r="G192" s="13">
        <v>100</v>
      </c>
      <c r="H192" s="13">
        <v>90</v>
      </c>
      <c r="I192" s="13" t="s">
        <v>28</v>
      </c>
      <c r="J192" s="13">
        <v>65</v>
      </c>
      <c r="K192" s="13" t="s">
        <v>28</v>
      </c>
      <c r="L192" s="13">
        <v>64.5</v>
      </c>
      <c r="M192" s="13" t="s">
        <v>28</v>
      </c>
      <c r="N192" s="13">
        <v>61.5</v>
      </c>
      <c r="O192" s="13" t="s">
        <v>28</v>
      </c>
      <c r="P192" s="13">
        <v>68.5</v>
      </c>
      <c r="Q192" s="13" t="s">
        <v>28</v>
      </c>
      <c r="R192" s="13">
        <v>64</v>
      </c>
      <c r="S192" s="13" t="s">
        <v>28</v>
      </c>
      <c r="T192" s="13">
        <v>68.5</v>
      </c>
      <c r="U192" s="13" t="s">
        <v>28</v>
      </c>
    </row>
    <row r="193" spans="1:21" s="4" customFormat="1" x14ac:dyDescent="0.3">
      <c r="A193" s="3" t="s">
        <v>23</v>
      </c>
      <c r="B193" s="4" t="s">
        <v>24</v>
      </c>
      <c r="C193" s="4" t="s">
        <v>60</v>
      </c>
      <c r="D193" s="4">
        <v>2</v>
      </c>
      <c r="E193" s="4">
        <v>24</v>
      </c>
      <c r="F193" s="5">
        <v>46059</v>
      </c>
      <c r="H193" s="4">
        <v>10</v>
      </c>
      <c r="I193" s="4" t="s">
        <v>50</v>
      </c>
      <c r="J193" s="4" t="s">
        <v>30</v>
      </c>
      <c r="T193" s="4">
        <v>0</v>
      </c>
    </row>
    <row r="194" spans="1:21" s="13" customFormat="1" ht="15" thickBot="1" x14ac:dyDescent="0.35">
      <c r="A194" s="12" t="s">
        <v>23</v>
      </c>
      <c r="B194" s="13" t="s">
        <v>24</v>
      </c>
      <c r="C194" s="13" t="s">
        <v>60</v>
      </c>
      <c r="D194" s="13">
        <v>2</v>
      </c>
      <c r="E194" s="13">
        <v>24</v>
      </c>
      <c r="F194" s="14">
        <v>46059</v>
      </c>
      <c r="G194" s="13">
        <v>80</v>
      </c>
      <c r="H194" s="13">
        <v>70</v>
      </c>
      <c r="I194" s="13" t="s">
        <v>28</v>
      </c>
      <c r="J194" s="13">
        <v>57</v>
      </c>
      <c r="K194" s="13" t="s">
        <v>28</v>
      </c>
      <c r="L194" s="13">
        <v>57.5</v>
      </c>
      <c r="M194" s="13" t="s">
        <v>28</v>
      </c>
      <c r="N194" s="13">
        <v>55</v>
      </c>
      <c r="O194" s="13" t="s">
        <v>28</v>
      </c>
      <c r="P194" s="13">
        <v>62.5</v>
      </c>
      <c r="Q194" s="13" t="s">
        <v>28</v>
      </c>
      <c r="R194" s="13">
        <v>51</v>
      </c>
      <c r="S194" s="13" t="s">
        <v>28</v>
      </c>
      <c r="T194" s="13">
        <v>62.5</v>
      </c>
      <c r="U194" s="13" t="s">
        <v>28</v>
      </c>
    </row>
    <row r="195" spans="1:21" s="4" customFormat="1" x14ac:dyDescent="0.3">
      <c r="A195" s="3" t="s">
        <v>23</v>
      </c>
      <c r="B195" s="4" t="s">
        <v>24</v>
      </c>
      <c r="C195" s="4" t="s">
        <v>60</v>
      </c>
      <c r="D195" s="4">
        <v>2</v>
      </c>
      <c r="E195" s="4">
        <v>48</v>
      </c>
      <c r="F195" s="5">
        <v>46059</v>
      </c>
      <c r="H195" s="4">
        <v>75</v>
      </c>
      <c r="I195" s="4" t="s">
        <v>28</v>
      </c>
      <c r="J195" s="4" t="e">
        <v>#DIV/0!</v>
      </c>
      <c r="K195" s="4" t="s">
        <v>28</v>
      </c>
      <c r="L195" s="4" t="s">
        <v>69</v>
      </c>
      <c r="M195" s="4" t="s">
        <v>28</v>
      </c>
      <c r="N195" s="4" t="s">
        <v>70</v>
      </c>
      <c r="O195" s="4" t="s">
        <v>28</v>
      </c>
      <c r="P195" s="4" t="s">
        <v>71</v>
      </c>
      <c r="Q195" s="4" t="s">
        <v>28</v>
      </c>
      <c r="R195" s="4" t="s">
        <v>69</v>
      </c>
      <c r="S195" s="4" t="s">
        <v>28</v>
      </c>
      <c r="T195" s="4">
        <v>0</v>
      </c>
      <c r="U195" s="4" t="s">
        <v>28</v>
      </c>
    </row>
    <row r="196" spans="1:21" s="13" customFormat="1" ht="15" thickBot="1" x14ac:dyDescent="0.35">
      <c r="A196" s="12" t="s">
        <v>23</v>
      </c>
      <c r="B196" s="13" t="s">
        <v>24</v>
      </c>
      <c r="C196" s="13" t="s">
        <v>60</v>
      </c>
      <c r="D196" s="13">
        <v>2</v>
      </c>
      <c r="E196" s="13">
        <v>48</v>
      </c>
      <c r="F196" s="14">
        <v>46059</v>
      </c>
      <c r="G196" s="13">
        <v>100</v>
      </c>
      <c r="H196" s="13">
        <v>25</v>
      </c>
      <c r="I196" s="13" t="s">
        <v>29</v>
      </c>
      <c r="J196" s="13" t="s">
        <v>30</v>
      </c>
      <c r="T196" s="13">
        <v>0</v>
      </c>
    </row>
    <row r="197" spans="1:21" x14ac:dyDescent="0.3">
      <c r="A197" t="s">
        <v>72</v>
      </c>
      <c r="B197" t="s">
        <v>73</v>
      </c>
      <c r="C197" t="s">
        <v>25</v>
      </c>
      <c r="D197">
        <v>1</v>
      </c>
      <c r="E197">
        <v>0.5</v>
      </c>
    </row>
    <row r="198" spans="1:21" x14ac:dyDescent="0.3">
      <c r="A198" t="s">
        <v>72</v>
      </c>
      <c r="B198" t="s">
        <v>73</v>
      </c>
      <c r="C198" t="s">
        <v>25</v>
      </c>
      <c r="D198">
        <v>1</v>
      </c>
      <c r="E198">
        <v>0.5</v>
      </c>
    </row>
    <row r="199" spans="1:21" x14ac:dyDescent="0.3">
      <c r="A199" t="s">
        <v>72</v>
      </c>
      <c r="B199" t="s">
        <v>73</v>
      </c>
      <c r="C199" t="s">
        <v>25</v>
      </c>
      <c r="D199">
        <v>1</v>
      </c>
      <c r="E199">
        <v>0.5</v>
      </c>
    </row>
    <row r="200" spans="1:21" x14ac:dyDescent="0.3">
      <c r="A200" t="s">
        <v>72</v>
      </c>
      <c r="B200" t="s">
        <v>73</v>
      </c>
      <c r="C200" t="s">
        <v>25</v>
      </c>
      <c r="D200">
        <v>1</v>
      </c>
      <c r="E200">
        <v>2</v>
      </c>
    </row>
    <row r="201" spans="1:21" x14ac:dyDescent="0.3">
      <c r="A201" t="s">
        <v>72</v>
      </c>
      <c r="B201" t="s">
        <v>73</v>
      </c>
      <c r="C201" t="s">
        <v>25</v>
      </c>
      <c r="D201">
        <v>1</v>
      </c>
      <c r="E201">
        <v>2</v>
      </c>
    </row>
    <row r="202" spans="1:21" x14ac:dyDescent="0.3">
      <c r="A202" t="s">
        <v>72</v>
      </c>
      <c r="B202" t="s">
        <v>73</v>
      </c>
      <c r="C202" t="s">
        <v>25</v>
      </c>
      <c r="D202">
        <v>1</v>
      </c>
      <c r="E202">
        <v>2</v>
      </c>
    </row>
    <row r="203" spans="1:21" x14ac:dyDescent="0.3">
      <c r="A203" t="s">
        <v>72</v>
      </c>
      <c r="B203" t="s">
        <v>73</v>
      </c>
      <c r="C203" t="s">
        <v>25</v>
      </c>
      <c r="D203">
        <v>1</v>
      </c>
      <c r="E203">
        <v>6</v>
      </c>
    </row>
    <row r="204" spans="1:21" x14ac:dyDescent="0.3">
      <c r="A204" t="s">
        <v>72</v>
      </c>
      <c r="B204" t="s">
        <v>73</v>
      </c>
      <c r="C204" t="s">
        <v>25</v>
      </c>
      <c r="D204">
        <v>1</v>
      </c>
      <c r="E204">
        <v>6</v>
      </c>
    </row>
    <row r="205" spans="1:21" x14ac:dyDescent="0.3">
      <c r="A205" t="s">
        <v>72</v>
      </c>
      <c r="B205" t="s">
        <v>73</v>
      </c>
      <c r="C205" t="s">
        <v>25</v>
      </c>
      <c r="D205">
        <v>1</v>
      </c>
      <c r="E205">
        <v>6</v>
      </c>
    </row>
    <row r="206" spans="1:21" x14ac:dyDescent="0.3">
      <c r="A206" t="s">
        <v>72</v>
      </c>
      <c r="B206" t="s">
        <v>73</v>
      </c>
      <c r="C206" t="s">
        <v>25</v>
      </c>
      <c r="D206">
        <v>1</v>
      </c>
      <c r="E206">
        <v>12</v>
      </c>
    </row>
    <row r="207" spans="1:21" x14ac:dyDescent="0.3">
      <c r="A207" t="s">
        <v>72</v>
      </c>
      <c r="B207" t="s">
        <v>73</v>
      </c>
      <c r="C207" t="s">
        <v>25</v>
      </c>
      <c r="D207">
        <v>1</v>
      </c>
      <c r="E207">
        <v>12</v>
      </c>
    </row>
    <row r="208" spans="1:21" x14ac:dyDescent="0.3">
      <c r="A208" t="s">
        <v>72</v>
      </c>
      <c r="B208" t="s">
        <v>73</v>
      </c>
      <c r="C208" t="s">
        <v>25</v>
      </c>
      <c r="D208">
        <v>1</v>
      </c>
      <c r="E208">
        <v>18</v>
      </c>
    </row>
    <row r="209" spans="1:5" x14ac:dyDescent="0.3">
      <c r="A209" t="s">
        <v>72</v>
      </c>
      <c r="B209" t="s">
        <v>73</v>
      </c>
      <c r="C209" t="s">
        <v>25</v>
      </c>
      <c r="D209">
        <v>1</v>
      </c>
      <c r="E209">
        <v>18</v>
      </c>
    </row>
    <row r="210" spans="1:5" x14ac:dyDescent="0.3">
      <c r="A210" t="s">
        <v>72</v>
      </c>
      <c r="B210" t="s">
        <v>73</v>
      </c>
      <c r="C210" t="s">
        <v>25</v>
      </c>
      <c r="D210">
        <v>1</v>
      </c>
      <c r="E210">
        <v>18</v>
      </c>
    </row>
    <row r="211" spans="1:5" x14ac:dyDescent="0.3">
      <c r="A211" t="s">
        <v>72</v>
      </c>
      <c r="B211" t="s">
        <v>73</v>
      </c>
      <c r="C211" t="s">
        <v>25</v>
      </c>
      <c r="D211">
        <v>1</v>
      </c>
      <c r="E211">
        <v>18</v>
      </c>
    </row>
    <row r="212" spans="1:5" x14ac:dyDescent="0.3">
      <c r="A212" t="s">
        <v>72</v>
      </c>
      <c r="B212" t="s">
        <v>73</v>
      </c>
      <c r="C212" t="s">
        <v>25</v>
      </c>
      <c r="D212">
        <v>1</v>
      </c>
      <c r="E212">
        <v>18</v>
      </c>
    </row>
    <row r="213" spans="1:5" x14ac:dyDescent="0.3">
      <c r="A213" t="s">
        <v>72</v>
      </c>
      <c r="B213" t="s">
        <v>73</v>
      </c>
      <c r="C213" t="s">
        <v>25</v>
      </c>
      <c r="D213">
        <v>1</v>
      </c>
      <c r="E213">
        <v>18</v>
      </c>
    </row>
    <row r="214" spans="1:5" x14ac:dyDescent="0.3">
      <c r="A214" t="s">
        <v>72</v>
      </c>
      <c r="B214" t="s">
        <v>73</v>
      </c>
      <c r="C214" t="s">
        <v>25</v>
      </c>
      <c r="D214">
        <v>1</v>
      </c>
      <c r="E214">
        <v>24</v>
      </c>
    </row>
    <row r="215" spans="1:5" x14ac:dyDescent="0.3">
      <c r="A215" t="s">
        <v>72</v>
      </c>
      <c r="B215" t="s">
        <v>73</v>
      </c>
      <c r="C215" t="s">
        <v>25</v>
      </c>
      <c r="D215">
        <v>1</v>
      </c>
      <c r="E215">
        <v>24</v>
      </c>
    </row>
    <row r="216" spans="1:5" x14ac:dyDescent="0.3">
      <c r="A216" t="s">
        <v>72</v>
      </c>
      <c r="B216" t="s">
        <v>73</v>
      </c>
      <c r="C216" t="s">
        <v>25</v>
      </c>
      <c r="D216">
        <v>1</v>
      </c>
      <c r="E216">
        <v>24</v>
      </c>
    </row>
    <row r="217" spans="1:5" x14ac:dyDescent="0.3">
      <c r="A217" t="s">
        <v>72</v>
      </c>
      <c r="B217" t="s">
        <v>73</v>
      </c>
      <c r="C217" t="s">
        <v>25</v>
      </c>
      <c r="D217">
        <v>1</v>
      </c>
      <c r="E217">
        <v>24</v>
      </c>
    </row>
    <row r="218" spans="1:5" x14ac:dyDescent="0.3">
      <c r="A218" t="s">
        <v>72</v>
      </c>
      <c r="B218" t="s">
        <v>73</v>
      </c>
      <c r="C218" t="s">
        <v>25</v>
      </c>
      <c r="D218">
        <v>1</v>
      </c>
      <c r="E218">
        <v>24</v>
      </c>
    </row>
    <row r="219" spans="1:5" x14ac:dyDescent="0.3">
      <c r="A219" t="s">
        <v>72</v>
      </c>
      <c r="B219" t="s">
        <v>73</v>
      </c>
      <c r="C219" t="s">
        <v>25</v>
      </c>
      <c r="D219">
        <v>1</v>
      </c>
      <c r="E219">
        <v>24</v>
      </c>
    </row>
    <row r="220" spans="1:5" x14ac:dyDescent="0.3">
      <c r="A220" t="s">
        <v>72</v>
      </c>
      <c r="B220" t="s">
        <v>73</v>
      </c>
      <c r="C220" t="s">
        <v>25</v>
      </c>
      <c r="D220">
        <v>1</v>
      </c>
      <c r="E220">
        <v>48</v>
      </c>
    </row>
    <row r="221" spans="1:5" x14ac:dyDescent="0.3">
      <c r="A221" t="s">
        <v>72</v>
      </c>
      <c r="B221" t="s">
        <v>73</v>
      </c>
      <c r="C221" t="s">
        <v>25</v>
      </c>
      <c r="D221">
        <v>1</v>
      </c>
      <c r="E221">
        <v>48</v>
      </c>
    </row>
    <row r="222" spans="1:5" x14ac:dyDescent="0.3">
      <c r="A222" t="s">
        <v>72</v>
      </c>
      <c r="B222" t="s">
        <v>73</v>
      </c>
      <c r="C222" t="s">
        <v>25</v>
      </c>
      <c r="D222">
        <v>1</v>
      </c>
      <c r="E222">
        <v>48</v>
      </c>
    </row>
    <row r="223" spans="1:5" x14ac:dyDescent="0.3">
      <c r="A223" t="s">
        <v>72</v>
      </c>
      <c r="B223" t="s">
        <v>73</v>
      </c>
      <c r="C223" t="s">
        <v>25</v>
      </c>
      <c r="D223">
        <v>1</v>
      </c>
      <c r="E223">
        <v>48</v>
      </c>
    </row>
    <row r="224" spans="1:5" x14ac:dyDescent="0.3">
      <c r="A224" t="s">
        <v>72</v>
      </c>
      <c r="B224" t="s">
        <v>73</v>
      </c>
      <c r="C224" t="s">
        <v>25</v>
      </c>
      <c r="D224">
        <v>2</v>
      </c>
      <c r="E224">
        <v>0.5</v>
      </c>
    </row>
    <row r="225" spans="1:5" x14ac:dyDescent="0.3">
      <c r="A225" t="s">
        <v>72</v>
      </c>
      <c r="B225" t="s">
        <v>73</v>
      </c>
      <c r="C225" t="s">
        <v>25</v>
      </c>
      <c r="D225">
        <v>2</v>
      </c>
      <c r="E225">
        <v>0.5</v>
      </c>
    </row>
    <row r="226" spans="1:5" x14ac:dyDescent="0.3">
      <c r="A226" t="s">
        <v>72</v>
      </c>
      <c r="B226" t="s">
        <v>73</v>
      </c>
      <c r="C226" t="s">
        <v>25</v>
      </c>
      <c r="D226">
        <v>2</v>
      </c>
      <c r="E226">
        <v>0.5</v>
      </c>
    </row>
    <row r="227" spans="1:5" x14ac:dyDescent="0.3">
      <c r="A227" t="s">
        <v>72</v>
      </c>
      <c r="B227" t="s">
        <v>73</v>
      </c>
      <c r="C227" t="s">
        <v>25</v>
      </c>
      <c r="D227">
        <v>2</v>
      </c>
      <c r="E227">
        <v>0.5</v>
      </c>
    </row>
    <row r="228" spans="1:5" x14ac:dyDescent="0.3">
      <c r="A228" t="s">
        <v>72</v>
      </c>
      <c r="B228" t="s">
        <v>73</v>
      </c>
      <c r="C228" t="s">
        <v>25</v>
      </c>
      <c r="D228">
        <v>2</v>
      </c>
      <c r="E228">
        <v>0.5</v>
      </c>
    </row>
    <row r="229" spans="1:5" x14ac:dyDescent="0.3">
      <c r="A229" t="s">
        <v>72</v>
      </c>
      <c r="B229" t="s">
        <v>73</v>
      </c>
      <c r="C229" t="s">
        <v>25</v>
      </c>
      <c r="D229">
        <v>2</v>
      </c>
      <c r="E229">
        <v>2</v>
      </c>
    </row>
    <row r="230" spans="1:5" x14ac:dyDescent="0.3">
      <c r="A230" t="s">
        <v>72</v>
      </c>
      <c r="B230" t="s">
        <v>73</v>
      </c>
      <c r="C230" t="s">
        <v>25</v>
      </c>
      <c r="D230">
        <v>2</v>
      </c>
      <c r="E230">
        <v>2</v>
      </c>
    </row>
    <row r="231" spans="1:5" x14ac:dyDescent="0.3">
      <c r="A231" t="s">
        <v>72</v>
      </c>
      <c r="B231" t="s">
        <v>73</v>
      </c>
      <c r="C231" t="s">
        <v>25</v>
      </c>
      <c r="D231">
        <v>2</v>
      </c>
      <c r="E231">
        <v>2</v>
      </c>
    </row>
    <row r="232" spans="1:5" x14ac:dyDescent="0.3">
      <c r="A232" t="s">
        <v>72</v>
      </c>
      <c r="B232" t="s">
        <v>73</v>
      </c>
      <c r="C232" t="s">
        <v>25</v>
      </c>
      <c r="D232">
        <v>2</v>
      </c>
      <c r="E232">
        <v>2</v>
      </c>
    </row>
    <row r="233" spans="1:5" x14ac:dyDescent="0.3">
      <c r="A233" t="s">
        <v>72</v>
      </c>
      <c r="B233" t="s">
        <v>73</v>
      </c>
      <c r="C233" t="s">
        <v>25</v>
      </c>
      <c r="D233">
        <v>2</v>
      </c>
      <c r="E233">
        <v>6</v>
      </c>
    </row>
    <row r="234" spans="1:5" x14ac:dyDescent="0.3">
      <c r="A234" t="s">
        <v>72</v>
      </c>
      <c r="B234" t="s">
        <v>73</v>
      </c>
      <c r="C234" t="s">
        <v>25</v>
      </c>
      <c r="D234">
        <v>2</v>
      </c>
      <c r="E234">
        <v>6</v>
      </c>
    </row>
    <row r="235" spans="1:5" x14ac:dyDescent="0.3">
      <c r="A235" t="s">
        <v>72</v>
      </c>
      <c r="B235" t="s">
        <v>73</v>
      </c>
      <c r="C235" t="s">
        <v>25</v>
      </c>
      <c r="D235">
        <v>2</v>
      </c>
      <c r="E235">
        <v>6</v>
      </c>
    </row>
    <row r="236" spans="1:5" x14ac:dyDescent="0.3">
      <c r="A236" t="s">
        <v>72</v>
      </c>
      <c r="B236" t="s">
        <v>73</v>
      </c>
      <c r="C236" t="s">
        <v>25</v>
      </c>
      <c r="D236">
        <v>2</v>
      </c>
      <c r="E236">
        <v>6</v>
      </c>
    </row>
    <row r="237" spans="1:5" x14ac:dyDescent="0.3">
      <c r="A237" t="s">
        <v>72</v>
      </c>
      <c r="B237" t="s">
        <v>73</v>
      </c>
      <c r="C237" t="s">
        <v>25</v>
      </c>
      <c r="D237">
        <v>2</v>
      </c>
      <c r="E237">
        <v>12</v>
      </c>
    </row>
    <row r="238" spans="1:5" x14ac:dyDescent="0.3">
      <c r="A238" t="s">
        <v>72</v>
      </c>
      <c r="B238" t="s">
        <v>73</v>
      </c>
      <c r="C238" t="s">
        <v>25</v>
      </c>
      <c r="D238">
        <v>2</v>
      </c>
      <c r="E238">
        <v>12</v>
      </c>
    </row>
    <row r="239" spans="1:5" x14ac:dyDescent="0.3">
      <c r="A239" t="s">
        <v>72</v>
      </c>
      <c r="B239" t="s">
        <v>73</v>
      </c>
      <c r="C239" t="s">
        <v>25</v>
      </c>
      <c r="D239">
        <v>2</v>
      </c>
      <c r="E239">
        <v>12</v>
      </c>
    </row>
    <row r="240" spans="1:5" x14ac:dyDescent="0.3">
      <c r="A240" t="s">
        <v>72</v>
      </c>
      <c r="B240" t="s">
        <v>73</v>
      </c>
      <c r="C240" t="s">
        <v>25</v>
      </c>
      <c r="D240">
        <v>2</v>
      </c>
      <c r="E240">
        <v>12</v>
      </c>
    </row>
    <row r="241" spans="1:5" x14ac:dyDescent="0.3">
      <c r="A241" t="s">
        <v>72</v>
      </c>
      <c r="B241" t="s">
        <v>73</v>
      </c>
      <c r="C241" t="s">
        <v>25</v>
      </c>
      <c r="D241">
        <v>2</v>
      </c>
      <c r="E241">
        <v>18</v>
      </c>
    </row>
    <row r="242" spans="1:5" x14ac:dyDescent="0.3">
      <c r="A242" t="s">
        <v>72</v>
      </c>
      <c r="B242" t="s">
        <v>73</v>
      </c>
      <c r="C242" t="s">
        <v>25</v>
      </c>
      <c r="D242">
        <v>2</v>
      </c>
      <c r="E242">
        <v>18</v>
      </c>
    </row>
    <row r="243" spans="1:5" x14ac:dyDescent="0.3">
      <c r="A243" t="s">
        <v>72</v>
      </c>
      <c r="B243" t="s">
        <v>73</v>
      </c>
      <c r="C243" t="s">
        <v>25</v>
      </c>
      <c r="D243">
        <v>2</v>
      </c>
      <c r="E243">
        <v>18</v>
      </c>
    </row>
    <row r="244" spans="1:5" x14ac:dyDescent="0.3">
      <c r="A244" t="s">
        <v>72</v>
      </c>
      <c r="B244" t="s">
        <v>73</v>
      </c>
      <c r="C244" t="s">
        <v>25</v>
      </c>
      <c r="D244">
        <v>2</v>
      </c>
      <c r="E244">
        <v>18</v>
      </c>
    </row>
    <row r="245" spans="1:5" x14ac:dyDescent="0.3">
      <c r="A245" t="s">
        <v>72</v>
      </c>
      <c r="B245" t="s">
        <v>73</v>
      </c>
      <c r="C245" t="s">
        <v>25</v>
      </c>
      <c r="D245">
        <v>2</v>
      </c>
      <c r="E245">
        <v>18</v>
      </c>
    </row>
    <row r="246" spans="1:5" x14ac:dyDescent="0.3">
      <c r="A246" t="s">
        <v>72</v>
      </c>
      <c r="B246" t="s">
        <v>73</v>
      </c>
      <c r="C246" t="s">
        <v>25</v>
      </c>
      <c r="D246">
        <v>2</v>
      </c>
      <c r="E246">
        <v>24</v>
      </c>
    </row>
    <row r="247" spans="1:5" x14ac:dyDescent="0.3">
      <c r="A247" t="s">
        <v>72</v>
      </c>
      <c r="B247" t="s">
        <v>73</v>
      </c>
      <c r="C247" t="s">
        <v>25</v>
      </c>
      <c r="D247">
        <v>2</v>
      </c>
      <c r="E247">
        <v>24</v>
      </c>
    </row>
    <row r="248" spans="1:5" x14ac:dyDescent="0.3">
      <c r="A248" t="s">
        <v>72</v>
      </c>
      <c r="B248" t="s">
        <v>73</v>
      </c>
      <c r="C248" t="s">
        <v>25</v>
      </c>
      <c r="D248">
        <v>2</v>
      </c>
      <c r="E248">
        <v>24</v>
      </c>
    </row>
    <row r="249" spans="1:5" x14ac:dyDescent="0.3">
      <c r="A249" t="s">
        <v>72</v>
      </c>
      <c r="B249" t="s">
        <v>73</v>
      </c>
      <c r="C249" t="s">
        <v>25</v>
      </c>
      <c r="D249">
        <v>2</v>
      </c>
      <c r="E249">
        <v>24</v>
      </c>
    </row>
    <row r="250" spans="1:5" x14ac:dyDescent="0.3">
      <c r="A250" t="s">
        <v>72</v>
      </c>
      <c r="B250" t="s">
        <v>73</v>
      </c>
      <c r="C250" t="s">
        <v>25</v>
      </c>
      <c r="D250">
        <v>2</v>
      </c>
      <c r="E250">
        <v>48</v>
      </c>
    </row>
    <row r="251" spans="1:5" x14ac:dyDescent="0.3">
      <c r="A251" t="s">
        <v>72</v>
      </c>
      <c r="B251" t="s">
        <v>73</v>
      </c>
      <c r="C251" t="s">
        <v>25</v>
      </c>
      <c r="D251">
        <v>2</v>
      </c>
      <c r="E251">
        <v>48</v>
      </c>
    </row>
    <row r="252" spans="1:5" x14ac:dyDescent="0.3">
      <c r="A252" t="s">
        <v>72</v>
      </c>
      <c r="B252" t="s">
        <v>73</v>
      </c>
      <c r="C252" t="s">
        <v>25</v>
      </c>
      <c r="D252">
        <v>2</v>
      </c>
      <c r="E252">
        <v>48</v>
      </c>
    </row>
    <row r="253" spans="1:5" x14ac:dyDescent="0.3">
      <c r="A253" t="s">
        <v>72</v>
      </c>
      <c r="B253" t="s">
        <v>73</v>
      </c>
      <c r="C253" t="s">
        <v>25</v>
      </c>
      <c r="D253">
        <v>2</v>
      </c>
      <c r="E253">
        <v>48</v>
      </c>
    </row>
    <row r="254" spans="1:5" x14ac:dyDescent="0.3">
      <c r="A254" t="s">
        <v>72</v>
      </c>
      <c r="B254" t="s">
        <v>73</v>
      </c>
      <c r="C254" t="s">
        <v>41</v>
      </c>
      <c r="D254">
        <v>1</v>
      </c>
      <c r="E254">
        <v>0.5</v>
      </c>
    </row>
    <row r="255" spans="1:5" x14ac:dyDescent="0.3">
      <c r="A255" t="s">
        <v>72</v>
      </c>
      <c r="B255" t="s">
        <v>73</v>
      </c>
      <c r="C255" t="s">
        <v>41</v>
      </c>
      <c r="D255">
        <v>1</v>
      </c>
      <c r="E255">
        <v>0.5</v>
      </c>
    </row>
    <row r="256" spans="1:5" x14ac:dyDescent="0.3">
      <c r="A256" t="s">
        <v>72</v>
      </c>
      <c r="B256" t="s">
        <v>73</v>
      </c>
      <c r="C256" t="s">
        <v>41</v>
      </c>
      <c r="D256">
        <v>1</v>
      </c>
      <c r="E256">
        <v>0.5</v>
      </c>
    </row>
    <row r="257" spans="1:5" x14ac:dyDescent="0.3">
      <c r="A257" t="s">
        <v>72</v>
      </c>
      <c r="B257" t="s">
        <v>73</v>
      </c>
      <c r="C257" t="s">
        <v>41</v>
      </c>
      <c r="D257">
        <v>1</v>
      </c>
      <c r="E257">
        <v>0.5</v>
      </c>
    </row>
    <row r="258" spans="1:5" x14ac:dyDescent="0.3">
      <c r="A258" t="s">
        <v>72</v>
      </c>
      <c r="B258" t="s">
        <v>73</v>
      </c>
      <c r="C258" t="s">
        <v>41</v>
      </c>
      <c r="D258">
        <v>1</v>
      </c>
      <c r="E258">
        <v>2</v>
      </c>
    </row>
    <row r="259" spans="1:5" x14ac:dyDescent="0.3">
      <c r="A259" t="s">
        <v>72</v>
      </c>
      <c r="B259" t="s">
        <v>73</v>
      </c>
      <c r="C259" t="s">
        <v>41</v>
      </c>
      <c r="D259">
        <v>1</v>
      </c>
      <c r="E259">
        <v>2</v>
      </c>
    </row>
    <row r="260" spans="1:5" x14ac:dyDescent="0.3">
      <c r="A260" t="s">
        <v>72</v>
      </c>
      <c r="B260" t="s">
        <v>73</v>
      </c>
      <c r="C260" t="s">
        <v>41</v>
      </c>
      <c r="D260">
        <v>1</v>
      </c>
      <c r="E260">
        <v>2</v>
      </c>
    </row>
    <row r="261" spans="1:5" x14ac:dyDescent="0.3">
      <c r="A261" t="s">
        <v>72</v>
      </c>
      <c r="B261" t="s">
        <v>73</v>
      </c>
      <c r="C261" t="s">
        <v>41</v>
      </c>
      <c r="D261">
        <v>1</v>
      </c>
      <c r="E261">
        <v>6</v>
      </c>
    </row>
    <row r="262" spans="1:5" x14ac:dyDescent="0.3">
      <c r="A262" t="s">
        <v>72</v>
      </c>
      <c r="B262" t="s">
        <v>73</v>
      </c>
      <c r="C262" t="s">
        <v>41</v>
      </c>
      <c r="D262">
        <v>1</v>
      </c>
      <c r="E262">
        <v>6</v>
      </c>
    </row>
    <row r="263" spans="1:5" x14ac:dyDescent="0.3">
      <c r="A263" t="s">
        <v>72</v>
      </c>
      <c r="B263" t="s">
        <v>73</v>
      </c>
      <c r="C263" t="s">
        <v>41</v>
      </c>
      <c r="D263">
        <v>1</v>
      </c>
      <c r="E263">
        <v>6</v>
      </c>
    </row>
    <row r="264" spans="1:5" x14ac:dyDescent="0.3">
      <c r="A264" t="s">
        <v>72</v>
      </c>
      <c r="B264" t="s">
        <v>73</v>
      </c>
      <c r="C264" t="s">
        <v>41</v>
      </c>
      <c r="D264">
        <v>1</v>
      </c>
      <c r="E264">
        <v>12</v>
      </c>
    </row>
    <row r="265" spans="1:5" x14ac:dyDescent="0.3">
      <c r="A265" t="s">
        <v>72</v>
      </c>
      <c r="B265" t="s">
        <v>73</v>
      </c>
      <c r="C265" t="s">
        <v>41</v>
      </c>
      <c r="D265">
        <v>1</v>
      </c>
      <c r="E265">
        <v>12</v>
      </c>
    </row>
    <row r="266" spans="1:5" x14ac:dyDescent="0.3">
      <c r="A266" t="s">
        <v>72</v>
      </c>
      <c r="B266" t="s">
        <v>73</v>
      </c>
      <c r="C266" t="s">
        <v>41</v>
      </c>
      <c r="D266">
        <v>1</v>
      </c>
      <c r="E266">
        <v>18</v>
      </c>
    </row>
    <row r="267" spans="1:5" x14ac:dyDescent="0.3">
      <c r="A267" t="s">
        <v>72</v>
      </c>
      <c r="B267" t="s">
        <v>73</v>
      </c>
      <c r="C267" t="s">
        <v>41</v>
      </c>
      <c r="D267">
        <v>1</v>
      </c>
      <c r="E267">
        <v>18</v>
      </c>
    </row>
    <row r="268" spans="1:5" x14ac:dyDescent="0.3">
      <c r="A268" t="s">
        <v>72</v>
      </c>
      <c r="B268" t="s">
        <v>73</v>
      </c>
      <c r="C268" t="s">
        <v>41</v>
      </c>
      <c r="D268">
        <v>1</v>
      </c>
      <c r="E268">
        <v>24</v>
      </c>
    </row>
    <row r="269" spans="1:5" x14ac:dyDescent="0.3">
      <c r="A269" t="s">
        <v>72</v>
      </c>
      <c r="B269" t="s">
        <v>73</v>
      </c>
      <c r="C269" t="s">
        <v>41</v>
      </c>
      <c r="D269">
        <v>1</v>
      </c>
      <c r="E269">
        <v>24</v>
      </c>
    </row>
    <row r="270" spans="1:5" x14ac:dyDescent="0.3">
      <c r="A270" t="s">
        <v>72</v>
      </c>
      <c r="B270" t="s">
        <v>73</v>
      </c>
      <c r="C270" t="s">
        <v>41</v>
      </c>
      <c r="D270">
        <v>1</v>
      </c>
      <c r="E270">
        <v>24</v>
      </c>
    </row>
    <row r="271" spans="1:5" x14ac:dyDescent="0.3">
      <c r="A271" t="s">
        <v>72</v>
      </c>
      <c r="B271" t="s">
        <v>73</v>
      </c>
      <c r="C271" t="s">
        <v>41</v>
      </c>
      <c r="D271">
        <v>1</v>
      </c>
      <c r="E271">
        <v>48</v>
      </c>
    </row>
    <row r="272" spans="1:5" x14ac:dyDescent="0.3">
      <c r="A272" t="s">
        <v>72</v>
      </c>
      <c r="B272" t="s">
        <v>73</v>
      </c>
      <c r="C272" t="s">
        <v>41</v>
      </c>
      <c r="D272">
        <v>1</v>
      </c>
      <c r="E272">
        <v>48</v>
      </c>
    </row>
    <row r="273" spans="1:5" x14ac:dyDescent="0.3">
      <c r="A273" t="s">
        <v>72</v>
      </c>
      <c r="B273" t="s">
        <v>73</v>
      </c>
      <c r="C273" t="s">
        <v>41</v>
      </c>
      <c r="D273">
        <v>1</v>
      </c>
      <c r="E273">
        <v>48</v>
      </c>
    </row>
    <row r="274" spans="1:5" x14ac:dyDescent="0.3">
      <c r="A274" t="s">
        <v>72</v>
      </c>
      <c r="B274" t="s">
        <v>73</v>
      </c>
      <c r="C274" t="s">
        <v>41</v>
      </c>
      <c r="D274">
        <v>1</v>
      </c>
      <c r="E274">
        <v>48</v>
      </c>
    </row>
    <row r="275" spans="1:5" x14ac:dyDescent="0.3">
      <c r="A275" t="s">
        <v>72</v>
      </c>
      <c r="B275" t="s">
        <v>73</v>
      </c>
      <c r="C275" t="s">
        <v>41</v>
      </c>
      <c r="D275">
        <v>1</v>
      </c>
      <c r="E275">
        <v>48</v>
      </c>
    </row>
    <row r="276" spans="1:5" x14ac:dyDescent="0.3">
      <c r="A276" t="s">
        <v>72</v>
      </c>
      <c r="B276" t="s">
        <v>73</v>
      </c>
      <c r="C276" t="s">
        <v>41</v>
      </c>
      <c r="D276">
        <v>2</v>
      </c>
      <c r="E276">
        <v>0.5</v>
      </c>
    </row>
    <row r="277" spans="1:5" x14ac:dyDescent="0.3">
      <c r="A277" t="s">
        <v>72</v>
      </c>
      <c r="B277" t="s">
        <v>73</v>
      </c>
      <c r="C277" t="s">
        <v>41</v>
      </c>
      <c r="D277">
        <v>2</v>
      </c>
      <c r="E277">
        <v>0.5</v>
      </c>
    </row>
    <row r="278" spans="1:5" x14ac:dyDescent="0.3">
      <c r="A278" t="s">
        <v>72</v>
      </c>
      <c r="B278" t="s">
        <v>73</v>
      </c>
      <c r="C278" t="s">
        <v>41</v>
      </c>
      <c r="D278">
        <v>2</v>
      </c>
      <c r="E278">
        <v>0.5</v>
      </c>
    </row>
    <row r="279" spans="1:5" x14ac:dyDescent="0.3">
      <c r="A279" t="s">
        <v>72</v>
      </c>
      <c r="B279" t="s">
        <v>73</v>
      </c>
      <c r="C279" t="s">
        <v>41</v>
      </c>
      <c r="D279">
        <v>2</v>
      </c>
      <c r="E279">
        <v>2</v>
      </c>
    </row>
    <row r="280" spans="1:5" x14ac:dyDescent="0.3">
      <c r="A280" t="s">
        <v>72</v>
      </c>
      <c r="B280" t="s">
        <v>73</v>
      </c>
      <c r="C280" t="s">
        <v>41</v>
      </c>
      <c r="D280">
        <v>2</v>
      </c>
      <c r="E280">
        <v>2</v>
      </c>
    </row>
    <row r="281" spans="1:5" x14ac:dyDescent="0.3">
      <c r="A281" t="s">
        <v>72</v>
      </c>
      <c r="B281" t="s">
        <v>73</v>
      </c>
      <c r="C281" t="s">
        <v>41</v>
      </c>
      <c r="D281">
        <v>2</v>
      </c>
      <c r="E281">
        <v>2</v>
      </c>
    </row>
    <row r="282" spans="1:5" x14ac:dyDescent="0.3">
      <c r="A282" t="s">
        <v>72</v>
      </c>
      <c r="B282" t="s">
        <v>73</v>
      </c>
      <c r="C282" t="s">
        <v>41</v>
      </c>
      <c r="D282">
        <v>2</v>
      </c>
      <c r="E282">
        <v>6</v>
      </c>
    </row>
    <row r="283" spans="1:5" x14ac:dyDescent="0.3">
      <c r="A283" t="s">
        <v>72</v>
      </c>
      <c r="B283" t="s">
        <v>73</v>
      </c>
      <c r="C283" t="s">
        <v>41</v>
      </c>
      <c r="D283">
        <v>2</v>
      </c>
      <c r="E283">
        <v>6</v>
      </c>
    </row>
    <row r="284" spans="1:5" x14ac:dyDescent="0.3">
      <c r="A284" t="s">
        <v>72</v>
      </c>
      <c r="B284" t="s">
        <v>73</v>
      </c>
      <c r="C284" t="s">
        <v>41</v>
      </c>
      <c r="D284">
        <v>2</v>
      </c>
      <c r="E284">
        <v>6</v>
      </c>
    </row>
    <row r="285" spans="1:5" x14ac:dyDescent="0.3">
      <c r="A285" t="s">
        <v>72</v>
      </c>
      <c r="B285" t="s">
        <v>73</v>
      </c>
      <c r="C285" t="s">
        <v>41</v>
      </c>
      <c r="D285">
        <v>2</v>
      </c>
      <c r="E285">
        <v>6</v>
      </c>
    </row>
    <row r="286" spans="1:5" x14ac:dyDescent="0.3">
      <c r="A286" t="s">
        <v>72</v>
      </c>
      <c r="B286" t="s">
        <v>73</v>
      </c>
      <c r="C286" t="s">
        <v>41</v>
      </c>
      <c r="D286">
        <v>2</v>
      </c>
      <c r="E286">
        <v>12</v>
      </c>
    </row>
    <row r="287" spans="1:5" x14ac:dyDescent="0.3">
      <c r="A287" t="s">
        <v>72</v>
      </c>
      <c r="B287" t="s">
        <v>73</v>
      </c>
      <c r="C287" t="s">
        <v>41</v>
      </c>
      <c r="D287">
        <v>2</v>
      </c>
      <c r="E287">
        <v>12</v>
      </c>
    </row>
    <row r="288" spans="1:5" x14ac:dyDescent="0.3">
      <c r="A288" t="s">
        <v>72</v>
      </c>
      <c r="B288" t="s">
        <v>73</v>
      </c>
      <c r="C288" t="s">
        <v>41</v>
      </c>
      <c r="D288">
        <v>2</v>
      </c>
      <c r="E288">
        <v>18</v>
      </c>
    </row>
    <row r="289" spans="1:5" x14ac:dyDescent="0.3">
      <c r="A289" t="s">
        <v>72</v>
      </c>
      <c r="B289" t="s">
        <v>73</v>
      </c>
      <c r="C289" t="s">
        <v>41</v>
      </c>
      <c r="D289">
        <v>2</v>
      </c>
      <c r="E289">
        <v>18</v>
      </c>
    </row>
    <row r="290" spans="1:5" x14ac:dyDescent="0.3">
      <c r="A290" t="s">
        <v>72</v>
      </c>
      <c r="B290" t="s">
        <v>73</v>
      </c>
      <c r="C290" t="s">
        <v>41</v>
      </c>
      <c r="D290">
        <v>2</v>
      </c>
      <c r="E290">
        <v>24</v>
      </c>
    </row>
    <row r="291" spans="1:5" x14ac:dyDescent="0.3">
      <c r="A291" t="s">
        <v>72</v>
      </c>
      <c r="B291" t="s">
        <v>73</v>
      </c>
      <c r="C291" t="s">
        <v>41</v>
      </c>
      <c r="D291">
        <v>2</v>
      </c>
      <c r="E291">
        <v>24</v>
      </c>
    </row>
    <row r="292" spans="1:5" x14ac:dyDescent="0.3">
      <c r="A292" t="s">
        <v>72</v>
      </c>
      <c r="B292" t="s">
        <v>73</v>
      </c>
      <c r="C292" t="s">
        <v>41</v>
      </c>
      <c r="D292">
        <v>2</v>
      </c>
      <c r="E292">
        <v>48</v>
      </c>
    </row>
    <row r="293" spans="1:5" x14ac:dyDescent="0.3">
      <c r="A293" t="s">
        <v>72</v>
      </c>
      <c r="B293" t="s">
        <v>73</v>
      </c>
      <c r="C293" t="s">
        <v>41</v>
      </c>
      <c r="D293">
        <v>2</v>
      </c>
      <c r="E293">
        <v>48</v>
      </c>
    </row>
    <row r="294" spans="1:5" x14ac:dyDescent="0.3">
      <c r="A294" t="s">
        <v>72</v>
      </c>
      <c r="B294" t="s">
        <v>73</v>
      </c>
      <c r="C294" t="s">
        <v>52</v>
      </c>
      <c r="D294">
        <v>1</v>
      </c>
      <c r="E294">
        <v>0.5</v>
      </c>
    </row>
    <row r="295" spans="1:5" x14ac:dyDescent="0.3">
      <c r="A295" t="s">
        <v>72</v>
      </c>
      <c r="B295" t="s">
        <v>73</v>
      </c>
      <c r="C295" t="s">
        <v>52</v>
      </c>
      <c r="D295">
        <v>1</v>
      </c>
      <c r="E295">
        <v>0.5</v>
      </c>
    </row>
    <row r="296" spans="1:5" x14ac:dyDescent="0.3">
      <c r="A296" t="s">
        <v>72</v>
      </c>
      <c r="B296" t="s">
        <v>73</v>
      </c>
      <c r="C296" t="s">
        <v>52</v>
      </c>
      <c r="D296">
        <v>1</v>
      </c>
      <c r="E296">
        <v>0.5</v>
      </c>
    </row>
    <row r="297" spans="1:5" x14ac:dyDescent="0.3">
      <c r="A297" t="s">
        <v>72</v>
      </c>
      <c r="B297" t="s">
        <v>73</v>
      </c>
      <c r="C297" t="s">
        <v>52</v>
      </c>
      <c r="D297">
        <v>1</v>
      </c>
      <c r="E297">
        <v>0.5</v>
      </c>
    </row>
    <row r="298" spans="1:5" x14ac:dyDescent="0.3">
      <c r="A298" t="s">
        <v>72</v>
      </c>
      <c r="B298" t="s">
        <v>73</v>
      </c>
      <c r="C298" t="s">
        <v>52</v>
      </c>
      <c r="D298">
        <v>1</v>
      </c>
      <c r="E298">
        <v>2</v>
      </c>
    </row>
    <row r="299" spans="1:5" x14ac:dyDescent="0.3">
      <c r="A299" t="s">
        <v>72</v>
      </c>
      <c r="B299" t="s">
        <v>73</v>
      </c>
      <c r="C299" t="s">
        <v>52</v>
      </c>
      <c r="D299">
        <v>1</v>
      </c>
      <c r="E299">
        <v>2</v>
      </c>
    </row>
    <row r="300" spans="1:5" x14ac:dyDescent="0.3">
      <c r="A300" t="s">
        <v>72</v>
      </c>
      <c r="B300" t="s">
        <v>73</v>
      </c>
      <c r="C300" t="s">
        <v>52</v>
      </c>
      <c r="D300">
        <v>1</v>
      </c>
      <c r="E300">
        <v>2</v>
      </c>
    </row>
    <row r="301" spans="1:5" x14ac:dyDescent="0.3">
      <c r="A301" t="s">
        <v>72</v>
      </c>
      <c r="B301" t="s">
        <v>73</v>
      </c>
      <c r="C301" t="s">
        <v>52</v>
      </c>
      <c r="D301">
        <v>1</v>
      </c>
      <c r="E301">
        <v>2</v>
      </c>
    </row>
    <row r="302" spans="1:5" x14ac:dyDescent="0.3">
      <c r="A302" t="s">
        <v>72</v>
      </c>
      <c r="B302" t="s">
        <v>73</v>
      </c>
      <c r="C302" t="s">
        <v>52</v>
      </c>
      <c r="D302">
        <v>1</v>
      </c>
      <c r="E302">
        <v>6</v>
      </c>
    </row>
    <row r="303" spans="1:5" x14ac:dyDescent="0.3">
      <c r="A303" t="s">
        <v>72</v>
      </c>
      <c r="B303" t="s">
        <v>73</v>
      </c>
      <c r="C303" t="s">
        <v>52</v>
      </c>
      <c r="D303">
        <v>1</v>
      </c>
      <c r="E303">
        <v>6</v>
      </c>
    </row>
    <row r="304" spans="1:5" x14ac:dyDescent="0.3">
      <c r="A304" t="s">
        <v>72</v>
      </c>
      <c r="B304" t="s">
        <v>73</v>
      </c>
      <c r="C304" t="s">
        <v>52</v>
      </c>
      <c r="D304">
        <v>1</v>
      </c>
      <c r="E304">
        <v>6</v>
      </c>
    </row>
    <row r="305" spans="1:5" x14ac:dyDescent="0.3">
      <c r="A305" t="s">
        <v>72</v>
      </c>
      <c r="B305" t="s">
        <v>73</v>
      </c>
      <c r="C305" t="s">
        <v>52</v>
      </c>
      <c r="D305">
        <v>1</v>
      </c>
      <c r="E305">
        <v>6</v>
      </c>
    </row>
    <row r="306" spans="1:5" x14ac:dyDescent="0.3">
      <c r="A306" t="s">
        <v>72</v>
      </c>
      <c r="B306" t="s">
        <v>73</v>
      </c>
      <c r="C306" t="s">
        <v>52</v>
      </c>
      <c r="D306">
        <v>1</v>
      </c>
      <c r="E306">
        <v>12</v>
      </c>
    </row>
    <row r="307" spans="1:5" x14ac:dyDescent="0.3">
      <c r="A307" t="s">
        <v>72</v>
      </c>
      <c r="B307" t="s">
        <v>73</v>
      </c>
      <c r="C307" t="s">
        <v>52</v>
      </c>
      <c r="D307">
        <v>1</v>
      </c>
      <c r="E307">
        <v>12</v>
      </c>
    </row>
    <row r="308" spans="1:5" x14ac:dyDescent="0.3">
      <c r="A308" t="s">
        <v>72</v>
      </c>
      <c r="B308" t="s">
        <v>73</v>
      </c>
      <c r="C308" t="s">
        <v>52</v>
      </c>
      <c r="D308">
        <v>1</v>
      </c>
      <c r="E308">
        <v>12</v>
      </c>
    </row>
    <row r="309" spans="1:5" x14ac:dyDescent="0.3">
      <c r="A309" t="s">
        <v>72</v>
      </c>
      <c r="B309" t="s">
        <v>73</v>
      </c>
      <c r="C309" t="s">
        <v>52</v>
      </c>
      <c r="D309">
        <v>1</v>
      </c>
      <c r="E309">
        <v>12</v>
      </c>
    </row>
    <row r="310" spans="1:5" x14ac:dyDescent="0.3">
      <c r="A310" t="s">
        <v>72</v>
      </c>
      <c r="B310" t="s">
        <v>73</v>
      </c>
      <c r="C310" t="s">
        <v>52</v>
      </c>
      <c r="D310">
        <v>1</v>
      </c>
      <c r="E310">
        <v>18</v>
      </c>
    </row>
    <row r="311" spans="1:5" x14ac:dyDescent="0.3">
      <c r="A311" t="s">
        <v>72</v>
      </c>
      <c r="B311" t="s">
        <v>73</v>
      </c>
      <c r="C311" t="s">
        <v>52</v>
      </c>
      <c r="D311">
        <v>1</v>
      </c>
      <c r="E311">
        <v>18</v>
      </c>
    </row>
    <row r="312" spans="1:5" x14ac:dyDescent="0.3">
      <c r="A312" t="s">
        <v>72</v>
      </c>
      <c r="B312" t="s">
        <v>73</v>
      </c>
      <c r="C312" t="s">
        <v>52</v>
      </c>
      <c r="D312">
        <v>1</v>
      </c>
      <c r="E312">
        <v>18</v>
      </c>
    </row>
    <row r="313" spans="1:5" x14ac:dyDescent="0.3">
      <c r="A313" t="s">
        <v>72</v>
      </c>
      <c r="B313" t="s">
        <v>73</v>
      </c>
      <c r="C313" t="s">
        <v>52</v>
      </c>
      <c r="D313">
        <v>1</v>
      </c>
      <c r="E313">
        <v>18</v>
      </c>
    </row>
    <row r="314" spans="1:5" x14ac:dyDescent="0.3">
      <c r="A314" t="s">
        <v>72</v>
      </c>
      <c r="B314" t="s">
        <v>73</v>
      </c>
      <c r="C314" t="s">
        <v>52</v>
      </c>
      <c r="D314">
        <v>1</v>
      </c>
      <c r="E314">
        <v>24</v>
      </c>
    </row>
    <row r="315" spans="1:5" x14ac:dyDescent="0.3">
      <c r="A315" t="s">
        <v>72</v>
      </c>
      <c r="B315" t="s">
        <v>73</v>
      </c>
      <c r="C315" t="s">
        <v>52</v>
      </c>
      <c r="D315">
        <v>1</v>
      </c>
      <c r="E315">
        <v>24</v>
      </c>
    </row>
    <row r="316" spans="1:5" x14ac:dyDescent="0.3">
      <c r="A316" t="s">
        <v>72</v>
      </c>
      <c r="B316" t="s">
        <v>73</v>
      </c>
      <c r="C316" t="s">
        <v>52</v>
      </c>
      <c r="D316">
        <v>1</v>
      </c>
      <c r="E316">
        <v>24</v>
      </c>
    </row>
    <row r="317" spans="1:5" x14ac:dyDescent="0.3">
      <c r="A317" t="s">
        <v>72</v>
      </c>
      <c r="B317" t="s">
        <v>73</v>
      </c>
      <c r="C317" t="s">
        <v>52</v>
      </c>
      <c r="D317">
        <v>1</v>
      </c>
      <c r="E317">
        <v>24</v>
      </c>
    </row>
    <row r="318" spans="1:5" x14ac:dyDescent="0.3">
      <c r="A318" t="s">
        <v>72</v>
      </c>
      <c r="B318" t="s">
        <v>73</v>
      </c>
      <c r="C318" t="s">
        <v>52</v>
      </c>
      <c r="D318">
        <v>1</v>
      </c>
      <c r="E318">
        <v>24</v>
      </c>
    </row>
    <row r="319" spans="1:5" x14ac:dyDescent="0.3">
      <c r="A319" t="s">
        <v>72</v>
      </c>
      <c r="B319" t="s">
        <v>73</v>
      </c>
      <c r="C319" t="s">
        <v>52</v>
      </c>
      <c r="D319">
        <v>1</v>
      </c>
      <c r="E319">
        <v>48</v>
      </c>
    </row>
    <row r="320" spans="1:5" x14ac:dyDescent="0.3">
      <c r="A320" t="s">
        <v>72</v>
      </c>
      <c r="B320" t="s">
        <v>73</v>
      </c>
      <c r="C320" t="s">
        <v>52</v>
      </c>
      <c r="D320">
        <v>1</v>
      </c>
      <c r="E320">
        <v>48</v>
      </c>
    </row>
    <row r="321" spans="1:5" x14ac:dyDescent="0.3">
      <c r="A321" t="s">
        <v>72</v>
      </c>
      <c r="B321" t="s">
        <v>73</v>
      </c>
      <c r="C321" t="s">
        <v>52</v>
      </c>
      <c r="D321">
        <v>1</v>
      </c>
      <c r="E321">
        <v>48</v>
      </c>
    </row>
    <row r="322" spans="1:5" x14ac:dyDescent="0.3">
      <c r="A322" t="s">
        <v>72</v>
      </c>
      <c r="B322" t="s">
        <v>73</v>
      </c>
      <c r="C322" t="s">
        <v>52</v>
      </c>
      <c r="D322">
        <v>2</v>
      </c>
      <c r="E322">
        <v>0.5</v>
      </c>
    </row>
    <row r="323" spans="1:5" x14ac:dyDescent="0.3">
      <c r="A323" t="s">
        <v>72</v>
      </c>
      <c r="B323" t="s">
        <v>73</v>
      </c>
      <c r="C323" t="s">
        <v>52</v>
      </c>
      <c r="D323">
        <v>2</v>
      </c>
      <c r="E323">
        <v>0.5</v>
      </c>
    </row>
    <row r="324" spans="1:5" x14ac:dyDescent="0.3">
      <c r="A324" t="s">
        <v>72</v>
      </c>
      <c r="B324" t="s">
        <v>73</v>
      </c>
      <c r="C324" t="s">
        <v>52</v>
      </c>
      <c r="D324">
        <v>2</v>
      </c>
      <c r="E324">
        <v>0.5</v>
      </c>
    </row>
    <row r="325" spans="1:5" x14ac:dyDescent="0.3">
      <c r="A325" t="s">
        <v>72</v>
      </c>
      <c r="B325" t="s">
        <v>73</v>
      </c>
      <c r="C325" t="s">
        <v>52</v>
      </c>
      <c r="D325">
        <v>2</v>
      </c>
      <c r="E325">
        <v>0.5</v>
      </c>
    </row>
    <row r="326" spans="1:5" x14ac:dyDescent="0.3">
      <c r="A326" t="s">
        <v>72</v>
      </c>
      <c r="B326" t="s">
        <v>73</v>
      </c>
      <c r="C326" t="s">
        <v>52</v>
      </c>
      <c r="D326">
        <v>2</v>
      </c>
      <c r="E326">
        <v>2</v>
      </c>
    </row>
    <row r="327" spans="1:5" x14ac:dyDescent="0.3">
      <c r="A327" t="s">
        <v>72</v>
      </c>
      <c r="B327" t="s">
        <v>73</v>
      </c>
      <c r="C327" t="s">
        <v>52</v>
      </c>
      <c r="D327">
        <v>2</v>
      </c>
      <c r="E327">
        <v>2</v>
      </c>
    </row>
    <row r="328" spans="1:5" x14ac:dyDescent="0.3">
      <c r="A328" t="s">
        <v>72</v>
      </c>
      <c r="B328" t="s">
        <v>73</v>
      </c>
      <c r="C328" t="s">
        <v>52</v>
      </c>
      <c r="D328">
        <v>2</v>
      </c>
      <c r="E328">
        <v>2</v>
      </c>
    </row>
    <row r="329" spans="1:5" x14ac:dyDescent="0.3">
      <c r="A329" t="s">
        <v>72</v>
      </c>
      <c r="B329" t="s">
        <v>73</v>
      </c>
      <c r="C329" t="s">
        <v>52</v>
      </c>
      <c r="D329">
        <v>2</v>
      </c>
      <c r="E329">
        <v>2</v>
      </c>
    </row>
    <row r="330" spans="1:5" x14ac:dyDescent="0.3">
      <c r="A330" t="s">
        <v>72</v>
      </c>
      <c r="B330" t="s">
        <v>73</v>
      </c>
      <c r="C330" t="s">
        <v>52</v>
      </c>
      <c r="D330">
        <v>2</v>
      </c>
      <c r="E330">
        <v>6</v>
      </c>
    </row>
    <row r="331" spans="1:5" x14ac:dyDescent="0.3">
      <c r="A331" t="s">
        <v>72</v>
      </c>
      <c r="B331" t="s">
        <v>73</v>
      </c>
      <c r="C331" t="s">
        <v>52</v>
      </c>
      <c r="D331">
        <v>2</v>
      </c>
      <c r="E331">
        <v>6</v>
      </c>
    </row>
    <row r="332" spans="1:5" x14ac:dyDescent="0.3">
      <c r="A332" t="s">
        <v>72</v>
      </c>
      <c r="B332" t="s">
        <v>73</v>
      </c>
      <c r="C332" t="s">
        <v>52</v>
      </c>
      <c r="D332">
        <v>2</v>
      </c>
      <c r="E332">
        <v>6</v>
      </c>
    </row>
    <row r="333" spans="1:5" x14ac:dyDescent="0.3">
      <c r="A333" t="s">
        <v>72</v>
      </c>
      <c r="B333" t="s">
        <v>73</v>
      </c>
      <c r="C333" t="s">
        <v>52</v>
      </c>
      <c r="D333">
        <v>2</v>
      </c>
      <c r="E333">
        <v>6</v>
      </c>
    </row>
    <row r="334" spans="1:5" x14ac:dyDescent="0.3">
      <c r="A334" t="s">
        <v>72</v>
      </c>
      <c r="B334" t="s">
        <v>73</v>
      </c>
      <c r="C334" t="s">
        <v>52</v>
      </c>
      <c r="D334">
        <v>2</v>
      </c>
      <c r="E334">
        <v>6</v>
      </c>
    </row>
    <row r="335" spans="1:5" x14ac:dyDescent="0.3">
      <c r="A335" t="s">
        <v>72</v>
      </c>
      <c r="B335" t="s">
        <v>73</v>
      </c>
      <c r="C335" t="s">
        <v>52</v>
      </c>
      <c r="D335">
        <v>2</v>
      </c>
      <c r="E335">
        <v>12</v>
      </c>
    </row>
    <row r="336" spans="1:5" x14ac:dyDescent="0.3">
      <c r="A336" t="s">
        <v>72</v>
      </c>
      <c r="B336" t="s">
        <v>73</v>
      </c>
      <c r="C336" t="s">
        <v>52</v>
      </c>
      <c r="D336">
        <v>2</v>
      </c>
      <c r="E336">
        <v>12</v>
      </c>
    </row>
    <row r="337" spans="1:5" x14ac:dyDescent="0.3">
      <c r="A337" t="s">
        <v>72</v>
      </c>
      <c r="B337" t="s">
        <v>73</v>
      </c>
      <c r="C337" t="s">
        <v>52</v>
      </c>
      <c r="D337">
        <v>2</v>
      </c>
      <c r="E337">
        <v>12</v>
      </c>
    </row>
    <row r="338" spans="1:5" x14ac:dyDescent="0.3">
      <c r="A338" t="s">
        <v>72</v>
      </c>
      <c r="B338" t="s">
        <v>73</v>
      </c>
      <c r="C338" t="s">
        <v>52</v>
      </c>
      <c r="D338">
        <v>2</v>
      </c>
      <c r="E338">
        <v>12</v>
      </c>
    </row>
    <row r="339" spans="1:5" x14ac:dyDescent="0.3">
      <c r="A339" t="s">
        <v>72</v>
      </c>
      <c r="B339" t="s">
        <v>73</v>
      </c>
      <c r="C339" t="s">
        <v>52</v>
      </c>
      <c r="D339">
        <v>2</v>
      </c>
      <c r="E339">
        <v>12</v>
      </c>
    </row>
    <row r="340" spans="1:5" x14ac:dyDescent="0.3">
      <c r="A340" t="s">
        <v>72</v>
      </c>
      <c r="B340" t="s">
        <v>73</v>
      </c>
      <c r="C340" t="s">
        <v>52</v>
      </c>
      <c r="D340">
        <v>2</v>
      </c>
      <c r="E340">
        <v>18</v>
      </c>
    </row>
    <row r="341" spans="1:5" x14ac:dyDescent="0.3">
      <c r="A341" t="s">
        <v>72</v>
      </c>
      <c r="B341" t="s">
        <v>73</v>
      </c>
      <c r="C341" t="s">
        <v>52</v>
      </c>
      <c r="D341">
        <v>2</v>
      </c>
      <c r="E341">
        <v>18</v>
      </c>
    </row>
    <row r="342" spans="1:5" x14ac:dyDescent="0.3">
      <c r="A342" t="s">
        <v>72</v>
      </c>
      <c r="B342" t="s">
        <v>73</v>
      </c>
      <c r="C342" t="s">
        <v>52</v>
      </c>
      <c r="D342">
        <v>2</v>
      </c>
      <c r="E342">
        <v>18</v>
      </c>
    </row>
    <row r="343" spans="1:5" x14ac:dyDescent="0.3">
      <c r="A343" t="s">
        <v>72</v>
      </c>
      <c r="B343" t="s">
        <v>73</v>
      </c>
      <c r="C343" t="s">
        <v>52</v>
      </c>
      <c r="D343">
        <v>2</v>
      </c>
      <c r="E343">
        <v>18</v>
      </c>
    </row>
    <row r="344" spans="1:5" x14ac:dyDescent="0.3">
      <c r="A344" t="s">
        <v>72</v>
      </c>
      <c r="B344" t="s">
        <v>73</v>
      </c>
      <c r="C344" t="s">
        <v>52</v>
      </c>
      <c r="D344">
        <v>2</v>
      </c>
      <c r="E344">
        <v>18</v>
      </c>
    </row>
    <row r="345" spans="1:5" x14ac:dyDescent="0.3">
      <c r="A345" t="s">
        <v>72</v>
      </c>
      <c r="B345" t="s">
        <v>73</v>
      </c>
      <c r="C345" t="s">
        <v>52</v>
      </c>
      <c r="D345">
        <v>2</v>
      </c>
      <c r="E345">
        <v>24</v>
      </c>
    </row>
    <row r="346" spans="1:5" x14ac:dyDescent="0.3">
      <c r="A346" t="s">
        <v>72</v>
      </c>
      <c r="B346" t="s">
        <v>73</v>
      </c>
      <c r="C346" t="s">
        <v>52</v>
      </c>
      <c r="D346">
        <v>2</v>
      </c>
      <c r="E346">
        <v>24</v>
      </c>
    </row>
    <row r="347" spans="1:5" x14ac:dyDescent="0.3">
      <c r="A347" t="s">
        <v>72</v>
      </c>
      <c r="B347" t="s">
        <v>73</v>
      </c>
      <c r="C347" t="s">
        <v>52</v>
      </c>
      <c r="D347">
        <v>2</v>
      </c>
      <c r="E347">
        <v>24</v>
      </c>
    </row>
    <row r="348" spans="1:5" x14ac:dyDescent="0.3">
      <c r="A348" t="s">
        <v>72</v>
      </c>
      <c r="B348" t="s">
        <v>73</v>
      </c>
      <c r="C348" t="s">
        <v>52</v>
      </c>
      <c r="D348">
        <v>2</v>
      </c>
      <c r="E348">
        <v>24</v>
      </c>
    </row>
    <row r="349" spans="1:5" x14ac:dyDescent="0.3">
      <c r="A349" t="s">
        <v>72</v>
      </c>
      <c r="B349" t="s">
        <v>73</v>
      </c>
      <c r="C349" t="s">
        <v>52</v>
      </c>
      <c r="D349">
        <v>2</v>
      </c>
      <c r="E349">
        <v>24</v>
      </c>
    </row>
    <row r="350" spans="1:5" x14ac:dyDescent="0.3">
      <c r="A350" t="s">
        <v>72</v>
      </c>
      <c r="B350" t="s">
        <v>73</v>
      </c>
      <c r="C350" t="s">
        <v>52</v>
      </c>
      <c r="D350">
        <v>2</v>
      </c>
      <c r="E350">
        <v>48</v>
      </c>
    </row>
    <row r="351" spans="1:5" x14ac:dyDescent="0.3">
      <c r="A351" t="s">
        <v>72</v>
      </c>
      <c r="B351" t="s">
        <v>73</v>
      </c>
      <c r="C351" t="s">
        <v>52</v>
      </c>
      <c r="D351">
        <v>2</v>
      </c>
      <c r="E351">
        <v>48</v>
      </c>
    </row>
    <row r="352" spans="1:5" x14ac:dyDescent="0.3">
      <c r="A352" t="s">
        <v>72</v>
      </c>
      <c r="B352" t="s">
        <v>73</v>
      </c>
      <c r="C352" t="s">
        <v>52</v>
      </c>
      <c r="D352">
        <v>2</v>
      </c>
      <c r="E352">
        <v>48</v>
      </c>
    </row>
    <row r="353" spans="1:5" x14ac:dyDescent="0.3">
      <c r="A353" t="s">
        <v>72</v>
      </c>
      <c r="B353" t="s">
        <v>73</v>
      </c>
      <c r="C353" t="s">
        <v>52</v>
      </c>
      <c r="D353">
        <v>2</v>
      </c>
      <c r="E353">
        <v>48</v>
      </c>
    </row>
    <row r="354" spans="1:5" x14ac:dyDescent="0.3">
      <c r="A354" t="s">
        <v>72</v>
      </c>
      <c r="B354" t="s">
        <v>73</v>
      </c>
      <c r="C354" t="s">
        <v>60</v>
      </c>
      <c r="D354">
        <v>1</v>
      </c>
      <c r="E354">
        <v>0.5</v>
      </c>
    </row>
    <row r="355" spans="1:5" x14ac:dyDescent="0.3">
      <c r="A355" t="s">
        <v>72</v>
      </c>
      <c r="B355" t="s">
        <v>73</v>
      </c>
      <c r="C355" t="s">
        <v>60</v>
      </c>
      <c r="D355">
        <v>1</v>
      </c>
      <c r="E355">
        <v>0.5</v>
      </c>
    </row>
    <row r="356" spans="1:5" x14ac:dyDescent="0.3">
      <c r="A356" t="s">
        <v>72</v>
      </c>
      <c r="B356" t="s">
        <v>73</v>
      </c>
      <c r="C356" t="s">
        <v>60</v>
      </c>
      <c r="D356">
        <v>1</v>
      </c>
      <c r="E356">
        <v>0.5</v>
      </c>
    </row>
    <row r="357" spans="1:5" x14ac:dyDescent="0.3">
      <c r="A357" t="s">
        <v>72</v>
      </c>
      <c r="B357" t="s">
        <v>73</v>
      </c>
      <c r="C357" t="s">
        <v>60</v>
      </c>
      <c r="D357">
        <v>1</v>
      </c>
      <c r="E357">
        <v>2</v>
      </c>
    </row>
    <row r="358" spans="1:5" x14ac:dyDescent="0.3">
      <c r="A358" t="s">
        <v>72</v>
      </c>
      <c r="B358" t="s">
        <v>73</v>
      </c>
      <c r="C358" t="s">
        <v>60</v>
      </c>
      <c r="D358">
        <v>1</v>
      </c>
      <c r="E358">
        <v>2</v>
      </c>
    </row>
    <row r="359" spans="1:5" x14ac:dyDescent="0.3">
      <c r="A359" t="s">
        <v>72</v>
      </c>
      <c r="B359" t="s">
        <v>73</v>
      </c>
      <c r="C359" t="s">
        <v>60</v>
      </c>
      <c r="D359">
        <v>1</v>
      </c>
      <c r="E359">
        <v>2</v>
      </c>
    </row>
    <row r="360" spans="1:5" x14ac:dyDescent="0.3">
      <c r="A360" t="s">
        <v>72</v>
      </c>
      <c r="B360" t="s">
        <v>73</v>
      </c>
      <c r="C360" t="s">
        <v>60</v>
      </c>
      <c r="D360">
        <v>1</v>
      </c>
      <c r="E360">
        <v>6</v>
      </c>
    </row>
    <row r="361" spans="1:5" x14ac:dyDescent="0.3">
      <c r="A361" t="s">
        <v>72</v>
      </c>
      <c r="B361" t="s">
        <v>73</v>
      </c>
      <c r="C361" t="s">
        <v>60</v>
      </c>
      <c r="D361">
        <v>1</v>
      </c>
      <c r="E361">
        <v>6</v>
      </c>
    </row>
    <row r="362" spans="1:5" x14ac:dyDescent="0.3">
      <c r="A362" t="s">
        <v>72</v>
      </c>
      <c r="B362" t="s">
        <v>73</v>
      </c>
      <c r="C362" t="s">
        <v>60</v>
      </c>
      <c r="D362">
        <v>1</v>
      </c>
      <c r="E362">
        <v>12</v>
      </c>
    </row>
    <row r="363" spans="1:5" x14ac:dyDescent="0.3">
      <c r="A363" t="s">
        <v>72</v>
      </c>
      <c r="B363" t="s">
        <v>73</v>
      </c>
      <c r="C363" t="s">
        <v>60</v>
      </c>
      <c r="D363">
        <v>1</v>
      </c>
      <c r="E363">
        <v>12</v>
      </c>
    </row>
    <row r="364" spans="1:5" x14ac:dyDescent="0.3">
      <c r="A364" t="s">
        <v>72</v>
      </c>
      <c r="B364" t="s">
        <v>73</v>
      </c>
      <c r="C364" t="s">
        <v>60</v>
      </c>
      <c r="D364">
        <v>1</v>
      </c>
      <c r="E364">
        <v>18</v>
      </c>
    </row>
    <row r="365" spans="1:5" x14ac:dyDescent="0.3">
      <c r="A365" t="s">
        <v>72</v>
      </c>
      <c r="B365" t="s">
        <v>73</v>
      </c>
      <c r="C365" t="s">
        <v>60</v>
      </c>
      <c r="D365">
        <v>1</v>
      </c>
      <c r="E365">
        <v>18</v>
      </c>
    </row>
    <row r="366" spans="1:5" x14ac:dyDescent="0.3">
      <c r="A366" t="s">
        <v>72</v>
      </c>
      <c r="B366" t="s">
        <v>73</v>
      </c>
      <c r="C366" t="s">
        <v>60</v>
      </c>
      <c r="D366">
        <v>1</v>
      </c>
      <c r="E366">
        <v>18</v>
      </c>
    </row>
    <row r="367" spans="1:5" x14ac:dyDescent="0.3">
      <c r="A367" t="s">
        <v>72</v>
      </c>
      <c r="B367" t="s">
        <v>73</v>
      </c>
      <c r="C367" t="s">
        <v>60</v>
      </c>
      <c r="D367">
        <v>1</v>
      </c>
      <c r="E367">
        <v>24</v>
      </c>
    </row>
    <row r="368" spans="1:5" x14ac:dyDescent="0.3">
      <c r="A368" t="s">
        <v>72</v>
      </c>
      <c r="B368" t="s">
        <v>73</v>
      </c>
      <c r="C368" t="s">
        <v>60</v>
      </c>
      <c r="D368">
        <v>1</v>
      </c>
      <c r="E368">
        <v>24</v>
      </c>
    </row>
    <row r="369" spans="1:5" x14ac:dyDescent="0.3">
      <c r="A369" t="s">
        <v>72</v>
      </c>
      <c r="B369" t="s">
        <v>73</v>
      </c>
      <c r="C369" t="s">
        <v>60</v>
      </c>
      <c r="D369">
        <v>1</v>
      </c>
      <c r="E369">
        <v>24</v>
      </c>
    </row>
    <row r="370" spans="1:5" x14ac:dyDescent="0.3">
      <c r="A370" t="s">
        <v>72</v>
      </c>
      <c r="B370" t="s">
        <v>73</v>
      </c>
      <c r="C370" t="s">
        <v>60</v>
      </c>
      <c r="D370">
        <v>1</v>
      </c>
      <c r="E370">
        <v>48</v>
      </c>
    </row>
    <row r="371" spans="1:5" x14ac:dyDescent="0.3">
      <c r="A371" t="s">
        <v>72</v>
      </c>
      <c r="B371" t="s">
        <v>73</v>
      </c>
      <c r="C371" t="s">
        <v>60</v>
      </c>
      <c r="D371">
        <v>1</v>
      </c>
      <c r="E371">
        <v>48</v>
      </c>
    </row>
    <row r="372" spans="1:5" x14ac:dyDescent="0.3">
      <c r="A372" t="s">
        <v>72</v>
      </c>
      <c r="B372" t="s">
        <v>73</v>
      </c>
      <c r="C372" t="s">
        <v>60</v>
      </c>
      <c r="D372">
        <v>2</v>
      </c>
      <c r="E372">
        <v>0.5</v>
      </c>
    </row>
    <row r="373" spans="1:5" x14ac:dyDescent="0.3">
      <c r="A373" t="s">
        <v>72</v>
      </c>
      <c r="B373" t="s">
        <v>73</v>
      </c>
      <c r="C373" t="s">
        <v>60</v>
      </c>
      <c r="D373">
        <v>2</v>
      </c>
      <c r="E373">
        <v>0.5</v>
      </c>
    </row>
    <row r="374" spans="1:5" x14ac:dyDescent="0.3">
      <c r="A374" t="s">
        <v>72</v>
      </c>
      <c r="B374" t="s">
        <v>73</v>
      </c>
      <c r="C374" t="s">
        <v>60</v>
      </c>
      <c r="D374">
        <v>2</v>
      </c>
      <c r="E374">
        <v>0.5</v>
      </c>
    </row>
    <row r="375" spans="1:5" x14ac:dyDescent="0.3">
      <c r="A375" t="s">
        <v>72</v>
      </c>
      <c r="B375" t="s">
        <v>73</v>
      </c>
      <c r="C375" t="s">
        <v>60</v>
      </c>
      <c r="D375">
        <v>2</v>
      </c>
      <c r="E375">
        <v>0.5</v>
      </c>
    </row>
    <row r="376" spans="1:5" x14ac:dyDescent="0.3">
      <c r="A376" t="s">
        <v>72</v>
      </c>
      <c r="B376" t="s">
        <v>73</v>
      </c>
      <c r="C376" t="s">
        <v>60</v>
      </c>
      <c r="D376">
        <v>2</v>
      </c>
      <c r="E376">
        <v>2</v>
      </c>
    </row>
    <row r="377" spans="1:5" x14ac:dyDescent="0.3">
      <c r="A377" t="s">
        <v>72</v>
      </c>
      <c r="B377" t="s">
        <v>73</v>
      </c>
      <c r="C377" t="s">
        <v>60</v>
      </c>
      <c r="D377">
        <v>2</v>
      </c>
      <c r="E377">
        <v>2</v>
      </c>
    </row>
    <row r="378" spans="1:5" x14ac:dyDescent="0.3">
      <c r="A378" t="s">
        <v>72</v>
      </c>
      <c r="B378" t="s">
        <v>73</v>
      </c>
      <c r="C378" t="s">
        <v>60</v>
      </c>
      <c r="D378">
        <v>2</v>
      </c>
      <c r="E378">
        <v>2</v>
      </c>
    </row>
    <row r="379" spans="1:5" x14ac:dyDescent="0.3">
      <c r="A379" t="s">
        <v>72</v>
      </c>
      <c r="B379" t="s">
        <v>73</v>
      </c>
      <c r="C379" t="s">
        <v>60</v>
      </c>
      <c r="D379">
        <v>2</v>
      </c>
      <c r="E379">
        <v>2</v>
      </c>
    </row>
    <row r="380" spans="1:5" x14ac:dyDescent="0.3">
      <c r="A380" t="s">
        <v>72</v>
      </c>
      <c r="B380" t="s">
        <v>73</v>
      </c>
      <c r="C380" t="s">
        <v>60</v>
      </c>
      <c r="D380">
        <v>2</v>
      </c>
      <c r="E380">
        <v>6</v>
      </c>
    </row>
    <row r="381" spans="1:5" x14ac:dyDescent="0.3">
      <c r="A381" t="s">
        <v>72</v>
      </c>
      <c r="B381" t="s">
        <v>73</v>
      </c>
      <c r="C381" t="s">
        <v>60</v>
      </c>
      <c r="D381">
        <v>2</v>
      </c>
      <c r="E381">
        <v>6</v>
      </c>
    </row>
    <row r="382" spans="1:5" x14ac:dyDescent="0.3">
      <c r="A382" t="s">
        <v>72</v>
      </c>
      <c r="B382" t="s">
        <v>73</v>
      </c>
      <c r="C382" t="s">
        <v>60</v>
      </c>
      <c r="D382">
        <v>2</v>
      </c>
      <c r="E382">
        <v>6</v>
      </c>
    </row>
    <row r="383" spans="1:5" x14ac:dyDescent="0.3">
      <c r="A383" t="s">
        <v>72</v>
      </c>
      <c r="B383" t="s">
        <v>73</v>
      </c>
      <c r="C383" t="s">
        <v>60</v>
      </c>
      <c r="D383">
        <v>2</v>
      </c>
      <c r="E383">
        <v>12</v>
      </c>
    </row>
    <row r="384" spans="1:5" x14ac:dyDescent="0.3">
      <c r="A384" t="s">
        <v>72</v>
      </c>
      <c r="B384" t="s">
        <v>73</v>
      </c>
      <c r="C384" t="s">
        <v>60</v>
      </c>
      <c r="D384">
        <v>2</v>
      </c>
      <c r="E384">
        <v>12</v>
      </c>
    </row>
    <row r="385" spans="1:5" x14ac:dyDescent="0.3">
      <c r="A385" t="s">
        <v>72</v>
      </c>
      <c r="B385" t="s">
        <v>73</v>
      </c>
      <c r="C385" t="s">
        <v>60</v>
      </c>
      <c r="D385">
        <v>2</v>
      </c>
      <c r="E385">
        <v>12</v>
      </c>
    </row>
    <row r="386" spans="1:5" x14ac:dyDescent="0.3">
      <c r="A386" t="s">
        <v>72</v>
      </c>
      <c r="B386" t="s">
        <v>73</v>
      </c>
      <c r="C386" t="s">
        <v>60</v>
      </c>
      <c r="D386">
        <v>2</v>
      </c>
      <c r="E386">
        <v>18</v>
      </c>
    </row>
    <row r="387" spans="1:5" x14ac:dyDescent="0.3">
      <c r="A387" t="s">
        <v>72</v>
      </c>
      <c r="B387" t="s">
        <v>73</v>
      </c>
      <c r="C387" t="s">
        <v>60</v>
      </c>
      <c r="D387">
        <v>2</v>
      </c>
      <c r="E387">
        <v>18</v>
      </c>
    </row>
    <row r="388" spans="1:5" x14ac:dyDescent="0.3">
      <c r="A388" t="s">
        <v>72</v>
      </c>
      <c r="B388" t="s">
        <v>73</v>
      </c>
      <c r="C388" t="s">
        <v>60</v>
      </c>
      <c r="D388">
        <v>2</v>
      </c>
      <c r="E388">
        <v>24</v>
      </c>
    </row>
    <row r="389" spans="1:5" x14ac:dyDescent="0.3">
      <c r="A389" t="s">
        <v>72</v>
      </c>
      <c r="B389" t="s">
        <v>73</v>
      </c>
      <c r="C389" t="s">
        <v>60</v>
      </c>
      <c r="D389">
        <v>2</v>
      </c>
      <c r="E389">
        <v>24</v>
      </c>
    </row>
    <row r="390" spans="1:5" x14ac:dyDescent="0.3">
      <c r="A390" t="s">
        <v>72</v>
      </c>
      <c r="B390" t="s">
        <v>73</v>
      </c>
      <c r="C390" t="s">
        <v>60</v>
      </c>
      <c r="D390">
        <v>2</v>
      </c>
      <c r="E390">
        <v>48</v>
      </c>
    </row>
    <row r="391" spans="1:5" x14ac:dyDescent="0.3">
      <c r="A391" t="s">
        <v>72</v>
      </c>
      <c r="B391" t="s">
        <v>73</v>
      </c>
      <c r="C391" t="s">
        <v>60</v>
      </c>
      <c r="D391">
        <v>2</v>
      </c>
      <c r="E391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CEE9-636F-466F-921D-3147F6CA4EBD}">
  <dimension ref="A1:W201"/>
  <sheetViews>
    <sheetView tabSelected="1" workbookViewId="0">
      <pane ySplit="1" topLeftCell="A178" activePane="bottomLeft" state="frozen"/>
      <selection pane="bottomLeft" activeCell="I1" sqref="I1"/>
    </sheetView>
  </sheetViews>
  <sheetFormatPr defaultRowHeight="14.4" x14ac:dyDescent="0.3"/>
  <cols>
    <col min="1" max="5" width="8.88671875" style="9"/>
    <col min="6" max="6" width="9.33203125" style="9" bestFit="1" customWidth="1"/>
    <col min="7" max="8" width="8.88671875" style="9"/>
    <col min="9" max="9" width="12.77734375" style="9" customWidth="1"/>
    <col min="10" max="10" width="11.6640625" style="9" customWidth="1"/>
    <col min="11" max="20" width="8.88671875" style="9"/>
    <col min="21" max="21" width="14.5546875" style="9" customWidth="1"/>
    <col min="22" max="22" width="11.77734375" style="9" customWidth="1"/>
    <col min="23" max="16384" width="8.88671875" style="9"/>
  </cols>
  <sheetData>
    <row r="1" spans="1:23" s="20" customFormat="1" ht="58.2" thickBo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</row>
    <row r="2" spans="1:23" s="4" customFormat="1" x14ac:dyDescent="0.3">
      <c r="A2" s="3" t="s">
        <v>72</v>
      </c>
      <c r="B2" s="4" t="s">
        <v>73</v>
      </c>
      <c r="C2" s="4" t="s">
        <v>25</v>
      </c>
      <c r="D2" s="4">
        <v>1</v>
      </c>
      <c r="E2" s="4">
        <v>0.5</v>
      </c>
      <c r="F2" s="5">
        <v>46184</v>
      </c>
      <c r="H2" s="4">
        <v>30</v>
      </c>
      <c r="I2" s="4" t="s">
        <v>26</v>
      </c>
      <c r="J2" s="4">
        <f>AVERAGE(L2, N2, P2, R2)</f>
        <v>89.5</v>
      </c>
      <c r="K2" s="4" t="s">
        <v>26</v>
      </c>
      <c r="L2" s="4" t="s">
        <v>80</v>
      </c>
      <c r="M2" s="4" t="s">
        <v>26</v>
      </c>
      <c r="N2" s="4">
        <v>89</v>
      </c>
      <c r="O2" s="4" t="s">
        <v>26</v>
      </c>
      <c r="P2" s="6">
        <v>95.5</v>
      </c>
      <c r="Q2" s="4" t="s">
        <v>26</v>
      </c>
      <c r="R2" s="4">
        <v>84</v>
      </c>
      <c r="S2" s="4" t="s">
        <v>26</v>
      </c>
      <c r="T2" s="4">
        <v>95.5</v>
      </c>
      <c r="U2" s="4" t="s">
        <v>26</v>
      </c>
      <c r="V2" s="7">
        <v>0.66527777777777775</v>
      </c>
    </row>
    <row r="3" spans="1:23" ht="12.6" customHeight="1" x14ac:dyDescent="0.3">
      <c r="A3" s="8" t="s">
        <v>72</v>
      </c>
      <c r="B3" s="9" t="s">
        <v>73</v>
      </c>
      <c r="C3" s="9" t="s">
        <v>25</v>
      </c>
      <c r="D3" s="9">
        <v>1</v>
      </c>
      <c r="E3" s="9">
        <v>0.5</v>
      </c>
      <c r="F3" s="10">
        <v>46184</v>
      </c>
      <c r="H3" s="11">
        <v>45</v>
      </c>
      <c r="I3" s="9" t="s">
        <v>28</v>
      </c>
      <c r="J3" s="9">
        <f>AVERAGE(L3, N3, P3, R3)</f>
        <v>52.75</v>
      </c>
      <c r="K3" s="9" t="s">
        <v>28</v>
      </c>
      <c r="L3" s="9">
        <v>60</v>
      </c>
      <c r="M3" s="9" t="s">
        <v>28</v>
      </c>
      <c r="N3" s="9">
        <v>55</v>
      </c>
      <c r="O3" s="9" t="s">
        <v>28</v>
      </c>
      <c r="P3" s="9">
        <v>43</v>
      </c>
      <c r="Q3" s="9" t="s">
        <v>28</v>
      </c>
      <c r="R3" s="9">
        <v>53</v>
      </c>
      <c r="S3" s="9" t="s">
        <v>28</v>
      </c>
      <c r="T3" s="9">
        <v>60</v>
      </c>
      <c r="U3" s="9" t="s">
        <v>28</v>
      </c>
    </row>
    <row r="4" spans="1:23" s="13" customFormat="1" ht="15" thickBot="1" x14ac:dyDescent="0.35">
      <c r="A4" s="12" t="s">
        <v>72</v>
      </c>
      <c r="B4" s="13" t="s">
        <v>73</v>
      </c>
      <c r="C4" s="13" t="s">
        <v>25</v>
      </c>
      <c r="D4" s="13">
        <v>1</v>
      </c>
      <c r="E4" s="13">
        <v>0.5</v>
      </c>
      <c r="F4" s="14">
        <v>46184</v>
      </c>
      <c r="G4" s="13">
        <f>SUM(H2:H4)</f>
        <v>100</v>
      </c>
      <c r="H4" s="13">
        <v>25</v>
      </c>
      <c r="I4" s="13" t="s">
        <v>29</v>
      </c>
      <c r="J4" s="13" t="e">
        <f t="shared" ref="J4:J67" si="0">AVERAGE(L4, N4, P4, R4)</f>
        <v>#DIV/0!</v>
      </c>
      <c r="T4" s="13">
        <v>0</v>
      </c>
    </row>
    <row r="5" spans="1:23" s="4" customFormat="1" x14ac:dyDescent="0.3">
      <c r="A5" s="3" t="s">
        <v>72</v>
      </c>
      <c r="B5" s="4" t="s">
        <v>73</v>
      </c>
      <c r="C5" s="4" t="s">
        <v>25</v>
      </c>
      <c r="D5" s="4">
        <v>1</v>
      </c>
      <c r="E5" s="4">
        <v>2</v>
      </c>
      <c r="F5" s="5">
        <v>46184</v>
      </c>
      <c r="H5" s="4">
        <v>10</v>
      </c>
      <c r="I5" s="4" t="s">
        <v>31</v>
      </c>
      <c r="J5" s="4" t="e">
        <f t="shared" si="0"/>
        <v>#DIV/0!</v>
      </c>
      <c r="U5" s="4" t="s">
        <v>28</v>
      </c>
      <c r="V5" s="7">
        <v>0.65972222222222221</v>
      </c>
      <c r="W5" s="4" t="s">
        <v>32</v>
      </c>
    </row>
    <row r="6" spans="1:23" x14ac:dyDescent="0.3">
      <c r="A6" s="8" t="s">
        <v>72</v>
      </c>
      <c r="B6" s="9" t="s">
        <v>73</v>
      </c>
      <c r="C6" s="9" t="s">
        <v>25</v>
      </c>
      <c r="D6" s="9">
        <v>1</v>
      </c>
      <c r="E6" s="9">
        <v>2</v>
      </c>
      <c r="F6" s="10">
        <v>46184</v>
      </c>
      <c r="H6" s="11">
        <v>55</v>
      </c>
      <c r="I6" s="9" t="s">
        <v>28</v>
      </c>
      <c r="J6" s="9">
        <f t="shared" si="0"/>
        <v>38.875</v>
      </c>
      <c r="K6" s="9" t="s">
        <v>28</v>
      </c>
      <c r="L6" s="9">
        <v>39</v>
      </c>
      <c r="M6" s="9" t="s">
        <v>28</v>
      </c>
      <c r="N6" s="19">
        <v>39.5</v>
      </c>
      <c r="O6" s="9" t="s">
        <v>28</v>
      </c>
      <c r="P6" s="11">
        <v>42</v>
      </c>
      <c r="Q6" s="9" t="s">
        <v>28</v>
      </c>
      <c r="R6" s="9">
        <v>35</v>
      </c>
      <c r="S6" s="9" t="s">
        <v>28</v>
      </c>
      <c r="T6" s="9">
        <v>42</v>
      </c>
    </row>
    <row r="7" spans="1:23" s="13" customFormat="1" ht="15" thickBot="1" x14ac:dyDescent="0.35">
      <c r="A7" s="12" t="s">
        <v>72</v>
      </c>
      <c r="B7" s="13" t="s">
        <v>73</v>
      </c>
      <c r="C7" s="13" t="s">
        <v>25</v>
      </c>
      <c r="D7" s="13">
        <v>1</v>
      </c>
      <c r="E7" s="13">
        <v>2</v>
      </c>
      <c r="F7" s="14">
        <v>46184</v>
      </c>
      <c r="G7" s="13">
        <f>SUM(H5:H7)</f>
        <v>100</v>
      </c>
      <c r="H7" s="13">
        <v>35</v>
      </c>
      <c r="I7" s="13" t="s">
        <v>29</v>
      </c>
      <c r="J7" s="13" t="e">
        <f t="shared" si="0"/>
        <v>#DIV/0!</v>
      </c>
      <c r="T7" s="13">
        <v>0</v>
      </c>
    </row>
    <row r="8" spans="1:23" s="4" customFormat="1" x14ac:dyDescent="0.3">
      <c r="A8" s="3" t="s">
        <v>72</v>
      </c>
      <c r="B8" s="4" t="s">
        <v>73</v>
      </c>
      <c r="C8" s="4" t="s">
        <v>25</v>
      </c>
      <c r="D8" s="4">
        <v>1</v>
      </c>
      <c r="E8" s="4">
        <v>6</v>
      </c>
      <c r="F8" s="5">
        <v>46184</v>
      </c>
      <c r="H8" s="4">
        <v>90</v>
      </c>
      <c r="I8" s="4" t="s">
        <v>28</v>
      </c>
      <c r="J8" s="4">
        <f t="shared" si="0"/>
        <v>38.875</v>
      </c>
      <c r="K8" s="4" t="s">
        <v>28</v>
      </c>
      <c r="L8" s="6">
        <v>44</v>
      </c>
      <c r="M8" s="4" t="s">
        <v>28</v>
      </c>
      <c r="N8" s="4">
        <v>35</v>
      </c>
      <c r="O8" s="4" t="s">
        <v>28</v>
      </c>
      <c r="P8" s="4">
        <v>38</v>
      </c>
      <c r="Q8" s="4" t="s">
        <v>28</v>
      </c>
      <c r="R8" s="4">
        <v>38.5</v>
      </c>
      <c r="S8" s="4" t="s">
        <v>28</v>
      </c>
      <c r="T8" s="4">
        <v>44</v>
      </c>
      <c r="U8" s="4" t="s">
        <v>28</v>
      </c>
      <c r="V8" s="7">
        <v>0.64861111111111114</v>
      </c>
      <c r="W8" s="4" t="s">
        <v>74</v>
      </c>
    </row>
    <row r="9" spans="1:23" x14ac:dyDescent="0.3">
      <c r="A9" s="8" t="s">
        <v>72</v>
      </c>
      <c r="B9" s="9" t="s">
        <v>73</v>
      </c>
      <c r="C9" s="9" t="s">
        <v>25</v>
      </c>
      <c r="D9" s="9">
        <v>1</v>
      </c>
      <c r="E9" s="9">
        <v>6</v>
      </c>
      <c r="F9" s="10">
        <v>46184</v>
      </c>
      <c r="H9" s="9">
        <v>5</v>
      </c>
      <c r="I9" s="9" t="s">
        <v>31</v>
      </c>
      <c r="J9" s="9" t="e">
        <f t="shared" si="0"/>
        <v>#DIV/0!</v>
      </c>
      <c r="T9" s="9">
        <v>0</v>
      </c>
    </row>
    <row r="10" spans="1:23" s="13" customFormat="1" ht="15" thickBot="1" x14ac:dyDescent="0.35">
      <c r="A10" s="12" t="s">
        <v>72</v>
      </c>
      <c r="B10" s="13" t="s">
        <v>73</v>
      </c>
      <c r="C10" s="13" t="s">
        <v>25</v>
      </c>
      <c r="D10" s="13">
        <v>1</v>
      </c>
      <c r="E10" s="13">
        <v>6</v>
      </c>
      <c r="F10" s="14">
        <v>46184</v>
      </c>
      <c r="G10" s="13">
        <f>SUM(H8:H10)</f>
        <v>100</v>
      </c>
      <c r="H10" s="13">
        <v>5</v>
      </c>
      <c r="I10" s="13" t="s">
        <v>29</v>
      </c>
      <c r="J10" s="13" t="e">
        <f t="shared" si="0"/>
        <v>#DIV/0!</v>
      </c>
      <c r="T10" s="13">
        <v>0</v>
      </c>
    </row>
    <row r="11" spans="1:23" s="4" customFormat="1" x14ac:dyDescent="0.3">
      <c r="A11" s="3" t="s">
        <v>72</v>
      </c>
      <c r="B11" s="4" t="s">
        <v>73</v>
      </c>
      <c r="C11" s="4" t="s">
        <v>25</v>
      </c>
      <c r="D11" s="4">
        <v>1</v>
      </c>
      <c r="E11" s="4">
        <v>12</v>
      </c>
      <c r="F11" s="5">
        <v>46184</v>
      </c>
      <c r="H11" s="4">
        <v>10</v>
      </c>
      <c r="I11" s="4" t="s">
        <v>29</v>
      </c>
      <c r="J11" s="4" t="e">
        <f t="shared" si="0"/>
        <v>#DIV/0!</v>
      </c>
      <c r="L11" s="4" t="s">
        <v>33</v>
      </c>
      <c r="T11" s="4">
        <v>0</v>
      </c>
    </row>
    <row r="12" spans="1:23" x14ac:dyDescent="0.3">
      <c r="A12" s="8" t="s">
        <v>72</v>
      </c>
      <c r="B12" s="9" t="s">
        <v>73</v>
      </c>
      <c r="C12" s="9" t="s">
        <v>25</v>
      </c>
      <c r="D12" s="9">
        <v>1</v>
      </c>
      <c r="E12" s="9">
        <v>12</v>
      </c>
      <c r="F12" s="10">
        <v>46184</v>
      </c>
      <c r="H12" s="19">
        <v>5</v>
      </c>
      <c r="I12" s="19" t="s">
        <v>31</v>
      </c>
      <c r="J12" s="9" t="e">
        <f t="shared" si="0"/>
        <v>#DIV/0!</v>
      </c>
    </row>
    <row r="13" spans="1:23" s="13" customFormat="1" ht="15" thickBot="1" x14ac:dyDescent="0.35">
      <c r="A13" s="12" t="s">
        <v>72</v>
      </c>
      <c r="B13" s="13" t="s">
        <v>73</v>
      </c>
      <c r="C13" s="13" t="s">
        <v>25</v>
      </c>
      <c r="D13" s="13">
        <v>1</v>
      </c>
      <c r="E13" s="13">
        <v>12</v>
      </c>
      <c r="F13" s="14">
        <v>46184</v>
      </c>
      <c r="G13" s="13">
        <f>SUM(H11:H13)</f>
        <v>105</v>
      </c>
      <c r="H13" s="15">
        <v>90</v>
      </c>
      <c r="I13" s="13" t="s">
        <v>28</v>
      </c>
      <c r="J13" s="13">
        <f t="shared" si="0"/>
        <v>36.875</v>
      </c>
      <c r="K13" s="13" t="s">
        <v>28</v>
      </c>
      <c r="L13" s="13">
        <v>36.5</v>
      </c>
      <c r="M13" s="13" t="s">
        <v>28</v>
      </c>
      <c r="N13" s="13">
        <v>34.5</v>
      </c>
      <c r="O13" s="13" t="s">
        <v>28</v>
      </c>
      <c r="P13" s="13">
        <v>37.5</v>
      </c>
      <c r="Q13" s="13" t="s">
        <v>28</v>
      </c>
      <c r="R13" s="15">
        <v>39</v>
      </c>
      <c r="S13" s="13" t="s">
        <v>28</v>
      </c>
      <c r="T13" s="13">
        <v>39</v>
      </c>
      <c r="U13" s="13" t="s">
        <v>28</v>
      </c>
      <c r="V13" s="16">
        <v>0.64652777777777781</v>
      </c>
    </row>
    <row r="14" spans="1:23" s="4" customFormat="1" x14ac:dyDescent="0.3">
      <c r="A14" s="3" t="s">
        <v>72</v>
      </c>
      <c r="B14" s="4" t="s">
        <v>73</v>
      </c>
      <c r="C14" s="4" t="s">
        <v>25</v>
      </c>
      <c r="D14" s="4">
        <v>1</v>
      </c>
      <c r="E14" s="4">
        <v>18</v>
      </c>
      <c r="F14" s="5">
        <v>46184</v>
      </c>
      <c r="H14" s="4">
        <v>10</v>
      </c>
      <c r="I14" s="4" t="s">
        <v>31</v>
      </c>
      <c r="J14" s="4" t="e">
        <f t="shared" si="0"/>
        <v>#DIV/0!</v>
      </c>
      <c r="T14" s="4">
        <v>0</v>
      </c>
    </row>
    <row r="15" spans="1:23" x14ac:dyDescent="0.3">
      <c r="A15" s="8" t="s">
        <v>72</v>
      </c>
      <c r="B15" s="9" t="s">
        <v>73</v>
      </c>
      <c r="C15" s="9" t="s">
        <v>25</v>
      </c>
      <c r="D15" s="9">
        <v>1</v>
      </c>
      <c r="E15" s="9">
        <v>18</v>
      </c>
      <c r="F15" s="10">
        <v>46184</v>
      </c>
      <c r="H15" s="11">
        <v>65</v>
      </c>
      <c r="I15" s="9" t="s">
        <v>34</v>
      </c>
      <c r="J15" s="9">
        <f t="shared" si="0"/>
        <v>20.75</v>
      </c>
      <c r="K15" s="9" t="s">
        <v>34</v>
      </c>
      <c r="L15" s="19">
        <v>20</v>
      </c>
      <c r="M15" s="9" t="s">
        <v>34</v>
      </c>
      <c r="N15" s="11">
        <v>23</v>
      </c>
      <c r="O15" s="9" t="s">
        <v>34</v>
      </c>
      <c r="P15" s="9">
        <v>20</v>
      </c>
      <c r="Q15" s="9" t="s">
        <v>34</v>
      </c>
      <c r="R15" s="9">
        <v>20</v>
      </c>
      <c r="S15" s="9" t="s">
        <v>34</v>
      </c>
      <c r="T15" s="9">
        <v>18.5</v>
      </c>
      <c r="U15" s="9" t="s">
        <v>34</v>
      </c>
      <c r="V15" s="17">
        <v>0.63472222222222219</v>
      </c>
      <c r="W15" s="9" t="s">
        <v>81</v>
      </c>
    </row>
    <row r="16" spans="1:23" x14ac:dyDescent="0.3">
      <c r="A16" s="8" t="s">
        <v>72</v>
      </c>
      <c r="B16" s="9" t="s">
        <v>73</v>
      </c>
      <c r="C16" s="9" t="s">
        <v>25</v>
      </c>
      <c r="D16" s="9">
        <v>1</v>
      </c>
      <c r="E16" s="9">
        <v>18</v>
      </c>
      <c r="F16" s="10">
        <v>46184</v>
      </c>
      <c r="H16" s="11">
        <v>15</v>
      </c>
      <c r="I16" s="9" t="s">
        <v>28</v>
      </c>
      <c r="J16" s="9">
        <f t="shared" si="0"/>
        <v>30.75</v>
      </c>
      <c r="K16" s="9" t="s">
        <v>28</v>
      </c>
      <c r="L16" s="9">
        <v>26.5</v>
      </c>
      <c r="M16" s="9" t="s">
        <v>28</v>
      </c>
      <c r="N16" s="9" t="s">
        <v>80</v>
      </c>
      <c r="O16" s="9" t="s">
        <v>28</v>
      </c>
      <c r="P16" s="9" t="s">
        <v>80</v>
      </c>
      <c r="Q16" s="9" t="s">
        <v>28</v>
      </c>
      <c r="R16" s="11">
        <v>35</v>
      </c>
      <c r="S16" s="9" t="s">
        <v>28</v>
      </c>
      <c r="T16" s="9">
        <v>35</v>
      </c>
      <c r="U16" s="9" t="s">
        <v>28</v>
      </c>
    </row>
    <row r="17" spans="1:23" x14ac:dyDescent="0.3">
      <c r="A17" s="8" t="s">
        <v>72</v>
      </c>
      <c r="B17" s="9" t="s">
        <v>73</v>
      </c>
      <c r="C17" s="9" t="s">
        <v>25</v>
      </c>
      <c r="D17" s="9">
        <v>1</v>
      </c>
      <c r="E17" s="9">
        <v>18</v>
      </c>
      <c r="F17" s="10">
        <v>46184</v>
      </c>
      <c r="H17" s="9">
        <v>5</v>
      </c>
      <c r="I17" s="9" t="s">
        <v>35</v>
      </c>
      <c r="J17" s="9" t="e">
        <f t="shared" si="0"/>
        <v>#DIV/0!</v>
      </c>
      <c r="T17" s="9">
        <v>0</v>
      </c>
    </row>
    <row r="18" spans="1:23" x14ac:dyDescent="0.3">
      <c r="A18" s="8" t="s">
        <v>72</v>
      </c>
      <c r="B18" s="9" t="s">
        <v>73</v>
      </c>
      <c r="C18" s="9" t="s">
        <v>25</v>
      </c>
      <c r="D18" s="9">
        <v>1</v>
      </c>
      <c r="E18" s="9">
        <v>18</v>
      </c>
      <c r="F18" s="10">
        <v>46184</v>
      </c>
      <c r="H18" s="9">
        <v>10</v>
      </c>
      <c r="I18" s="9" t="s">
        <v>29</v>
      </c>
      <c r="J18" s="9" t="e">
        <f t="shared" si="0"/>
        <v>#DIV/0!</v>
      </c>
      <c r="T18" s="9">
        <v>0</v>
      </c>
    </row>
    <row r="19" spans="1:23" s="13" customFormat="1" ht="15" thickBot="1" x14ac:dyDescent="0.35">
      <c r="A19" s="12" t="s">
        <v>72</v>
      </c>
      <c r="B19" s="13" t="s">
        <v>73</v>
      </c>
      <c r="C19" s="13" t="s">
        <v>25</v>
      </c>
      <c r="D19" s="13">
        <v>1</v>
      </c>
      <c r="E19" s="13">
        <v>18</v>
      </c>
      <c r="F19" s="14">
        <v>46184</v>
      </c>
      <c r="G19" s="13">
        <f>SUM(H14:H19)</f>
        <v>115</v>
      </c>
      <c r="H19" s="13">
        <v>10</v>
      </c>
      <c r="I19" s="13" t="s">
        <v>36</v>
      </c>
      <c r="J19" s="13" t="e">
        <f t="shared" si="0"/>
        <v>#DIV/0!</v>
      </c>
      <c r="T19" s="13">
        <v>0</v>
      </c>
    </row>
    <row r="20" spans="1:23" s="4" customFormat="1" x14ac:dyDescent="0.3">
      <c r="A20" s="3" t="s">
        <v>72</v>
      </c>
      <c r="B20" s="4" t="s">
        <v>73</v>
      </c>
      <c r="C20" s="4" t="s">
        <v>25</v>
      </c>
      <c r="D20" s="4">
        <v>1</v>
      </c>
      <c r="E20" s="4">
        <v>24</v>
      </c>
      <c r="F20" s="5">
        <v>46184</v>
      </c>
      <c r="H20" s="6">
        <v>35</v>
      </c>
      <c r="I20" s="4" t="s">
        <v>28</v>
      </c>
      <c r="J20" s="4">
        <f t="shared" si="0"/>
        <v>30.375</v>
      </c>
      <c r="K20" s="4" t="s">
        <v>28</v>
      </c>
      <c r="L20" s="4">
        <v>23</v>
      </c>
      <c r="M20" s="4" t="s">
        <v>28</v>
      </c>
      <c r="N20" s="18">
        <v>34</v>
      </c>
      <c r="O20" s="4" t="s">
        <v>28</v>
      </c>
      <c r="P20" s="6">
        <v>38.5</v>
      </c>
      <c r="Q20" s="4" t="s">
        <v>28</v>
      </c>
      <c r="R20" s="4">
        <v>26</v>
      </c>
      <c r="S20" s="4" t="s">
        <v>28</v>
      </c>
      <c r="T20" s="4">
        <v>38.5</v>
      </c>
      <c r="U20" s="4" t="s">
        <v>28</v>
      </c>
      <c r="V20" s="7">
        <v>0.625</v>
      </c>
      <c r="W20" s="4" t="s">
        <v>37</v>
      </c>
    </row>
    <row r="21" spans="1:23" x14ac:dyDescent="0.3">
      <c r="A21" s="8" t="s">
        <v>72</v>
      </c>
      <c r="B21" s="9" t="s">
        <v>73</v>
      </c>
      <c r="C21" s="9" t="s">
        <v>25</v>
      </c>
      <c r="D21" s="9">
        <v>1</v>
      </c>
      <c r="E21" s="9">
        <v>24</v>
      </c>
      <c r="F21" s="10">
        <v>46184</v>
      </c>
      <c r="H21" s="19">
        <v>25</v>
      </c>
      <c r="I21" s="9" t="s">
        <v>36</v>
      </c>
      <c r="J21" s="9" t="e">
        <f t="shared" si="0"/>
        <v>#DIV/0!</v>
      </c>
      <c r="R21" s="19"/>
      <c r="T21" s="9">
        <v>17</v>
      </c>
      <c r="U21" s="9" t="s">
        <v>36</v>
      </c>
      <c r="W21" s="9" t="s">
        <v>82</v>
      </c>
    </row>
    <row r="22" spans="1:23" x14ac:dyDescent="0.3">
      <c r="A22" s="8" t="s">
        <v>72</v>
      </c>
      <c r="B22" s="9" t="s">
        <v>73</v>
      </c>
      <c r="C22" s="9" t="s">
        <v>25</v>
      </c>
      <c r="D22" s="9">
        <v>1</v>
      </c>
      <c r="E22" s="9">
        <v>24</v>
      </c>
      <c r="F22" s="10">
        <v>46184</v>
      </c>
      <c r="H22" s="9">
        <v>15</v>
      </c>
      <c r="I22" s="9" t="s">
        <v>31</v>
      </c>
      <c r="J22" s="9" t="e">
        <f t="shared" si="0"/>
        <v>#DIV/0!</v>
      </c>
      <c r="T22" s="9">
        <v>0</v>
      </c>
    </row>
    <row r="23" spans="1:23" x14ac:dyDescent="0.3">
      <c r="A23" s="8" t="s">
        <v>72</v>
      </c>
      <c r="B23" s="9" t="s">
        <v>73</v>
      </c>
      <c r="C23" s="9" t="s">
        <v>25</v>
      </c>
      <c r="D23" s="9">
        <v>1</v>
      </c>
      <c r="E23" s="9">
        <v>24</v>
      </c>
      <c r="F23" s="10">
        <v>46184</v>
      </c>
      <c r="H23" s="9">
        <v>25</v>
      </c>
      <c r="I23" s="9" t="s">
        <v>35</v>
      </c>
      <c r="J23" s="9" t="e">
        <f t="shared" si="0"/>
        <v>#DIV/0!</v>
      </c>
      <c r="T23" s="9">
        <v>0</v>
      </c>
    </row>
    <row r="24" spans="1:23" x14ac:dyDescent="0.3">
      <c r="A24" s="8" t="s">
        <v>72</v>
      </c>
      <c r="B24" s="9" t="s">
        <v>73</v>
      </c>
      <c r="C24" s="9" t="s">
        <v>25</v>
      </c>
      <c r="D24" s="9">
        <v>1</v>
      </c>
      <c r="E24" s="9">
        <v>24</v>
      </c>
      <c r="F24" s="10">
        <v>46184</v>
      </c>
      <c r="H24" s="9">
        <v>30</v>
      </c>
      <c r="I24" s="9" t="s">
        <v>29</v>
      </c>
      <c r="J24" s="9" t="e">
        <f t="shared" si="0"/>
        <v>#DIV/0!</v>
      </c>
      <c r="T24" s="9">
        <v>0</v>
      </c>
    </row>
    <row r="25" spans="1:23" s="13" customFormat="1" ht="15" thickBot="1" x14ac:dyDescent="0.35">
      <c r="A25" s="12" t="s">
        <v>72</v>
      </c>
      <c r="B25" s="13" t="s">
        <v>73</v>
      </c>
      <c r="C25" s="13" t="s">
        <v>25</v>
      </c>
      <c r="D25" s="13">
        <v>1</v>
      </c>
      <c r="E25" s="13">
        <v>24</v>
      </c>
      <c r="F25" s="14">
        <v>46184</v>
      </c>
      <c r="G25" s="13">
        <f>SUM(H20:H25)</f>
        <v>170</v>
      </c>
      <c r="H25" s="15">
        <v>40</v>
      </c>
      <c r="I25" s="13" t="s">
        <v>34</v>
      </c>
      <c r="J25" s="13">
        <f t="shared" si="0"/>
        <v>15.75</v>
      </c>
      <c r="K25" s="13" t="s">
        <v>38</v>
      </c>
      <c r="L25" s="15">
        <v>17</v>
      </c>
      <c r="N25" s="13">
        <v>12</v>
      </c>
      <c r="P25" s="15">
        <v>17</v>
      </c>
      <c r="R25" s="15">
        <v>17</v>
      </c>
      <c r="T25" s="13">
        <v>18.5</v>
      </c>
      <c r="U25" s="13" t="s">
        <v>38</v>
      </c>
    </row>
    <row r="26" spans="1:23" s="4" customFormat="1" x14ac:dyDescent="0.3">
      <c r="A26" s="3" t="s">
        <v>72</v>
      </c>
      <c r="B26" s="4" t="s">
        <v>73</v>
      </c>
      <c r="C26" s="4" t="s">
        <v>25</v>
      </c>
      <c r="D26" s="4">
        <v>1</v>
      </c>
      <c r="E26" s="4">
        <v>48</v>
      </c>
      <c r="F26" s="5">
        <v>46184</v>
      </c>
      <c r="H26" s="6">
        <v>75</v>
      </c>
      <c r="I26" s="4" t="s">
        <v>28</v>
      </c>
      <c r="J26" s="4">
        <f t="shared" si="0"/>
        <v>35</v>
      </c>
      <c r="K26" s="4" t="s">
        <v>28</v>
      </c>
      <c r="L26" s="4">
        <v>31.5</v>
      </c>
      <c r="M26" s="4" t="s">
        <v>28</v>
      </c>
      <c r="N26" s="6">
        <v>40.5</v>
      </c>
      <c r="O26" s="4" t="s">
        <v>28</v>
      </c>
      <c r="P26" s="6">
        <v>35</v>
      </c>
      <c r="Q26" s="4" t="s">
        <v>28</v>
      </c>
      <c r="R26" s="4">
        <v>33</v>
      </c>
      <c r="S26" s="4" t="s">
        <v>28</v>
      </c>
      <c r="T26" s="4">
        <v>40.5</v>
      </c>
      <c r="U26" s="4" t="s">
        <v>28</v>
      </c>
      <c r="V26" s="7">
        <v>0.61597222222222225</v>
      </c>
    </row>
    <row r="27" spans="1:23" x14ac:dyDescent="0.3">
      <c r="A27" s="8" t="s">
        <v>72</v>
      </c>
      <c r="B27" s="9" t="s">
        <v>73</v>
      </c>
      <c r="C27" s="9" t="s">
        <v>25</v>
      </c>
      <c r="D27" s="9">
        <v>1</v>
      </c>
      <c r="E27" s="9">
        <v>48</v>
      </c>
      <c r="F27" s="10">
        <v>46184</v>
      </c>
      <c r="H27" s="9">
        <v>15</v>
      </c>
      <c r="I27" s="9" t="s">
        <v>36</v>
      </c>
      <c r="J27" s="9" t="e">
        <f t="shared" si="0"/>
        <v>#DIV/0!</v>
      </c>
      <c r="T27" s="9">
        <v>0</v>
      </c>
      <c r="W27" s="9" t="s">
        <v>83</v>
      </c>
    </row>
    <row r="28" spans="1:23" x14ac:dyDescent="0.3">
      <c r="A28" s="8" t="s">
        <v>72</v>
      </c>
      <c r="B28" s="9" t="s">
        <v>73</v>
      </c>
      <c r="C28" s="9" t="s">
        <v>25</v>
      </c>
      <c r="D28" s="9">
        <v>1</v>
      </c>
      <c r="E28" s="9">
        <v>48</v>
      </c>
      <c r="F28" s="10">
        <v>46184</v>
      </c>
      <c r="H28" s="9">
        <v>5</v>
      </c>
      <c r="I28" s="9" t="s">
        <v>29</v>
      </c>
      <c r="J28" s="9" t="e">
        <f t="shared" si="0"/>
        <v>#DIV/0!</v>
      </c>
      <c r="T28" s="9">
        <v>0</v>
      </c>
    </row>
    <row r="29" spans="1:23" s="13" customFormat="1" ht="15" thickBot="1" x14ac:dyDescent="0.35">
      <c r="A29" s="12" t="s">
        <v>72</v>
      </c>
      <c r="B29" s="13" t="s">
        <v>73</v>
      </c>
      <c r="C29" s="13" t="s">
        <v>25</v>
      </c>
      <c r="D29" s="13">
        <v>1</v>
      </c>
      <c r="E29" s="13">
        <v>48</v>
      </c>
      <c r="F29" s="14">
        <v>46184</v>
      </c>
      <c r="G29" s="13">
        <f>SUM(H26:H29)</f>
        <v>105</v>
      </c>
      <c r="H29" s="13">
        <v>10</v>
      </c>
      <c r="I29" s="13" t="s">
        <v>31</v>
      </c>
      <c r="J29" s="13" t="e">
        <f t="shared" si="0"/>
        <v>#DIV/0!</v>
      </c>
      <c r="T29" s="13">
        <v>0</v>
      </c>
    </row>
    <row r="30" spans="1:23" s="4" customFormat="1" x14ac:dyDescent="0.3">
      <c r="A30" s="3" t="s">
        <v>72</v>
      </c>
      <c r="B30" s="4" t="s">
        <v>73</v>
      </c>
      <c r="C30" s="4" t="s">
        <v>25</v>
      </c>
      <c r="D30" s="4">
        <v>2</v>
      </c>
      <c r="E30" s="4">
        <v>0.5</v>
      </c>
      <c r="F30" s="5">
        <v>46184</v>
      </c>
      <c r="H30" s="6">
        <v>10</v>
      </c>
      <c r="I30" s="4" t="s">
        <v>26</v>
      </c>
      <c r="J30" s="4">
        <f t="shared" si="0"/>
        <v>64.75</v>
      </c>
      <c r="K30" s="4" t="s">
        <v>26</v>
      </c>
      <c r="L30" s="18">
        <v>67</v>
      </c>
      <c r="N30" s="6">
        <v>71.5</v>
      </c>
      <c r="P30" s="4">
        <v>66.5</v>
      </c>
      <c r="R30" s="4">
        <v>54</v>
      </c>
      <c r="T30" s="4">
        <v>71.5</v>
      </c>
      <c r="V30" s="7">
        <v>0.67847222222222225</v>
      </c>
    </row>
    <row r="31" spans="1:23" x14ac:dyDescent="0.3">
      <c r="A31" s="8" t="s">
        <v>72</v>
      </c>
      <c r="B31" s="9" t="s">
        <v>73</v>
      </c>
      <c r="C31" s="9" t="s">
        <v>25</v>
      </c>
      <c r="D31" s="9">
        <v>2</v>
      </c>
      <c r="E31" s="9">
        <v>0.5</v>
      </c>
      <c r="F31" s="10">
        <v>46184</v>
      </c>
      <c r="H31" s="11">
        <v>50</v>
      </c>
      <c r="I31" s="9" t="s">
        <v>28</v>
      </c>
      <c r="J31" s="9">
        <f t="shared" si="0"/>
        <v>40.125</v>
      </c>
      <c r="K31" s="9" t="s">
        <v>28</v>
      </c>
      <c r="L31" s="9">
        <v>34.5</v>
      </c>
      <c r="M31" s="9" t="s">
        <v>28</v>
      </c>
      <c r="N31" s="19">
        <v>41</v>
      </c>
      <c r="O31" s="9" t="s">
        <v>28</v>
      </c>
      <c r="P31" s="11">
        <v>46</v>
      </c>
      <c r="Q31" s="9" t="s">
        <v>28</v>
      </c>
      <c r="R31" s="9">
        <v>39</v>
      </c>
      <c r="S31" s="9" t="s">
        <v>28</v>
      </c>
      <c r="T31" s="9">
        <v>46</v>
      </c>
      <c r="U31" s="9" t="s">
        <v>28</v>
      </c>
    </row>
    <row r="32" spans="1:23" x14ac:dyDescent="0.3">
      <c r="A32" s="8" t="s">
        <v>72</v>
      </c>
      <c r="B32" s="9" t="s">
        <v>73</v>
      </c>
      <c r="C32" s="9" t="s">
        <v>25</v>
      </c>
      <c r="D32" s="9">
        <v>2</v>
      </c>
      <c r="E32" s="9">
        <v>0.5</v>
      </c>
      <c r="F32" s="10">
        <v>46184</v>
      </c>
      <c r="H32" s="9">
        <v>25</v>
      </c>
      <c r="I32" s="9" t="s">
        <v>31</v>
      </c>
      <c r="J32" s="9" t="e">
        <f t="shared" si="0"/>
        <v>#DIV/0!</v>
      </c>
      <c r="T32" s="9">
        <v>0</v>
      </c>
    </row>
    <row r="33" spans="1:23" s="13" customFormat="1" ht="15" thickBot="1" x14ac:dyDescent="0.35">
      <c r="A33" s="12" t="s">
        <v>72</v>
      </c>
      <c r="B33" s="13" t="s">
        <v>73</v>
      </c>
      <c r="C33" s="13" t="s">
        <v>25</v>
      </c>
      <c r="D33" s="13">
        <v>2</v>
      </c>
      <c r="E33" s="13">
        <v>0.5</v>
      </c>
      <c r="F33" s="14">
        <v>46184</v>
      </c>
      <c r="G33" s="13">
        <f>SUM(H30:H33)</f>
        <v>130</v>
      </c>
      <c r="H33" s="21">
        <v>45</v>
      </c>
      <c r="I33" s="13" t="s">
        <v>36</v>
      </c>
      <c r="J33" s="13" t="e">
        <f t="shared" si="0"/>
        <v>#DIV/0!</v>
      </c>
      <c r="K33" s="21"/>
      <c r="L33" s="21"/>
      <c r="M33" s="21"/>
      <c r="N33" s="21"/>
      <c r="O33" s="21"/>
      <c r="P33" s="21"/>
      <c r="Q33" s="21"/>
      <c r="R33" s="21"/>
      <c r="S33" s="21"/>
      <c r="T33" s="13">
        <v>32</v>
      </c>
    </row>
    <row r="34" spans="1:23" s="4" customFormat="1" x14ac:dyDescent="0.3">
      <c r="A34" s="3" t="s">
        <v>72</v>
      </c>
      <c r="B34" s="4" t="s">
        <v>73</v>
      </c>
      <c r="C34" s="4" t="s">
        <v>25</v>
      </c>
      <c r="D34" s="4">
        <v>2</v>
      </c>
      <c r="E34" s="4">
        <v>2</v>
      </c>
      <c r="F34" s="5">
        <v>46184</v>
      </c>
      <c r="H34" s="6">
        <v>55</v>
      </c>
      <c r="I34" s="4" t="s">
        <v>28</v>
      </c>
      <c r="J34" s="4">
        <f t="shared" si="0"/>
        <v>33.875</v>
      </c>
      <c r="K34" s="4" t="s">
        <v>28</v>
      </c>
      <c r="L34" s="4">
        <v>32.5</v>
      </c>
      <c r="M34" s="4" t="s">
        <v>28</v>
      </c>
      <c r="N34" s="18">
        <v>33</v>
      </c>
      <c r="O34" s="4" t="s">
        <v>28</v>
      </c>
      <c r="P34" s="6">
        <v>35</v>
      </c>
      <c r="Q34" s="4" t="s">
        <v>28</v>
      </c>
      <c r="R34" s="6">
        <v>35</v>
      </c>
      <c r="S34" s="4" t="s">
        <v>28</v>
      </c>
      <c r="T34" s="4">
        <v>35</v>
      </c>
      <c r="U34" s="4" t="s">
        <v>28</v>
      </c>
      <c r="V34" s="7">
        <v>0.68680555555555556</v>
      </c>
    </row>
    <row r="35" spans="1:23" x14ac:dyDescent="0.3">
      <c r="A35" s="8" t="s">
        <v>72</v>
      </c>
      <c r="B35" s="9" t="s">
        <v>73</v>
      </c>
      <c r="C35" s="9" t="s">
        <v>25</v>
      </c>
      <c r="D35" s="9">
        <v>2</v>
      </c>
      <c r="E35" s="9">
        <v>2</v>
      </c>
      <c r="F35" s="10">
        <v>46184</v>
      </c>
      <c r="H35" s="9">
        <v>20</v>
      </c>
      <c r="I35" s="9" t="s">
        <v>31</v>
      </c>
      <c r="J35" s="9" t="e">
        <f t="shared" si="0"/>
        <v>#DIV/0!</v>
      </c>
      <c r="T35" s="9">
        <v>0</v>
      </c>
    </row>
    <row r="36" spans="1:23" x14ac:dyDescent="0.3">
      <c r="A36" s="8" t="s">
        <v>72</v>
      </c>
      <c r="B36" s="9" t="s">
        <v>73</v>
      </c>
      <c r="C36" s="9" t="s">
        <v>25</v>
      </c>
      <c r="D36" s="9">
        <v>2</v>
      </c>
      <c r="E36" s="9">
        <v>2</v>
      </c>
      <c r="F36" s="10">
        <v>46184</v>
      </c>
      <c r="H36" s="9">
        <v>30</v>
      </c>
      <c r="I36" s="9" t="s">
        <v>36</v>
      </c>
      <c r="J36" s="9" t="e">
        <f t="shared" si="0"/>
        <v>#DIV/0!</v>
      </c>
      <c r="T36" s="9">
        <v>0</v>
      </c>
    </row>
    <row r="37" spans="1:23" s="13" customFormat="1" ht="15" thickBot="1" x14ac:dyDescent="0.35">
      <c r="A37" s="12" t="s">
        <v>72</v>
      </c>
      <c r="B37" s="13" t="s">
        <v>73</v>
      </c>
      <c r="C37" s="13" t="s">
        <v>25</v>
      </c>
      <c r="D37" s="13">
        <v>2</v>
      </c>
      <c r="E37" s="13">
        <v>2</v>
      </c>
      <c r="F37" s="14">
        <v>46184</v>
      </c>
      <c r="G37" s="13">
        <f>SUM(H34:H37)</f>
        <v>110</v>
      </c>
      <c r="H37" s="13">
        <v>5</v>
      </c>
      <c r="I37" s="13" t="s">
        <v>29</v>
      </c>
      <c r="J37" s="13" t="e">
        <f t="shared" si="0"/>
        <v>#DIV/0!</v>
      </c>
      <c r="T37" s="13">
        <v>0</v>
      </c>
    </row>
    <row r="38" spans="1:23" x14ac:dyDescent="0.3">
      <c r="A38" s="9" t="s">
        <v>72</v>
      </c>
      <c r="B38" s="9" t="s">
        <v>73</v>
      </c>
      <c r="C38" s="9" t="s">
        <v>25</v>
      </c>
      <c r="D38" s="9">
        <v>2</v>
      </c>
      <c r="E38" s="9">
        <v>6</v>
      </c>
      <c r="F38" s="10">
        <v>46184</v>
      </c>
      <c r="H38" s="11">
        <v>85</v>
      </c>
      <c r="I38" s="9" t="s">
        <v>28</v>
      </c>
      <c r="J38" s="9">
        <f t="shared" si="0"/>
        <v>36.875</v>
      </c>
      <c r="K38" s="9" t="s">
        <v>28</v>
      </c>
      <c r="L38" s="9">
        <v>33.5</v>
      </c>
      <c r="M38" s="9" t="s">
        <v>28</v>
      </c>
      <c r="N38" s="11">
        <v>42</v>
      </c>
      <c r="O38" s="9" t="s">
        <v>28</v>
      </c>
      <c r="P38" s="9">
        <v>39</v>
      </c>
      <c r="Q38" s="9" t="s">
        <v>28</v>
      </c>
      <c r="R38" s="9">
        <v>33</v>
      </c>
      <c r="S38" s="9" t="s">
        <v>28</v>
      </c>
      <c r="T38" s="9">
        <v>42</v>
      </c>
      <c r="U38" s="9" t="s">
        <v>28</v>
      </c>
      <c r="V38" s="17">
        <v>0.44722222222222224</v>
      </c>
      <c r="W38" s="9" t="s">
        <v>78</v>
      </c>
    </row>
    <row r="39" spans="1:23" x14ac:dyDescent="0.3">
      <c r="A39" s="9" t="s">
        <v>72</v>
      </c>
      <c r="B39" s="9" t="s">
        <v>73</v>
      </c>
      <c r="C39" s="9" t="s">
        <v>25</v>
      </c>
      <c r="D39" s="9">
        <v>2</v>
      </c>
      <c r="E39" s="9">
        <v>6</v>
      </c>
      <c r="F39" s="10">
        <v>46184</v>
      </c>
      <c r="H39" s="9">
        <v>10</v>
      </c>
      <c r="I39" s="9" t="s">
        <v>31</v>
      </c>
      <c r="J39" s="9" t="e">
        <f t="shared" si="0"/>
        <v>#DIV/0!</v>
      </c>
      <c r="T39" s="9">
        <v>0</v>
      </c>
    </row>
    <row r="40" spans="1:23" x14ac:dyDescent="0.3">
      <c r="A40" s="9" t="s">
        <v>72</v>
      </c>
      <c r="B40" s="9" t="s">
        <v>73</v>
      </c>
      <c r="C40" s="9" t="s">
        <v>25</v>
      </c>
      <c r="D40" s="9">
        <v>2</v>
      </c>
      <c r="E40" s="9">
        <v>6</v>
      </c>
      <c r="F40" s="10">
        <v>46184</v>
      </c>
      <c r="H40" s="9">
        <v>20</v>
      </c>
      <c r="I40" s="9" t="s">
        <v>29</v>
      </c>
      <c r="J40" s="9" t="e">
        <f t="shared" si="0"/>
        <v>#DIV/0!</v>
      </c>
      <c r="T40" s="9">
        <v>0</v>
      </c>
    </row>
    <row r="41" spans="1:23" x14ac:dyDescent="0.3">
      <c r="A41" s="9" t="s">
        <v>72</v>
      </c>
      <c r="B41" s="9" t="s">
        <v>73</v>
      </c>
      <c r="C41" s="9" t="s">
        <v>25</v>
      </c>
      <c r="D41" s="9">
        <v>2</v>
      </c>
      <c r="E41" s="9">
        <v>6</v>
      </c>
      <c r="F41" s="10">
        <v>46184</v>
      </c>
      <c r="G41" s="9">
        <f>SUM(H38:H41)</f>
        <v>120</v>
      </c>
      <c r="H41" s="9">
        <v>5</v>
      </c>
      <c r="I41" s="9" t="s">
        <v>36</v>
      </c>
      <c r="J41" s="9" t="e">
        <f t="shared" si="0"/>
        <v>#DIV/0!</v>
      </c>
      <c r="T41" s="9">
        <v>0</v>
      </c>
    </row>
    <row r="42" spans="1:23" x14ac:dyDescent="0.3">
      <c r="A42" s="9" t="s">
        <v>72</v>
      </c>
      <c r="B42" s="9" t="s">
        <v>73</v>
      </c>
      <c r="C42" s="9" t="s">
        <v>25</v>
      </c>
      <c r="D42" s="9">
        <v>2</v>
      </c>
      <c r="E42" s="9">
        <v>12</v>
      </c>
      <c r="F42" s="10">
        <v>46184</v>
      </c>
      <c r="H42" s="11">
        <v>75</v>
      </c>
      <c r="I42" s="9" t="s">
        <v>28</v>
      </c>
      <c r="J42" s="9">
        <f t="shared" si="0"/>
        <v>32.25</v>
      </c>
      <c r="K42" s="9" t="s">
        <v>28</v>
      </c>
      <c r="L42" s="11">
        <v>35</v>
      </c>
      <c r="M42" s="9" t="s">
        <v>28</v>
      </c>
      <c r="N42" s="9">
        <v>28</v>
      </c>
      <c r="O42" s="9" t="s">
        <v>28</v>
      </c>
      <c r="P42" s="9">
        <v>33</v>
      </c>
      <c r="Q42" s="9" t="s">
        <v>28</v>
      </c>
      <c r="R42" s="9">
        <v>33</v>
      </c>
      <c r="S42" s="9" t="s">
        <v>28</v>
      </c>
      <c r="T42" s="9">
        <v>35</v>
      </c>
      <c r="U42" s="9" t="s">
        <v>28</v>
      </c>
      <c r="V42" s="17">
        <v>0.45347222222222222</v>
      </c>
    </row>
    <row r="43" spans="1:23" x14ac:dyDescent="0.3">
      <c r="A43" s="9" t="s">
        <v>72</v>
      </c>
      <c r="B43" s="9" t="s">
        <v>73</v>
      </c>
      <c r="C43" s="9" t="s">
        <v>25</v>
      </c>
      <c r="D43" s="9">
        <v>2</v>
      </c>
      <c r="E43" s="9">
        <v>12</v>
      </c>
      <c r="F43" s="10">
        <v>46184</v>
      </c>
      <c r="H43" s="9">
        <v>10</v>
      </c>
      <c r="I43" s="9" t="s">
        <v>36</v>
      </c>
      <c r="J43" s="9" t="e">
        <f t="shared" si="0"/>
        <v>#DIV/0!</v>
      </c>
      <c r="T43" s="9">
        <v>0</v>
      </c>
    </row>
    <row r="44" spans="1:23" x14ac:dyDescent="0.3">
      <c r="A44" s="9" t="s">
        <v>72</v>
      </c>
      <c r="B44" s="9" t="s">
        <v>73</v>
      </c>
      <c r="C44" s="9" t="s">
        <v>25</v>
      </c>
      <c r="D44" s="9">
        <v>2</v>
      </c>
      <c r="E44" s="9">
        <v>12</v>
      </c>
      <c r="F44" s="10">
        <v>46184</v>
      </c>
      <c r="H44" s="9">
        <v>25</v>
      </c>
      <c r="I44" s="9" t="s">
        <v>31</v>
      </c>
      <c r="J44" s="9" t="e">
        <f t="shared" si="0"/>
        <v>#DIV/0!</v>
      </c>
      <c r="T44" s="9">
        <v>0</v>
      </c>
    </row>
    <row r="45" spans="1:23" x14ac:dyDescent="0.3">
      <c r="A45" s="9" t="s">
        <v>72</v>
      </c>
      <c r="B45" s="9" t="s">
        <v>73</v>
      </c>
      <c r="C45" s="9" t="s">
        <v>25</v>
      </c>
      <c r="D45" s="9">
        <v>2</v>
      </c>
      <c r="E45" s="9">
        <v>12</v>
      </c>
      <c r="F45" s="10">
        <v>46184</v>
      </c>
      <c r="G45" s="9">
        <f>SUM(H42:H45)</f>
        <v>125</v>
      </c>
      <c r="H45" s="9">
        <v>15</v>
      </c>
      <c r="I45" s="9" t="s">
        <v>29</v>
      </c>
      <c r="J45" s="9" t="e">
        <f t="shared" si="0"/>
        <v>#DIV/0!</v>
      </c>
      <c r="T45" s="9">
        <v>0</v>
      </c>
    </row>
    <row r="46" spans="1:23" x14ac:dyDescent="0.3">
      <c r="A46" s="9" t="s">
        <v>72</v>
      </c>
      <c r="B46" s="9" t="s">
        <v>73</v>
      </c>
      <c r="C46" s="9" t="s">
        <v>25</v>
      </c>
      <c r="D46" s="9">
        <v>2</v>
      </c>
      <c r="E46" s="9">
        <v>18</v>
      </c>
      <c r="F46" s="10">
        <v>46184</v>
      </c>
      <c r="H46" s="9">
        <v>10</v>
      </c>
      <c r="I46" s="9" t="s">
        <v>31</v>
      </c>
      <c r="J46" s="9" t="e">
        <f t="shared" si="0"/>
        <v>#DIV/0!</v>
      </c>
      <c r="T46" s="9">
        <v>0</v>
      </c>
    </row>
    <row r="47" spans="1:23" x14ac:dyDescent="0.3">
      <c r="A47" s="9" t="s">
        <v>72</v>
      </c>
      <c r="B47" s="9" t="s">
        <v>73</v>
      </c>
      <c r="C47" s="9" t="s">
        <v>25</v>
      </c>
      <c r="D47" s="9">
        <v>2</v>
      </c>
      <c r="E47" s="9">
        <v>18</v>
      </c>
      <c r="F47" s="10">
        <v>46184</v>
      </c>
      <c r="H47" s="11">
        <v>40</v>
      </c>
      <c r="I47" s="9" t="s">
        <v>38</v>
      </c>
      <c r="J47" s="9">
        <f t="shared" si="0"/>
        <v>16.25</v>
      </c>
      <c r="K47" s="9" t="s">
        <v>38</v>
      </c>
      <c r="L47" s="9">
        <v>12</v>
      </c>
      <c r="N47" s="9">
        <v>18</v>
      </c>
      <c r="P47" s="9">
        <v>11</v>
      </c>
      <c r="R47" s="11">
        <v>24</v>
      </c>
      <c r="T47" s="9">
        <v>24</v>
      </c>
      <c r="V47" s="17">
        <v>0.46111111111111114</v>
      </c>
    </row>
    <row r="48" spans="1:23" x14ac:dyDescent="0.3">
      <c r="A48" s="9" t="s">
        <v>72</v>
      </c>
      <c r="B48" s="9" t="s">
        <v>73</v>
      </c>
      <c r="C48" s="9" t="s">
        <v>25</v>
      </c>
      <c r="D48" s="9">
        <v>2</v>
      </c>
      <c r="E48" s="9">
        <v>18</v>
      </c>
      <c r="F48" s="10">
        <v>46184</v>
      </c>
      <c r="H48" s="11">
        <v>20</v>
      </c>
      <c r="I48" s="9" t="s">
        <v>28</v>
      </c>
      <c r="J48" s="9">
        <f t="shared" si="0"/>
        <v>24.75</v>
      </c>
      <c r="K48" s="9" t="s">
        <v>28</v>
      </c>
      <c r="L48" s="9">
        <v>17</v>
      </c>
      <c r="M48" s="9" t="s">
        <v>28</v>
      </c>
      <c r="N48" s="9">
        <v>26</v>
      </c>
      <c r="O48" s="9" t="s">
        <v>28</v>
      </c>
      <c r="P48" s="11">
        <v>29</v>
      </c>
      <c r="Q48" s="9" t="s">
        <v>28</v>
      </c>
      <c r="R48" s="9">
        <v>27</v>
      </c>
      <c r="S48" s="9" t="s">
        <v>28</v>
      </c>
      <c r="T48" s="9">
        <v>29</v>
      </c>
      <c r="U48" s="9" t="s">
        <v>28</v>
      </c>
    </row>
    <row r="49" spans="1:23" x14ac:dyDescent="0.3">
      <c r="A49" s="9" t="s">
        <v>72</v>
      </c>
      <c r="B49" s="9" t="s">
        <v>73</v>
      </c>
      <c r="C49" s="9" t="s">
        <v>25</v>
      </c>
      <c r="D49" s="9">
        <v>2</v>
      </c>
      <c r="E49" s="9">
        <v>18</v>
      </c>
      <c r="F49" s="10">
        <v>46184</v>
      </c>
      <c r="H49" s="9">
        <v>30</v>
      </c>
      <c r="I49" s="9" t="s">
        <v>36</v>
      </c>
      <c r="J49" s="9" t="e">
        <f t="shared" si="0"/>
        <v>#DIV/0!</v>
      </c>
      <c r="T49" s="9">
        <v>0</v>
      </c>
      <c r="W49" s="9" t="s">
        <v>79</v>
      </c>
    </row>
    <row r="50" spans="1:23" x14ac:dyDescent="0.3">
      <c r="A50" s="9" t="s">
        <v>72</v>
      </c>
      <c r="B50" s="9" t="s">
        <v>73</v>
      </c>
      <c r="C50" s="9" t="s">
        <v>25</v>
      </c>
      <c r="D50" s="9">
        <v>2</v>
      </c>
      <c r="E50" s="9">
        <v>18</v>
      </c>
      <c r="F50" s="10">
        <v>46184</v>
      </c>
      <c r="G50" s="9">
        <f>SUM(H46:H50)</f>
        <v>140</v>
      </c>
      <c r="H50" s="9">
        <v>40</v>
      </c>
      <c r="I50" s="9" t="s">
        <v>29</v>
      </c>
      <c r="J50" s="9" t="e">
        <f t="shared" si="0"/>
        <v>#DIV/0!</v>
      </c>
      <c r="T50" s="9">
        <v>0</v>
      </c>
    </row>
    <row r="51" spans="1:23" x14ac:dyDescent="0.3">
      <c r="A51" s="9" t="s">
        <v>72</v>
      </c>
      <c r="B51" s="9" t="s">
        <v>73</v>
      </c>
      <c r="C51" s="9" t="s">
        <v>25</v>
      </c>
      <c r="D51" s="9">
        <v>2</v>
      </c>
      <c r="E51" s="9">
        <v>24</v>
      </c>
      <c r="F51" s="10">
        <v>46184</v>
      </c>
      <c r="H51" s="11">
        <v>65</v>
      </c>
      <c r="I51" s="9" t="s">
        <v>28</v>
      </c>
      <c r="J51" s="9">
        <f t="shared" si="0"/>
        <v>42.25</v>
      </c>
      <c r="K51" s="9" t="s">
        <v>28</v>
      </c>
      <c r="L51" s="11">
        <v>55</v>
      </c>
      <c r="M51" s="9" t="s">
        <v>28</v>
      </c>
      <c r="N51" s="9">
        <v>43</v>
      </c>
      <c r="O51" s="9" t="s">
        <v>28</v>
      </c>
      <c r="P51" s="9">
        <v>39</v>
      </c>
      <c r="Q51" s="9" t="s">
        <v>28</v>
      </c>
      <c r="R51" s="9">
        <v>32</v>
      </c>
      <c r="S51" s="9" t="s">
        <v>28</v>
      </c>
      <c r="T51" s="9">
        <v>55</v>
      </c>
      <c r="U51" s="9" t="s">
        <v>28</v>
      </c>
      <c r="V51" s="17">
        <v>0.46944444444444444</v>
      </c>
    </row>
    <row r="52" spans="1:23" x14ac:dyDescent="0.3">
      <c r="A52" s="9" t="s">
        <v>72</v>
      </c>
      <c r="B52" s="9" t="s">
        <v>73</v>
      </c>
      <c r="C52" s="9" t="s">
        <v>25</v>
      </c>
      <c r="D52" s="9">
        <v>2</v>
      </c>
      <c r="E52" s="9">
        <v>24</v>
      </c>
      <c r="F52" s="10">
        <v>46184</v>
      </c>
      <c r="H52" s="9">
        <v>25</v>
      </c>
      <c r="I52" s="9" t="s">
        <v>36</v>
      </c>
      <c r="J52" s="9" t="e">
        <f t="shared" si="0"/>
        <v>#DIV/0!</v>
      </c>
      <c r="T52" s="9">
        <v>0</v>
      </c>
    </row>
    <row r="53" spans="1:23" x14ac:dyDescent="0.3">
      <c r="A53" s="9" t="s">
        <v>72</v>
      </c>
      <c r="B53" s="9" t="s">
        <v>73</v>
      </c>
      <c r="C53" s="9" t="s">
        <v>25</v>
      </c>
      <c r="D53" s="9">
        <v>2</v>
      </c>
      <c r="E53" s="9">
        <v>24</v>
      </c>
      <c r="F53" s="10">
        <v>46184</v>
      </c>
      <c r="H53" s="9">
        <v>20</v>
      </c>
      <c r="I53" s="9" t="s">
        <v>31</v>
      </c>
      <c r="J53" s="9" t="e">
        <f t="shared" si="0"/>
        <v>#DIV/0!</v>
      </c>
      <c r="T53" s="9">
        <v>0</v>
      </c>
    </row>
    <row r="54" spans="1:23" x14ac:dyDescent="0.3">
      <c r="A54" s="9" t="s">
        <v>72</v>
      </c>
      <c r="B54" s="9" t="s">
        <v>73</v>
      </c>
      <c r="C54" s="9" t="s">
        <v>25</v>
      </c>
      <c r="D54" s="9">
        <v>2</v>
      </c>
      <c r="E54" s="9">
        <v>24</v>
      </c>
      <c r="F54" s="10">
        <v>46184</v>
      </c>
      <c r="G54" s="9">
        <f>SUM(H51:H54)</f>
        <v>120</v>
      </c>
      <c r="H54" s="9">
        <v>10</v>
      </c>
      <c r="I54" s="9" t="s">
        <v>29</v>
      </c>
      <c r="J54" s="9" t="e">
        <f t="shared" si="0"/>
        <v>#DIV/0!</v>
      </c>
      <c r="T54" s="9">
        <v>0</v>
      </c>
    </row>
    <row r="55" spans="1:23" x14ac:dyDescent="0.3">
      <c r="A55" s="9" t="s">
        <v>72</v>
      </c>
      <c r="B55" s="9" t="s">
        <v>73</v>
      </c>
      <c r="C55" s="9" t="s">
        <v>25</v>
      </c>
      <c r="D55" s="9">
        <v>2</v>
      </c>
      <c r="E55" s="9">
        <v>48</v>
      </c>
      <c r="F55" s="10">
        <v>46184</v>
      </c>
      <c r="H55" s="11">
        <v>70</v>
      </c>
      <c r="I55" s="9" t="s">
        <v>28</v>
      </c>
      <c r="J55" s="9">
        <f t="shared" si="0"/>
        <v>38.375</v>
      </c>
      <c r="K55" s="9" t="s">
        <v>28</v>
      </c>
      <c r="L55" s="9">
        <v>37.5</v>
      </c>
      <c r="M55" s="9" t="s">
        <v>28</v>
      </c>
      <c r="N55" s="9">
        <v>34</v>
      </c>
      <c r="O55" s="9" t="s">
        <v>28</v>
      </c>
      <c r="P55" s="9">
        <v>40</v>
      </c>
      <c r="Q55" s="9" t="s">
        <v>28</v>
      </c>
      <c r="R55" s="11">
        <v>42</v>
      </c>
      <c r="S55" s="9" t="s">
        <v>28</v>
      </c>
      <c r="T55" s="9">
        <v>42</v>
      </c>
      <c r="U55" s="9" t="s">
        <v>28</v>
      </c>
      <c r="V55" s="9" t="s">
        <v>40</v>
      </c>
    </row>
    <row r="56" spans="1:23" x14ac:dyDescent="0.3">
      <c r="A56" s="9" t="s">
        <v>72</v>
      </c>
      <c r="B56" s="9" t="s">
        <v>73</v>
      </c>
      <c r="C56" s="9" t="s">
        <v>25</v>
      </c>
      <c r="D56" s="9">
        <v>2</v>
      </c>
      <c r="E56" s="9">
        <v>48</v>
      </c>
      <c r="F56" s="10">
        <v>46184</v>
      </c>
      <c r="H56" s="9">
        <v>20</v>
      </c>
      <c r="I56" s="9" t="s">
        <v>31</v>
      </c>
      <c r="J56" s="9" t="e">
        <f t="shared" si="0"/>
        <v>#DIV/0!</v>
      </c>
      <c r="T56" s="9">
        <v>0</v>
      </c>
    </row>
    <row r="57" spans="1:23" x14ac:dyDescent="0.3">
      <c r="A57" s="9" t="s">
        <v>72</v>
      </c>
      <c r="B57" s="9" t="s">
        <v>73</v>
      </c>
      <c r="C57" s="9" t="s">
        <v>25</v>
      </c>
      <c r="D57" s="9">
        <v>2</v>
      </c>
      <c r="E57" s="9">
        <v>48</v>
      </c>
      <c r="F57" s="10">
        <v>46184</v>
      </c>
      <c r="H57" s="9">
        <v>25</v>
      </c>
      <c r="I57" s="9" t="s">
        <v>36</v>
      </c>
      <c r="J57" s="9" t="e">
        <f t="shared" si="0"/>
        <v>#DIV/0!</v>
      </c>
      <c r="T57" s="9">
        <v>0</v>
      </c>
    </row>
    <row r="58" spans="1:23" x14ac:dyDescent="0.3">
      <c r="A58" s="9" t="s">
        <v>72</v>
      </c>
      <c r="B58" s="9" t="s">
        <v>73</v>
      </c>
      <c r="C58" s="9" t="s">
        <v>25</v>
      </c>
      <c r="D58" s="9">
        <v>2</v>
      </c>
      <c r="E58" s="9">
        <v>48</v>
      </c>
      <c r="F58" s="10">
        <v>46184</v>
      </c>
      <c r="G58" s="9">
        <f>SUM(H55:H58)</f>
        <v>130</v>
      </c>
      <c r="H58" s="9">
        <v>15</v>
      </c>
      <c r="I58" s="9" t="s">
        <v>29</v>
      </c>
      <c r="J58" s="9" t="e">
        <f t="shared" si="0"/>
        <v>#DIV/0!</v>
      </c>
      <c r="T58" s="9">
        <v>0</v>
      </c>
    </row>
    <row r="59" spans="1:23" x14ac:dyDescent="0.3">
      <c r="A59" s="9" t="s">
        <v>72</v>
      </c>
      <c r="B59" s="9" t="s">
        <v>73</v>
      </c>
      <c r="C59" s="9" t="s">
        <v>41</v>
      </c>
      <c r="D59" s="9">
        <v>1</v>
      </c>
      <c r="E59" s="9">
        <v>0.5</v>
      </c>
      <c r="F59" s="10"/>
      <c r="H59" s="9">
        <v>10</v>
      </c>
      <c r="I59" s="9" t="s">
        <v>42</v>
      </c>
      <c r="J59" s="9" t="e">
        <f t="shared" si="0"/>
        <v>#DIV/0!</v>
      </c>
      <c r="T59" s="9">
        <v>0</v>
      </c>
    </row>
    <row r="60" spans="1:23" x14ac:dyDescent="0.3">
      <c r="A60" s="9" t="s">
        <v>72</v>
      </c>
      <c r="B60" s="9" t="s">
        <v>73</v>
      </c>
      <c r="C60" s="9" t="s">
        <v>41</v>
      </c>
      <c r="D60" s="9">
        <v>1</v>
      </c>
      <c r="E60" s="9">
        <v>0.5</v>
      </c>
      <c r="F60" s="10"/>
      <c r="H60" s="9">
        <v>60</v>
      </c>
      <c r="I60" s="9" t="s">
        <v>31</v>
      </c>
      <c r="J60" s="9">
        <f t="shared" si="0"/>
        <v>15.375</v>
      </c>
      <c r="K60" s="9" t="s">
        <v>43</v>
      </c>
      <c r="L60" s="9">
        <v>18</v>
      </c>
      <c r="N60" s="9">
        <v>13</v>
      </c>
      <c r="P60" s="9">
        <v>10</v>
      </c>
      <c r="R60" s="9">
        <v>20.5</v>
      </c>
      <c r="T60" s="9">
        <v>20.5</v>
      </c>
      <c r="V60" s="17">
        <v>0.43958333333333333</v>
      </c>
    </row>
    <row r="61" spans="1:23" x14ac:dyDescent="0.3">
      <c r="A61" s="9" t="s">
        <v>72</v>
      </c>
      <c r="B61" s="9" t="s">
        <v>73</v>
      </c>
      <c r="C61" s="9" t="s">
        <v>41</v>
      </c>
      <c r="D61" s="9">
        <v>1</v>
      </c>
      <c r="E61" s="9">
        <v>0.5</v>
      </c>
      <c r="F61" s="10"/>
      <c r="H61" s="9">
        <v>40</v>
      </c>
      <c r="I61" s="9" t="s">
        <v>28</v>
      </c>
      <c r="J61" s="9">
        <f t="shared" si="0"/>
        <v>26.25</v>
      </c>
      <c r="K61" s="9" t="s">
        <v>28</v>
      </c>
      <c r="L61" s="9">
        <v>28</v>
      </c>
      <c r="M61" s="9" t="s">
        <v>28</v>
      </c>
      <c r="N61" s="9">
        <v>21.5</v>
      </c>
      <c r="O61" s="9" t="s">
        <v>28</v>
      </c>
      <c r="P61" s="9">
        <v>29</v>
      </c>
      <c r="Q61" s="9" t="s">
        <v>28</v>
      </c>
      <c r="R61" s="9">
        <v>26.5</v>
      </c>
      <c r="S61" s="9" t="s">
        <v>28</v>
      </c>
      <c r="T61" s="9">
        <v>29</v>
      </c>
      <c r="U61" s="9" t="s">
        <v>28</v>
      </c>
    </row>
    <row r="62" spans="1:23" x14ac:dyDescent="0.3">
      <c r="A62" s="9" t="s">
        <v>72</v>
      </c>
      <c r="B62" s="9" t="s">
        <v>73</v>
      </c>
      <c r="C62" s="9" t="s">
        <v>41</v>
      </c>
      <c r="D62" s="9">
        <v>1</v>
      </c>
      <c r="E62" s="9">
        <v>0.5</v>
      </c>
      <c r="F62" s="10"/>
      <c r="G62" s="9">
        <f>SUM(H59:H62)</f>
        <v>125</v>
      </c>
      <c r="H62" s="9">
        <v>15</v>
      </c>
      <c r="I62" s="9" t="s">
        <v>29</v>
      </c>
      <c r="J62" s="9" t="e">
        <f t="shared" si="0"/>
        <v>#DIV/0!</v>
      </c>
      <c r="T62" s="9">
        <v>0</v>
      </c>
    </row>
    <row r="63" spans="1:23" x14ac:dyDescent="0.3">
      <c r="A63" s="9" t="s">
        <v>72</v>
      </c>
      <c r="B63" s="9" t="s">
        <v>73</v>
      </c>
      <c r="C63" s="9" t="s">
        <v>41</v>
      </c>
      <c r="D63" s="9">
        <v>1</v>
      </c>
      <c r="E63" s="9">
        <v>2</v>
      </c>
      <c r="F63" s="10"/>
      <c r="H63" s="9">
        <v>15</v>
      </c>
      <c r="I63" s="9" t="s">
        <v>31</v>
      </c>
      <c r="J63" s="9" t="e">
        <f t="shared" si="0"/>
        <v>#DIV/0!</v>
      </c>
      <c r="T63" s="9">
        <v>0</v>
      </c>
    </row>
    <row r="64" spans="1:23" x14ac:dyDescent="0.3">
      <c r="A64" s="9" t="s">
        <v>72</v>
      </c>
      <c r="B64" s="9" t="s">
        <v>73</v>
      </c>
      <c r="C64" s="9" t="s">
        <v>41</v>
      </c>
      <c r="D64" s="9">
        <v>1</v>
      </c>
      <c r="E64" s="9">
        <v>2</v>
      </c>
      <c r="F64" s="10"/>
      <c r="H64" s="9">
        <v>50</v>
      </c>
      <c r="I64" s="9" t="s">
        <v>28</v>
      </c>
      <c r="J64" s="9">
        <f t="shared" si="0"/>
        <v>28.875</v>
      </c>
      <c r="K64" s="9" t="s">
        <v>28</v>
      </c>
      <c r="L64" s="9">
        <v>31</v>
      </c>
      <c r="M64" s="9" t="s">
        <v>28</v>
      </c>
      <c r="N64" s="9">
        <v>29</v>
      </c>
      <c r="O64" s="9" t="s">
        <v>28</v>
      </c>
      <c r="P64" s="9">
        <v>28</v>
      </c>
      <c r="Q64" s="9" t="s">
        <v>28</v>
      </c>
      <c r="R64" s="9">
        <v>27.5</v>
      </c>
      <c r="S64" s="9" t="s">
        <v>28</v>
      </c>
      <c r="T64" s="9">
        <v>31</v>
      </c>
      <c r="U64" s="9" t="s">
        <v>28</v>
      </c>
      <c r="V64" s="17">
        <v>0.45347222222222222</v>
      </c>
    </row>
    <row r="65" spans="1:22" x14ac:dyDescent="0.3">
      <c r="A65" s="9" t="s">
        <v>72</v>
      </c>
      <c r="B65" s="9" t="s">
        <v>73</v>
      </c>
      <c r="C65" s="9" t="s">
        <v>41</v>
      </c>
      <c r="D65" s="9">
        <v>1</v>
      </c>
      <c r="E65" s="9">
        <v>2</v>
      </c>
      <c r="F65" s="10"/>
      <c r="G65" s="9">
        <f>SUM(H63:H65)</f>
        <v>100</v>
      </c>
      <c r="H65" s="9">
        <v>35</v>
      </c>
      <c r="I65" s="9" t="s">
        <v>29</v>
      </c>
      <c r="J65" s="9" t="e">
        <f t="shared" si="0"/>
        <v>#DIV/0!</v>
      </c>
      <c r="T65" s="9">
        <v>0</v>
      </c>
    </row>
    <row r="66" spans="1:22" x14ac:dyDescent="0.3">
      <c r="A66" s="9" t="s">
        <v>72</v>
      </c>
      <c r="B66" s="9" t="s">
        <v>73</v>
      </c>
      <c r="C66" s="9" t="s">
        <v>41</v>
      </c>
      <c r="D66" s="9">
        <v>1</v>
      </c>
      <c r="E66" s="9">
        <v>6</v>
      </c>
      <c r="F66" s="10"/>
      <c r="H66" s="9">
        <v>80</v>
      </c>
      <c r="I66" s="9" t="s">
        <v>28</v>
      </c>
      <c r="J66" s="9">
        <f t="shared" si="0"/>
        <v>39.125</v>
      </c>
      <c r="K66" s="9" t="s">
        <v>28</v>
      </c>
      <c r="L66" s="9">
        <v>42.5</v>
      </c>
      <c r="M66" s="9" t="s">
        <v>28</v>
      </c>
      <c r="N66" s="9">
        <v>39</v>
      </c>
      <c r="O66" s="9" t="s">
        <v>28</v>
      </c>
      <c r="P66" s="9">
        <v>40</v>
      </c>
      <c r="Q66" s="9" t="s">
        <v>28</v>
      </c>
      <c r="R66" s="9">
        <v>35</v>
      </c>
      <c r="S66" s="9" t="s">
        <v>28</v>
      </c>
      <c r="T66" s="9">
        <v>42.5</v>
      </c>
      <c r="U66" s="9" t="s">
        <v>28</v>
      </c>
      <c r="V66" s="17">
        <v>0.46180555555555558</v>
      </c>
    </row>
    <row r="67" spans="1:22" x14ac:dyDescent="0.3">
      <c r="A67" s="9" t="s">
        <v>72</v>
      </c>
      <c r="B67" s="9" t="s">
        <v>73</v>
      </c>
      <c r="C67" s="9" t="s">
        <v>41</v>
      </c>
      <c r="D67" s="9">
        <v>1</v>
      </c>
      <c r="E67" s="9">
        <v>6</v>
      </c>
      <c r="F67" s="10"/>
      <c r="H67" s="9">
        <v>5</v>
      </c>
      <c r="I67" s="9" t="s">
        <v>44</v>
      </c>
      <c r="J67" s="9" t="e">
        <f t="shared" si="0"/>
        <v>#DIV/0!</v>
      </c>
      <c r="T67" s="9">
        <v>0</v>
      </c>
    </row>
    <row r="68" spans="1:22" x14ac:dyDescent="0.3">
      <c r="A68" s="9" t="s">
        <v>72</v>
      </c>
      <c r="B68" s="9" t="s">
        <v>73</v>
      </c>
      <c r="C68" s="9" t="s">
        <v>41</v>
      </c>
      <c r="D68" s="9">
        <v>1</v>
      </c>
      <c r="E68" s="9">
        <v>6</v>
      </c>
      <c r="F68" s="10"/>
      <c r="G68" s="9">
        <f>SUM(H66:H68)</f>
        <v>105</v>
      </c>
      <c r="H68" s="9">
        <v>20</v>
      </c>
      <c r="I68" s="9" t="s">
        <v>29</v>
      </c>
      <c r="J68" s="9" t="e">
        <f t="shared" ref="J68:J131" si="1">AVERAGE(L68, N68, P68, R68)</f>
        <v>#DIV/0!</v>
      </c>
      <c r="T68" s="9">
        <v>0</v>
      </c>
    </row>
    <row r="69" spans="1:22" x14ac:dyDescent="0.3">
      <c r="A69" s="9" t="s">
        <v>72</v>
      </c>
      <c r="B69" s="9" t="s">
        <v>73</v>
      </c>
      <c r="C69" s="9" t="s">
        <v>41</v>
      </c>
      <c r="D69" s="9">
        <v>1</v>
      </c>
      <c r="E69" s="9">
        <v>12</v>
      </c>
      <c r="F69" s="10"/>
      <c r="H69" s="9">
        <v>60</v>
      </c>
      <c r="I69" s="9" t="s">
        <v>28</v>
      </c>
      <c r="J69" s="9">
        <f t="shared" si="1"/>
        <v>51.25</v>
      </c>
      <c r="K69" s="9" t="s">
        <v>28</v>
      </c>
      <c r="L69" s="9">
        <v>44</v>
      </c>
      <c r="M69" s="9" t="s">
        <v>28</v>
      </c>
      <c r="N69" s="9">
        <v>71</v>
      </c>
      <c r="O69" s="9" t="s">
        <v>28</v>
      </c>
      <c r="P69" s="9">
        <v>48.5</v>
      </c>
      <c r="Q69" s="9" t="s">
        <v>28</v>
      </c>
      <c r="R69" s="9">
        <v>41.5</v>
      </c>
      <c r="S69" s="9" t="s">
        <v>28</v>
      </c>
      <c r="T69" s="9">
        <v>71</v>
      </c>
      <c r="U69" s="9" t="s">
        <v>28</v>
      </c>
      <c r="V69" s="17">
        <v>0.46875</v>
      </c>
    </row>
    <row r="70" spans="1:22" x14ac:dyDescent="0.3">
      <c r="A70" s="9" t="s">
        <v>72</v>
      </c>
      <c r="B70" s="9" t="s">
        <v>73</v>
      </c>
      <c r="C70" s="9" t="s">
        <v>41</v>
      </c>
      <c r="D70" s="9">
        <v>1</v>
      </c>
      <c r="E70" s="9">
        <v>12</v>
      </c>
      <c r="F70" s="10"/>
      <c r="G70" s="9">
        <f>SUM(H69:H70)</f>
        <v>100</v>
      </c>
      <c r="H70" s="9">
        <v>40</v>
      </c>
      <c r="I70" s="9" t="s">
        <v>29</v>
      </c>
      <c r="J70" s="9" t="e">
        <f t="shared" si="1"/>
        <v>#DIV/0!</v>
      </c>
      <c r="T70" s="9">
        <v>0</v>
      </c>
    </row>
    <row r="71" spans="1:22" x14ac:dyDescent="0.3">
      <c r="A71" s="9" t="s">
        <v>72</v>
      </c>
      <c r="B71" s="9" t="s">
        <v>73</v>
      </c>
      <c r="C71" s="9" t="s">
        <v>41</v>
      </c>
      <c r="D71" s="9">
        <v>1</v>
      </c>
      <c r="E71" s="9">
        <v>18</v>
      </c>
      <c r="F71" s="10"/>
      <c r="H71" s="9">
        <v>80</v>
      </c>
      <c r="I71" s="9" t="s">
        <v>28</v>
      </c>
      <c r="J71" s="9">
        <f t="shared" si="1"/>
        <v>37.75</v>
      </c>
      <c r="K71" s="9" t="s">
        <v>28</v>
      </c>
      <c r="L71" s="9">
        <v>33</v>
      </c>
      <c r="M71" s="9" t="s">
        <v>28</v>
      </c>
      <c r="N71" s="9">
        <v>32</v>
      </c>
      <c r="O71" s="9" t="s">
        <v>28</v>
      </c>
      <c r="P71" s="9">
        <v>42</v>
      </c>
      <c r="Q71" s="9" t="s">
        <v>28</v>
      </c>
      <c r="R71" s="9">
        <v>44</v>
      </c>
      <c r="S71" s="9" t="s">
        <v>28</v>
      </c>
      <c r="T71" s="9">
        <v>44</v>
      </c>
      <c r="U71" s="9" t="s">
        <v>28</v>
      </c>
      <c r="V71" s="17">
        <v>0.47569444444444442</v>
      </c>
    </row>
    <row r="72" spans="1:22" x14ac:dyDescent="0.3">
      <c r="A72" s="9" t="s">
        <v>72</v>
      </c>
      <c r="B72" s="9" t="s">
        <v>73</v>
      </c>
      <c r="C72" s="9" t="s">
        <v>41</v>
      </c>
      <c r="D72" s="9">
        <v>1</v>
      </c>
      <c r="E72" s="9">
        <v>18</v>
      </c>
      <c r="F72" s="10"/>
      <c r="G72" s="9">
        <f>SUM(H71:H72)</f>
        <v>100</v>
      </c>
      <c r="H72" s="9">
        <v>20</v>
      </c>
      <c r="I72" s="9" t="s">
        <v>29</v>
      </c>
      <c r="J72" s="9" t="e">
        <f t="shared" si="1"/>
        <v>#DIV/0!</v>
      </c>
      <c r="T72" s="9">
        <v>0</v>
      </c>
    </row>
    <row r="73" spans="1:22" x14ac:dyDescent="0.3">
      <c r="A73" s="9" t="s">
        <v>72</v>
      </c>
      <c r="B73" s="9" t="s">
        <v>73</v>
      </c>
      <c r="C73" s="9" t="s">
        <v>41</v>
      </c>
      <c r="D73" s="9">
        <v>1</v>
      </c>
      <c r="E73" s="9">
        <v>24</v>
      </c>
      <c r="F73" s="10"/>
      <c r="H73" s="9">
        <v>15</v>
      </c>
      <c r="I73" s="9" t="s">
        <v>29</v>
      </c>
      <c r="J73" s="9" t="e">
        <f t="shared" si="1"/>
        <v>#DIV/0!</v>
      </c>
      <c r="T73" s="9">
        <v>0</v>
      </c>
    </row>
    <row r="74" spans="1:22" x14ac:dyDescent="0.3">
      <c r="A74" s="9" t="s">
        <v>72</v>
      </c>
      <c r="B74" s="9" t="s">
        <v>73</v>
      </c>
      <c r="C74" s="9" t="s">
        <v>41</v>
      </c>
      <c r="D74" s="9">
        <v>1</v>
      </c>
      <c r="E74" s="9">
        <v>24</v>
      </c>
      <c r="F74" s="10"/>
      <c r="H74" s="9">
        <v>85</v>
      </c>
      <c r="I74" s="9" t="s">
        <v>28</v>
      </c>
      <c r="J74" s="9">
        <f t="shared" si="1"/>
        <v>35.75</v>
      </c>
      <c r="K74" s="9" t="s">
        <v>28</v>
      </c>
      <c r="L74" s="9">
        <v>33</v>
      </c>
      <c r="M74" s="9" t="s">
        <v>28</v>
      </c>
      <c r="N74" s="9">
        <v>35</v>
      </c>
      <c r="O74" s="9" t="s">
        <v>28</v>
      </c>
      <c r="P74" s="9">
        <v>37</v>
      </c>
      <c r="Q74" s="9" t="s">
        <v>28</v>
      </c>
      <c r="R74" s="9">
        <v>38</v>
      </c>
      <c r="S74" s="9" t="s">
        <v>28</v>
      </c>
      <c r="T74" s="9">
        <v>38</v>
      </c>
      <c r="U74" s="9" t="s">
        <v>28</v>
      </c>
      <c r="V74" s="17">
        <v>0.48194444444444445</v>
      </c>
    </row>
    <row r="75" spans="1:22" x14ac:dyDescent="0.3">
      <c r="A75" s="9" t="s">
        <v>72</v>
      </c>
      <c r="B75" s="9" t="s">
        <v>73</v>
      </c>
      <c r="C75" s="9" t="s">
        <v>41</v>
      </c>
      <c r="D75" s="9">
        <v>1</v>
      </c>
      <c r="E75" s="9">
        <v>24</v>
      </c>
      <c r="F75" s="10"/>
      <c r="G75" s="9">
        <f>SUM(H73:H75)</f>
        <v>140</v>
      </c>
      <c r="H75" s="9">
        <v>40</v>
      </c>
      <c r="I75" s="9" t="s">
        <v>36</v>
      </c>
      <c r="J75" s="9" t="e">
        <f t="shared" si="1"/>
        <v>#DIV/0!</v>
      </c>
      <c r="T75" s="9">
        <v>0</v>
      </c>
    </row>
    <row r="76" spans="1:22" x14ac:dyDescent="0.3">
      <c r="A76" s="9" t="s">
        <v>72</v>
      </c>
      <c r="B76" s="9" t="s">
        <v>73</v>
      </c>
      <c r="C76" s="9" t="s">
        <v>41</v>
      </c>
      <c r="D76" s="9">
        <v>1</v>
      </c>
      <c r="E76" s="9">
        <v>48</v>
      </c>
      <c r="F76" s="10"/>
      <c r="H76" s="9">
        <v>40</v>
      </c>
      <c r="I76" s="9" t="s">
        <v>35</v>
      </c>
      <c r="J76" s="9" t="e">
        <f t="shared" si="1"/>
        <v>#DIV/0!</v>
      </c>
      <c r="T76" s="9">
        <v>0</v>
      </c>
    </row>
    <row r="77" spans="1:22" x14ac:dyDescent="0.3">
      <c r="A77" s="9" t="s">
        <v>72</v>
      </c>
      <c r="B77" s="9" t="s">
        <v>73</v>
      </c>
      <c r="C77" s="9" t="s">
        <v>41</v>
      </c>
      <c r="D77" s="9">
        <v>1</v>
      </c>
      <c r="E77" s="9">
        <v>48</v>
      </c>
      <c r="F77" s="10"/>
      <c r="H77" s="9">
        <v>10</v>
      </c>
      <c r="I77" s="9" t="s">
        <v>45</v>
      </c>
      <c r="J77" s="9" t="e">
        <f t="shared" si="1"/>
        <v>#DIV/0!</v>
      </c>
      <c r="T77" s="9">
        <v>0</v>
      </c>
    </row>
    <row r="78" spans="1:22" x14ac:dyDescent="0.3">
      <c r="A78" s="9" t="s">
        <v>72</v>
      </c>
      <c r="B78" s="9" t="s">
        <v>73</v>
      </c>
      <c r="C78" s="9" t="s">
        <v>41</v>
      </c>
      <c r="D78" s="9">
        <v>1</v>
      </c>
      <c r="E78" s="9">
        <v>48</v>
      </c>
      <c r="F78" s="10"/>
      <c r="H78" s="9">
        <v>45</v>
      </c>
      <c r="I78" s="9" t="s">
        <v>28</v>
      </c>
      <c r="J78" s="9">
        <f t="shared" si="1"/>
        <v>36.125</v>
      </c>
      <c r="K78" s="9" t="s">
        <v>28</v>
      </c>
      <c r="L78" s="9">
        <v>45</v>
      </c>
      <c r="M78" s="9" t="s">
        <v>28</v>
      </c>
      <c r="N78" s="9">
        <v>42</v>
      </c>
      <c r="O78" s="9" t="s">
        <v>28</v>
      </c>
      <c r="P78" s="9">
        <v>29</v>
      </c>
      <c r="Q78" s="9" t="s">
        <v>28</v>
      </c>
      <c r="R78" s="9">
        <v>28.5</v>
      </c>
      <c r="S78" s="9" t="s">
        <v>28</v>
      </c>
      <c r="T78" s="9">
        <v>45</v>
      </c>
      <c r="U78" s="9" t="s">
        <v>28</v>
      </c>
      <c r="V78" s="17">
        <v>0.48888888888888887</v>
      </c>
    </row>
    <row r="79" spans="1:22" x14ac:dyDescent="0.3">
      <c r="A79" s="9" t="s">
        <v>72</v>
      </c>
      <c r="B79" s="9" t="s">
        <v>73</v>
      </c>
      <c r="C79" s="9" t="s">
        <v>41</v>
      </c>
      <c r="D79" s="9">
        <v>1</v>
      </c>
      <c r="E79" s="9">
        <v>48</v>
      </c>
      <c r="F79" s="10"/>
      <c r="H79" s="9">
        <v>40</v>
      </c>
      <c r="I79" s="9" t="s">
        <v>36</v>
      </c>
      <c r="J79" s="9" t="e">
        <f t="shared" si="1"/>
        <v>#DIV/0!</v>
      </c>
      <c r="T79" s="9">
        <v>0</v>
      </c>
    </row>
    <row r="80" spans="1:22" x14ac:dyDescent="0.3">
      <c r="A80" s="9" t="s">
        <v>72</v>
      </c>
      <c r="B80" s="9" t="s">
        <v>73</v>
      </c>
      <c r="C80" s="9" t="s">
        <v>41</v>
      </c>
      <c r="D80" s="9">
        <v>1</v>
      </c>
      <c r="E80" s="9">
        <v>48</v>
      </c>
      <c r="F80" s="10"/>
      <c r="G80" s="9">
        <f>SUM(H76:H80)</f>
        <v>145</v>
      </c>
      <c r="H80" s="9">
        <v>10</v>
      </c>
      <c r="I80" s="9" t="s">
        <v>29</v>
      </c>
      <c r="J80" s="9" t="e">
        <f t="shared" si="1"/>
        <v>#DIV/0!</v>
      </c>
      <c r="T80" s="9">
        <v>0</v>
      </c>
    </row>
    <row r="81" spans="1:22" x14ac:dyDescent="0.3">
      <c r="A81" s="9" t="s">
        <v>72</v>
      </c>
      <c r="B81" s="9" t="s">
        <v>73</v>
      </c>
      <c r="C81" s="9" t="s">
        <v>41</v>
      </c>
      <c r="D81" s="9">
        <v>2</v>
      </c>
      <c r="E81" s="9">
        <v>0.5</v>
      </c>
      <c r="F81" s="10"/>
      <c r="H81" s="9">
        <v>30</v>
      </c>
      <c r="I81" s="9" t="s">
        <v>46</v>
      </c>
      <c r="J81" s="9" t="e">
        <f t="shared" si="1"/>
        <v>#DIV/0!</v>
      </c>
      <c r="T81" s="9">
        <v>0</v>
      </c>
    </row>
    <row r="82" spans="1:22" x14ac:dyDescent="0.3">
      <c r="A82" s="9" t="s">
        <v>72</v>
      </c>
      <c r="B82" s="9" t="s">
        <v>73</v>
      </c>
      <c r="C82" s="9" t="s">
        <v>41</v>
      </c>
      <c r="D82" s="9">
        <v>2</v>
      </c>
      <c r="E82" s="9">
        <v>0.5</v>
      </c>
      <c r="F82" s="10"/>
      <c r="H82" s="9">
        <v>10</v>
      </c>
      <c r="I82" s="9" t="s">
        <v>28</v>
      </c>
      <c r="J82" s="9">
        <f t="shared" si="1"/>
        <v>28</v>
      </c>
      <c r="K82" s="9" t="s">
        <v>28</v>
      </c>
      <c r="L82" s="9">
        <v>28</v>
      </c>
      <c r="M82" s="9" t="s">
        <v>28</v>
      </c>
      <c r="N82" s="9" t="s">
        <v>30</v>
      </c>
      <c r="O82" s="9" t="s">
        <v>28</v>
      </c>
      <c r="P82" s="9" t="s">
        <v>30</v>
      </c>
      <c r="Q82" s="9" t="s">
        <v>28</v>
      </c>
      <c r="R82" s="9" t="s">
        <v>30</v>
      </c>
      <c r="S82" s="9" t="s">
        <v>28</v>
      </c>
      <c r="T82" s="9">
        <v>28</v>
      </c>
      <c r="U82" s="9" t="s">
        <v>28</v>
      </c>
      <c r="V82" s="9" t="s">
        <v>47</v>
      </c>
    </row>
    <row r="83" spans="1:22" x14ac:dyDescent="0.3">
      <c r="A83" s="9" t="s">
        <v>72</v>
      </c>
      <c r="B83" s="9" t="s">
        <v>73</v>
      </c>
      <c r="C83" s="9" t="s">
        <v>41</v>
      </c>
      <c r="D83" s="9">
        <v>2</v>
      </c>
      <c r="E83" s="9">
        <v>0.5</v>
      </c>
      <c r="F83" s="10"/>
      <c r="G83" s="9">
        <f>SUM(H81:H83)</f>
        <v>55</v>
      </c>
      <c r="H83" s="9">
        <v>15</v>
      </c>
      <c r="I83" s="9" t="s">
        <v>29</v>
      </c>
      <c r="J83" s="9" t="e">
        <f t="shared" si="1"/>
        <v>#DIV/0!</v>
      </c>
      <c r="T83" s="9">
        <v>0</v>
      </c>
    </row>
    <row r="84" spans="1:22" x14ac:dyDescent="0.3">
      <c r="A84" s="9" t="s">
        <v>72</v>
      </c>
      <c r="B84" s="9" t="s">
        <v>73</v>
      </c>
      <c r="C84" s="9" t="s">
        <v>41</v>
      </c>
      <c r="D84" s="9">
        <v>2</v>
      </c>
      <c r="E84" s="9">
        <v>2</v>
      </c>
      <c r="F84" s="10"/>
      <c r="H84" s="9">
        <v>50</v>
      </c>
      <c r="I84" s="9" t="s">
        <v>28</v>
      </c>
      <c r="J84" s="9" t="e">
        <f t="shared" si="1"/>
        <v>#DIV/0!</v>
      </c>
      <c r="T84" s="9">
        <v>0</v>
      </c>
    </row>
    <row r="85" spans="1:22" x14ac:dyDescent="0.3">
      <c r="A85" s="9" t="s">
        <v>72</v>
      </c>
      <c r="B85" s="9" t="s">
        <v>73</v>
      </c>
      <c r="C85" s="9" t="s">
        <v>41</v>
      </c>
      <c r="D85" s="9">
        <v>2</v>
      </c>
      <c r="E85" s="9">
        <v>2</v>
      </c>
      <c r="F85" s="10"/>
      <c r="H85" s="9">
        <v>50</v>
      </c>
      <c r="I85" s="9" t="s">
        <v>29</v>
      </c>
      <c r="J85" s="9" t="e">
        <f t="shared" si="1"/>
        <v>#DIV/0!</v>
      </c>
      <c r="T85" s="9">
        <v>0</v>
      </c>
    </row>
    <row r="86" spans="1:22" x14ac:dyDescent="0.3">
      <c r="A86" s="9" t="s">
        <v>72</v>
      </c>
      <c r="B86" s="9" t="s">
        <v>73</v>
      </c>
      <c r="C86" s="9" t="s">
        <v>41</v>
      </c>
      <c r="D86" s="9">
        <v>2</v>
      </c>
      <c r="E86" s="9">
        <v>2</v>
      </c>
      <c r="F86" s="10"/>
      <c r="G86" s="9">
        <f>SUM(H84:H86)</f>
        <v>105</v>
      </c>
      <c r="H86" s="9">
        <v>5</v>
      </c>
      <c r="I86" s="9" t="s">
        <v>48</v>
      </c>
      <c r="J86" s="9" t="e">
        <f t="shared" si="1"/>
        <v>#DIV/0!</v>
      </c>
      <c r="T86" s="9">
        <v>0</v>
      </c>
    </row>
    <row r="87" spans="1:22" x14ac:dyDescent="0.3">
      <c r="A87" s="9" t="s">
        <v>72</v>
      </c>
      <c r="B87" s="9" t="s">
        <v>73</v>
      </c>
      <c r="C87" s="9" t="s">
        <v>41</v>
      </c>
      <c r="D87" s="9">
        <v>2</v>
      </c>
      <c r="E87" s="9">
        <v>6</v>
      </c>
      <c r="F87" s="10"/>
      <c r="H87" s="9">
        <v>90</v>
      </c>
      <c r="I87" s="9" t="s">
        <v>28</v>
      </c>
      <c r="J87" s="9">
        <f t="shared" si="1"/>
        <v>33.25</v>
      </c>
      <c r="K87" s="9" t="s">
        <v>28</v>
      </c>
      <c r="L87" s="9">
        <v>32.5</v>
      </c>
      <c r="M87" s="9" t="s">
        <v>28</v>
      </c>
      <c r="N87" s="9">
        <v>31</v>
      </c>
      <c r="O87" s="9" t="s">
        <v>28</v>
      </c>
      <c r="P87" s="9">
        <v>32</v>
      </c>
      <c r="Q87" s="9" t="s">
        <v>28</v>
      </c>
      <c r="R87" s="9">
        <v>37.5</v>
      </c>
      <c r="S87" s="9" t="s">
        <v>28</v>
      </c>
      <c r="T87" s="9">
        <v>37.5</v>
      </c>
      <c r="U87" s="9" t="s">
        <v>28</v>
      </c>
      <c r="V87" s="17">
        <v>0.39930555555555558</v>
      </c>
    </row>
    <row r="88" spans="1:22" x14ac:dyDescent="0.3">
      <c r="A88" s="9" t="s">
        <v>72</v>
      </c>
      <c r="B88" s="9" t="s">
        <v>73</v>
      </c>
      <c r="C88" s="9" t="s">
        <v>41</v>
      </c>
      <c r="D88" s="9">
        <v>2</v>
      </c>
      <c r="E88" s="9">
        <v>6</v>
      </c>
      <c r="F88" s="10"/>
      <c r="H88" s="9">
        <v>20</v>
      </c>
      <c r="I88" s="9" t="s">
        <v>49</v>
      </c>
      <c r="J88" s="9" t="e">
        <f t="shared" si="1"/>
        <v>#DIV/0!</v>
      </c>
      <c r="T88" s="9">
        <v>0</v>
      </c>
    </row>
    <row r="89" spans="1:22" x14ac:dyDescent="0.3">
      <c r="A89" s="9" t="s">
        <v>72</v>
      </c>
      <c r="B89" s="9" t="s">
        <v>73</v>
      </c>
      <c r="C89" s="9" t="s">
        <v>41</v>
      </c>
      <c r="D89" s="9">
        <v>2</v>
      </c>
      <c r="E89" s="9">
        <v>6</v>
      </c>
      <c r="F89" s="10"/>
      <c r="H89" s="9">
        <v>15</v>
      </c>
      <c r="I89" s="9" t="s">
        <v>50</v>
      </c>
      <c r="J89" s="9" t="e">
        <f t="shared" si="1"/>
        <v>#DIV/0!</v>
      </c>
      <c r="T89" s="9">
        <v>0</v>
      </c>
    </row>
    <row r="90" spans="1:22" x14ac:dyDescent="0.3">
      <c r="A90" s="9" t="s">
        <v>72</v>
      </c>
      <c r="B90" s="9" t="s">
        <v>73</v>
      </c>
      <c r="C90" s="9" t="s">
        <v>41</v>
      </c>
      <c r="D90" s="9">
        <v>2</v>
      </c>
      <c r="E90" s="9">
        <v>6</v>
      </c>
      <c r="F90" s="10"/>
      <c r="G90" s="9">
        <f>SUM(H87:H90)</f>
        <v>130</v>
      </c>
      <c r="H90" s="9">
        <v>5</v>
      </c>
      <c r="I90" s="9" t="s">
        <v>29</v>
      </c>
      <c r="J90" s="9" t="e">
        <f t="shared" si="1"/>
        <v>#DIV/0!</v>
      </c>
      <c r="T90" s="9">
        <v>0</v>
      </c>
    </row>
    <row r="91" spans="1:22" x14ac:dyDescent="0.3">
      <c r="A91" s="9" t="s">
        <v>72</v>
      </c>
      <c r="B91" s="9" t="s">
        <v>73</v>
      </c>
      <c r="C91" s="9" t="s">
        <v>41</v>
      </c>
      <c r="D91" s="9">
        <v>2</v>
      </c>
      <c r="E91" s="9">
        <v>12</v>
      </c>
      <c r="F91" s="10"/>
      <c r="H91" s="9">
        <v>90</v>
      </c>
      <c r="I91" s="9" t="s">
        <v>28</v>
      </c>
      <c r="J91" s="9">
        <f t="shared" si="1"/>
        <v>39.375</v>
      </c>
      <c r="K91" s="9" t="s">
        <v>28</v>
      </c>
      <c r="L91" s="9">
        <v>36</v>
      </c>
      <c r="M91" s="9" t="s">
        <v>28</v>
      </c>
      <c r="N91" s="9">
        <v>33</v>
      </c>
      <c r="O91" s="9" t="s">
        <v>28</v>
      </c>
      <c r="P91" s="9">
        <v>43</v>
      </c>
      <c r="Q91" s="9" t="s">
        <v>28</v>
      </c>
      <c r="R91" s="9">
        <v>45.5</v>
      </c>
      <c r="S91" s="9" t="s">
        <v>28</v>
      </c>
      <c r="T91" s="9">
        <v>45.5</v>
      </c>
      <c r="U91" s="9" t="s">
        <v>28</v>
      </c>
      <c r="V91" s="17">
        <v>0.38958333333333334</v>
      </c>
    </row>
    <row r="92" spans="1:22" x14ac:dyDescent="0.3">
      <c r="A92" s="9" t="s">
        <v>72</v>
      </c>
      <c r="B92" s="9" t="s">
        <v>73</v>
      </c>
      <c r="C92" s="9" t="s">
        <v>41</v>
      </c>
      <c r="D92" s="9">
        <v>2</v>
      </c>
      <c r="E92" s="9">
        <v>12</v>
      </c>
      <c r="F92" s="10"/>
      <c r="G92" s="9">
        <f>SUM(H91:H92)</f>
        <v>100</v>
      </c>
      <c r="H92" s="9">
        <v>10</v>
      </c>
      <c r="I92" s="9" t="s">
        <v>29</v>
      </c>
      <c r="J92" s="9" t="e">
        <f t="shared" si="1"/>
        <v>#DIV/0!</v>
      </c>
      <c r="T92" s="9">
        <v>0</v>
      </c>
    </row>
    <row r="93" spans="1:22" x14ac:dyDescent="0.3">
      <c r="A93" s="9" t="s">
        <v>72</v>
      </c>
      <c r="B93" s="9" t="s">
        <v>73</v>
      </c>
      <c r="C93" s="9" t="s">
        <v>41</v>
      </c>
      <c r="D93" s="9">
        <v>2</v>
      </c>
      <c r="E93" s="9">
        <v>18</v>
      </c>
      <c r="F93" s="10"/>
      <c r="H93" s="9">
        <v>75</v>
      </c>
      <c r="I93" s="9" t="s">
        <v>28</v>
      </c>
      <c r="J93" s="9">
        <f t="shared" si="1"/>
        <v>37.25</v>
      </c>
      <c r="K93" s="9" t="s">
        <v>28</v>
      </c>
      <c r="L93" s="9">
        <v>43</v>
      </c>
      <c r="M93" s="9" t="s">
        <v>28</v>
      </c>
      <c r="N93" s="9">
        <v>37</v>
      </c>
      <c r="O93" s="9" t="s">
        <v>28</v>
      </c>
      <c r="P93" s="9">
        <v>31</v>
      </c>
      <c r="Q93" s="9" t="s">
        <v>28</v>
      </c>
      <c r="R93" s="9">
        <v>38</v>
      </c>
      <c r="S93" s="9" t="s">
        <v>28</v>
      </c>
      <c r="T93" s="9">
        <v>43</v>
      </c>
      <c r="U93" s="9" t="s">
        <v>28</v>
      </c>
      <c r="V93" s="17">
        <v>0.38194444444444442</v>
      </c>
    </row>
    <row r="94" spans="1:22" x14ac:dyDescent="0.3">
      <c r="A94" s="9" t="s">
        <v>72</v>
      </c>
      <c r="B94" s="9" t="s">
        <v>73</v>
      </c>
      <c r="C94" s="9" t="s">
        <v>41</v>
      </c>
      <c r="D94" s="9">
        <v>2</v>
      </c>
      <c r="E94" s="9">
        <v>18</v>
      </c>
      <c r="F94" s="10"/>
      <c r="G94" s="9">
        <f>SUM(H93:H94)</f>
        <v>100</v>
      </c>
      <c r="H94" s="9">
        <v>25</v>
      </c>
      <c r="I94" s="9" t="s">
        <v>29</v>
      </c>
      <c r="J94" s="9" t="e">
        <f t="shared" si="1"/>
        <v>#DIV/0!</v>
      </c>
      <c r="T94" s="9">
        <v>0</v>
      </c>
    </row>
    <row r="95" spans="1:22" x14ac:dyDescent="0.3">
      <c r="A95" s="9" t="s">
        <v>72</v>
      </c>
      <c r="B95" s="9" t="s">
        <v>73</v>
      </c>
      <c r="C95" s="9" t="s">
        <v>41</v>
      </c>
      <c r="D95" s="9">
        <v>2</v>
      </c>
      <c r="E95" s="9">
        <v>24</v>
      </c>
      <c r="F95" s="10"/>
      <c r="H95" s="9">
        <v>70</v>
      </c>
      <c r="I95" s="9" t="s">
        <v>28</v>
      </c>
      <c r="J95" s="9">
        <f t="shared" si="1"/>
        <v>41.125</v>
      </c>
      <c r="K95" s="9" t="s">
        <v>28</v>
      </c>
      <c r="L95" s="9">
        <v>37</v>
      </c>
      <c r="M95" s="9" t="s">
        <v>28</v>
      </c>
      <c r="N95" s="9">
        <v>38</v>
      </c>
      <c r="O95" s="9" t="s">
        <v>28</v>
      </c>
      <c r="P95" s="9">
        <v>46</v>
      </c>
      <c r="Q95" s="9" t="s">
        <v>28</v>
      </c>
      <c r="R95" s="9">
        <v>43.5</v>
      </c>
      <c r="S95" s="9" t="s">
        <v>28</v>
      </c>
      <c r="T95" s="9">
        <v>46</v>
      </c>
      <c r="U95" s="9" t="s">
        <v>28</v>
      </c>
      <c r="V95" s="17">
        <v>0.37083333333333335</v>
      </c>
    </row>
    <row r="96" spans="1:22" x14ac:dyDescent="0.3">
      <c r="A96" s="9" t="s">
        <v>72</v>
      </c>
      <c r="B96" s="9" t="s">
        <v>73</v>
      </c>
      <c r="C96" s="9" t="s">
        <v>41</v>
      </c>
      <c r="D96" s="9">
        <v>2</v>
      </c>
      <c r="E96" s="9">
        <v>24</v>
      </c>
      <c r="F96" s="10"/>
      <c r="G96" s="9">
        <f>SUM(H95:H96)</f>
        <v>105</v>
      </c>
      <c r="H96" s="9">
        <v>35</v>
      </c>
      <c r="I96" s="9" t="s">
        <v>29</v>
      </c>
      <c r="J96" s="9" t="e">
        <f t="shared" si="1"/>
        <v>#DIV/0!</v>
      </c>
      <c r="T96" s="9">
        <v>0</v>
      </c>
    </row>
    <row r="97" spans="1:22" x14ac:dyDescent="0.3">
      <c r="A97" s="9" t="s">
        <v>72</v>
      </c>
      <c r="B97" s="9" t="s">
        <v>73</v>
      </c>
      <c r="C97" s="9" t="s">
        <v>41</v>
      </c>
      <c r="D97" s="9">
        <v>2</v>
      </c>
      <c r="E97" s="9">
        <v>48</v>
      </c>
      <c r="F97" s="10"/>
      <c r="H97" s="9">
        <v>90</v>
      </c>
      <c r="I97" s="9" t="s">
        <v>28</v>
      </c>
      <c r="J97" s="9">
        <f t="shared" si="1"/>
        <v>36.625</v>
      </c>
      <c r="K97" s="9" t="s">
        <v>28</v>
      </c>
      <c r="L97" s="9">
        <v>26</v>
      </c>
      <c r="M97" s="9" t="s">
        <v>28</v>
      </c>
      <c r="N97" s="9">
        <v>43</v>
      </c>
      <c r="O97" s="9" t="s">
        <v>28</v>
      </c>
      <c r="P97" s="9">
        <v>39.5</v>
      </c>
      <c r="Q97" s="9" t="s">
        <v>28</v>
      </c>
      <c r="R97" s="9">
        <v>38</v>
      </c>
      <c r="S97" s="9" t="s">
        <v>28</v>
      </c>
      <c r="T97" s="9">
        <v>43</v>
      </c>
      <c r="U97" s="9" t="s">
        <v>28</v>
      </c>
      <c r="V97" s="9" t="s">
        <v>51</v>
      </c>
    </row>
    <row r="98" spans="1:22" x14ac:dyDescent="0.3">
      <c r="A98" s="9" t="s">
        <v>72</v>
      </c>
      <c r="B98" s="9" t="s">
        <v>73</v>
      </c>
      <c r="C98" s="9" t="s">
        <v>41</v>
      </c>
      <c r="D98" s="9">
        <v>2</v>
      </c>
      <c r="E98" s="9">
        <v>48</v>
      </c>
      <c r="F98" s="10"/>
      <c r="G98" s="9">
        <f>SUM(H97:H98)</f>
        <v>100</v>
      </c>
      <c r="H98" s="9">
        <v>10</v>
      </c>
      <c r="I98" s="9" t="s">
        <v>29</v>
      </c>
      <c r="J98" s="9" t="e">
        <f t="shared" si="1"/>
        <v>#DIV/0!</v>
      </c>
      <c r="T98" s="9">
        <v>0</v>
      </c>
    </row>
    <row r="99" spans="1:22" x14ac:dyDescent="0.3">
      <c r="A99" s="9" t="s">
        <v>72</v>
      </c>
      <c r="B99" s="9" t="s">
        <v>73</v>
      </c>
      <c r="C99" s="9" t="s">
        <v>52</v>
      </c>
      <c r="D99" s="9">
        <v>1</v>
      </c>
      <c r="E99" s="9">
        <v>0.5</v>
      </c>
      <c r="F99" s="10"/>
      <c r="H99" s="9">
        <v>55</v>
      </c>
      <c r="I99" s="9" t="s">
        <v>31</v>
      </c>
      <c r="J99" s="9">
        <f t="shared" si="1"/>
        <v>14.375</v>
      </c>
      <c r="K99" s="9" t="s">
        <v>31</v>
      </c>
      <c r="L99" s="9">
        <v>15</v>
      </c>
      <c r="N99" s="9">
        <v>13.5</v>
      </c>
      <c r="P99" s="9">
        <v>13</v>
      </c>
      <c r="R99" s="9">
        <v>16</v>
      </c>
      <c r="T99" s="9">
        <v>16</v>
      </c>
    </row>
    <row r="100" spans="1:22" x14ac:dyDescent="0.3">
      <c r="A100" s="9" t="s">
        <v>72</v>
      </c>
      <c r="B100" s="9" t="s">
        <v>73</v>
      </c>
      <c r="C100" s="9" t="s">
        <v>52</v>
      </c>
      <c r="D100" s="9">
        <v>1</v>
      </c>
      <c r="E100" s="9">
        <v>0.5</v>
      </c>
      <c r="F100" s="10"/>
      <c r="H100" s="9">
        <v>70</v>
      </c>
      <c r="I100" s="9" t="s">
        <v>36</v>
      </c>
      <c r="J100" s="9" t="e">
        <f t="shared" si="1"/>
        <v>#DIV/0!</v>
      </c>
      <c r="T100" s="9">
        <v>0</v>
      </c>
    </row>
    <row r="101" spans="1:22" x14ac:dyDescent="0.3">
      <c r="A101" s="9" t="s">
        <v>72</v>
      </c>
      <c r="B101" s="9" t="s">
        <v>73</v>
      </c>
      <c r="C101" s="9" t="s">
        <v>52</v>
      </c>
      <c r="D101" s="9">
        <v>1</v>
      </c>
      <c r="E101" s="9">
        <v>0.5</v>
      </c>
      <c r="F101" s="10"/>
      <c r="H101" s="9">
        <v>15</v>
      </c>
      <c r="I101" s="9" t="s">
        <v>28</v>
      </c>
      <c r="J101" s="9">
        <f t="shared" si="1"/>
        <v>21.5</v>
      </c>
      <c r="K101" s="9" t="s">
        <v>28</v>
      </c>
      <c r="L101" s="9">
        <v>25</v>
      </c>
      <c r="M101" s="9" t="s">
        <v>28</v>
      </c>
      <c r="N101" s="9">
        <v>24</v>
      </c>
      <c r="O101" s="9" t="s">
        <v>28</v>
      </c>
      <c r="P101" s="9">
        <v>22</v>
      </c>
      <c r="Q101" s="9" t="s">
        <v>28</v>
      </c>
      <c r="R101" s="9">
        <v>15</v>
      </c>
      <c r="S101" s="9" t="s">
        <v>28</v>
      </c>
      <c r="T101" s="9">
        <v>25</v>
      </c>
      <c r="U101" s="9" t="s">
        <v>28</v>
      </c>
      <c r="V101" s="9" t="s">
        <v>53</v>
      </c>
    </row>
    <row r="102" spans="1:22" x14ac:dyDescent="0.3">
      <c r="A102" s="9" t="s">
        <v>72</v>
      </c>
      <c r="B102" s="9" t="s">
        <v>73</v>
      </c>
      <c r="C102" s="9" t="s">
        <v>52</v>
      </c>
      <c r="D102" s="9">
        <v>1</v>
      </c>
      <c r="E102" s="9">
        <v>0.5</v>
      </c>
      <c r="F102" s="10"/>
      <c r="G102" s="9">
        <f>SUM(H99:H102)</f>
        <v>150</v>
      </c>
      <c r="H102" s="9">
        <v>10</v>
      </c>
      <c r="I102" s="9" t="s">
        <v>29</v>
      </c>
      <c r="J102" s="9" t="e">
        <f t="shared" si="1"/>
        <v>#DIV/0!</v>
      </c>
      <c r="T102" s="9">
        <v>0</v>
      </c>
    </row>
    <row r="103" spans="1:22" x14ac:dyDescent="0.3">
      <c r="A103" s="9" t="s">
        <v>72</v>
      </c>
      <c r="B103" s="9" t="s">
        <v>73</v>
      </c>
      <c r="C103" s="9" t="s">
        <v>52</v>
      </c>
      <c r="D103" s="9">
        <v>1</v>
      </c>
      <c r="E103" s="9">
        <v>2</v>
      </c>
      <c r="F103" s="10"/>
      <c r="H103" s="9">
        <v>40</v>
      </c>
      <c r="I103" s="9" t="s">
        <v>31</v>
      </c>
      <c r="J103" s="9">
        <f t="shared" si="1"/>
        <v>20.666666666666668</v>
      </c>
      <c r="L103" s="9">
        <v>16</v>
      </c>
      <c r="N103" s="9">
        <v>24</v>
      </c>
      <c r="P103" s="9">
        <v>22</v>
      </c>
      <c r="T103" s="9">
        <v>24</v>
      </c>
    </row>
    <row r="104" spans="1:22" x14ac:dyDescent="0.3">
      <c r="A104" s="9" t="s">
        <v>72</v>
      </c>
      <c r="B104" s="9" t="s">
        <v>73</v>
      </c>
      <c r="C104" s="9" t="s">
        <v>52</v>
      </c>
      <c r="D104" s="9">
        <v>1</v>
      </c>
      <c r="E104" s="9">
        <v>2</v>
      </c>
      <c r="F104" s="10"/>
      <c r="H104" s="9">
        <v>10</v>
      </c>
      <c r="I104" s="9" t="s">
        <v>28</v>
      </c>
      <c r="J104" s="9" t="e">
        <f t="shared" si="1"/>
        <v>#DIV/0!</v>
      </c>
      <c r="K104" s="9">
        <v>35</v>
      </c>
      <c r="T104" s="9">
        <v>0</v>
      </c>
    </row>
    <row r="105" spans="1:22" x14ac:dyDescent="0.3">
      <c r="A105" s="9" t="s">
        <v>72</v>
      </c>
      <c r="B105" s="9" t="s">
        <v>73</v>
      </c>
      <c r="C105" s="9" t="s">
        <v>52</v>
      </c>
      <c r="D105" s="9">
        <v>1</v>
      </c>
      <c r="E105" s="9">
        <v>2</v>
      </c>
      <c r="F105" s="10"/>
      <c r="H105" s="9">
        <v>70</v>
      </c>
      <c r="I105" s="9" t="s">
        <v>36</v>
      </c>
      <c r="J105" s="9">
        <f t="shared" si="1"/>
        <v>15.125</v>
      </c>
      <c r="K105" s="9" t="s">
        <v>36</v>
      </c>
      <c r="L105" s="9">
        <v>17</v>
      </c>
      <c r="N105" s="9">
        <v>12</v>
      </c>
      <c r="P105" s="9">
        <v>17.5</v>
      </c>
      <c r="R105" s="9">
        <v>14</v>
      </c>
      <c r="T105" s="9">
        <v>17.5</v>
      </c>
      <c r="V105" s="9" t="s">
        <v>54</v>
      </c>
    </row>
    <row r="106" spans="1:22" x14ac:dyDescent="0.3">
      <c r="A106" s="9" t="s">
        <v>72</v>
      </c>
      <c r="B106" s="9" t="s">
        <v>73</v>
      </c>
      <c r="C106" s="9" t="s">
        <v>52</v>
      </c>
      <c r="D106" s="9">
        <v>1</v>
      </c>
      <c r="E106" s="9">
        <v>2</v>
      </c>
      <c r="F106" s="10"/>
      <c r="G106" s="9">
        <f>SUM(H103:H106)</f>
        <v>125</v>
      </c>
      <c r="H106" s="9">
        <v>5</v>
      </c>
      <c r="I106" s="9" t="s">
        <v>29</v>
      </c>
      <c r="J106" s="9" t="e">
        <f t="shared" si="1"/>
        <v>#DIV/0!</v>
      </c>
      <c r="T106" s="9">
        <v>0</v>
      </c>
    </row>
    <row r="107" spans="1:22" x14ac:dyDescent="0.3">
      <c r="A107" s="9" t="s">
        <v>72</v>
      </c>
      <c r="B107" s="9" t="s">
        <v>73</v>
      </c>
      <c r="C107" s="9" t="s">
        <v>52</v>
      </c>
      <c r="D107" s="9">
        <v>1</v>
      </c>
      <c r="E107" s="9">
        <v>6</v>
      </c>
      <c r="F107" s="10"/>
      <c r="H107" s="9">
        <v>90</v>
      </c>
      <c r="I107" s="9" t="s">
        <v>31</v>
      </c>
      <c r="J107" s="9">
        <f t="shared" si="1"/>
        <v>24.5</v>
      </c>
      <c r="K107" s="9" t="s">
        <v>31</v>
      </c>
      <c r="L107" s="9">
        <v>31</v>
      </c>
      <c r="N107" s="9">
        <v>22</v>
      </c>
      <c r="P107" s="9">
        <v>22</v>
      </c>
      <c r="R107" s="9">
        <v>23</v>
      </c>
      <c r="T107" s="9">
        <v>31</v>
      </c>
    </row>
    <row r="108" spans="1:22" x14ac:dyDescent="0.3">
      <c r="A108" s="9" t="s">
        <v>72</v>
      </c>
      <c r="B108" s="9" t="s">
        <v>73</v>
      </c>
      <c r="C108" s="9" t="s">
        <v>52</v>
      </c>
      <c r="D108" s="9">
        <v>1</v>
      </c>
      <c r="E108" s="9">
        <v>6</v>
      </c>
      <c r="F108" s="10"/>
      <c r="H108" s="9">
        <v>10</v>
      </c>
      <c r="I108" s="9" t="s">
        <v>29</v>
      </c>
      <c r="J108" s="9" t="e">
        <f t="shared" si="1"/>
        <v>#DIV/0!</v>
      </c>
      <c r="T108" s="9">
        <v>0</v>
      </c>
    </row>
    <row r="109" spans="1:22" x14ac:dyDescent="0.3">
      <c r="A109" s="9" t="s">
        <v>72</v>
      </c>
      <c r="B109" s="9" t="s">
        <v>73</v>
      </c>
      <c r="C109" s="9" t="s">
        <v>52</v>
      </c>
      <c r="D109" s="9">
        <v>1</v>
      </c>
      <c r="E109" s="9">
        <v>6</v>
      </c>
      <c r="F109" s="10"/>
      <c r="H109" s="9">
        <v>15</v>
      </c>
      <c r="I109" s="9" t="s">
        <v>28</v>
      </c>
      <c r="J109" s="9">
        <f t="shared" si="1"/>
        <v>30.5</v>
      </c>
      <c r="K109" s="9" t="s">
        <v>28</v>
      </c>
      <c r="M109" s="9" t="s">
        <v>28</v>
      </c>
      <c r="O109" s="9" t="s">
        <v>28</v>
      </c>
      <c r="P109" s="9">
        <v>30.5</v>
      </c>
      <c r="Q109" s="9" t="s">
        <v>28</v>
      </c>
      <c r="S109" s="9" t="s">
        <v>28</v>
      </c>
      <c r="T109" s="9">
        <v>30.5</v>
      </c>
      <c r="U109" s="9" t="s">
        <v>28</v>
      </c>
      <c r="V109" s="9" t="s">
        <v>55</v>
      </c>
    </row>
    <row r="110" spans="1:22" x14ac:dyDescent="0.3">
      <c r="A110" s="9" t="s">
        <v>72</v>
      </c>
      <c r="B110" s="9" t="s">
        <v>73</v>
      </c>
      <c r="C110" s="9" t="s">
        <v>52</v>
      </c>
      <c r="D110" s="9">
        <v>1</v>
      </c>
      <c r="E110" s="9">
        <v>6</v>
      </c>
      <c r="F110" s="10"/>
      <c r="G110" s="9">
        <f>SUM(H107:H110)</f>
        <v>120</v>
      </c>
      <c r="H110" s="9">
        <v>5</v>
      </c>
      <c r="I110" s="9" t="s">
        <v>36</v>
      </c>
      <c r="J110" s="9" t="e">
        <f t="shared" si="1"/>
        <v>#DIV/0!</v>
      </c>
      <c r="T110" s="9">
        <v>0</v>
      </c>
    </row>
    <row r="111" spans="1:22" x14ac:dyDescent="0.3">
      <c r="A111" s="9" t="s">
        <v>72</v>
      </c>
      <c r="B111" s="9" t="s">
        <v>73</v>
      </c>
      <c r="C111" s="9" t="s">
        <v>52</v>
      </c>
      <c r="D111" s="9">
        <v>1</v>
      </c>
      <c r="E111" s="9">
        <v>12</v>
      </c>
      <c r="F111" s="10"/>
      <c r="H111" s="9">
        <v>50</v>
      </c>
      <c r="I111" s="9" t="s">
        <v>28</v>
      </c>
      <c r="J111" s="9">
        <f t="shared" si="1"/>
        <v>52.75</v>
      </c>
      <c r="K111" s="9" t="s">
        <v>28</v>
      </c>
      <c r="L111" s="9">
        <v>49</v>
      </c>
      <c r="M111" s="9" t="s">
        <v>28</v>
      </c>
      <c r="N111" s="9">
        <v>62</v>
      </c>
      <c r="O111" s="9" t="s">
        <v>28</v>
      </c>
      <c r="P111" s="9">
        <v>52</v>
      </c>
      <c r="Q111" s="9" t="s">
        <v>28</v>
      </c>
      <c r="R111" s="9">
        <v>48</v>
      </c>
      <c r="S111" s="9" t="s">
        <v>28</v>
      </c>
      <c r="T111" s="9">
        <v>62</v>
      </c>
      <c r="U111" s="9" t="s">
        <v>28</v>
      </c>
      <c r="V111" s="17">
        <v>0.43333333333333335</v>
      </c>
    </row>
    <row r="112" spans="1:22" x14ac:dyDescent="0.3">
      <c r="A112" s="9" t="s">
        <v>72</v>
      </c>
      <c r="B112" s="9" t="s">
        <v>73</v>
      </c>
      <c r="C112" s="9" t="s">
        <v>52</v>
      </c>
      <c r="D112" s="9">
        <v>1</v>
      </c>
      <c r="E112" s="9">
        <v>12</v>
      </c>
      <c r="F112" s="10"/>
      <c r="H112" s="9">
        <v>15</v>
      </c>
      <c r="I112" s="9" t="s">
        <v>56</v>
      </c>
      <c r="J112" s="9">
        <f t="shared" si="1"/>
        <v>80.833333333333329</v>
      </c>
      <c r="K112" s="9" t="s">
        <v>26</v>
      </c>
      <c r="L112" s="9">
        <v>59.5</v>
      </c>
      <c r="N112" s="9">
        <v>98</v>
      </c>
      <c r="P112" s="9">
        <v>85</v>
      </c>
      <c r="R112" s="9" t="s">
        <v>30</v>
      </c>
      <c r="T112" s="9">
        <v>98</v>
      </c>
    </row>
    <row r="113" spans="1:22" x14ac:dyDescent="0.3">
      <c r="A113" s="9" t="s">
        <v>72</v>
      </c>
      <c r="B113" s="9" t="s">
        <v>73</v>
      </c>
      <c r="C113" s="9" t="s">
        <v>52</v>
      </c>
      <c r="D113" s="9">
        <v>1</v>
      </c>
      <c r="E113" s="9">
        <v>12</v>
      </c>
      <c r="F113" s="10"/>
      <c r="H113" s="9">
        <v>5</v>
      </c>
      <c r="I113" s="9" t="s">
        <v>50</v>
      </c>
      <c r="J113" s="9" t="e">
        <f t="shared" si="1"/>
        <v>#DIV/0!</v>
      </c>
      <c r="T113" s="9">
        <v>0</v>
      </c>
    </row>
    <row r="114" spans="1:22" x14ac:dyDescent="0.3">
      <c r="A114" s="9" t="s">
        <v>72</v>
      </c>
      <c r="B114" s="9" t="s">
        <v>73</v>
      </c>
      <c r="C114" s="9" t="s">
        <v>52</v>
      </c>
      <c r="D114" s="9">
        <v>1</v>
      </c>
      <c r="E114" s="9">
        <v>12</v>
      </c>
      <c r="F114" s="10"/>
      <c r="G114" s="9">
        <f>SUM(H111:H114)</f>
        <v>120</v>
      </c>
      <c r="H114" s="9">
        <v>50</v>
      </c>
      <c r="I114" s="9" t="s">
        <v>29</v>
      </c>
      <c r="J114" s="9" t="e">
        <f t="shared" si="1"/>
        <v>#DIV/0!</v>
      </c>
      <c r="T114" s="9">
        <v>0</v>
      </c>
    </row>
    <row r="115" spans="1:22" x14ac:dyDescent="0.3">
      <c r="A115" s="9" t="s">
        <v>72</v>
      </c>
      <c r="B115" s="9" t="s">
        <v>73</v>
      </c>
      <c r="C115" s="9" t="s">
        <v>52</v>
      </c>
      <c r="D115" s="9">
        <v>1</v>
      </c>
      <c r="E115" s="9">
        <v>18</v>
      </c>
      <c r="F115" s="10"/>
      <c r="H115" s="9">
        <v>65</v>
      </c>
      <c r="I115" s="9" t="s">
        <v>28</v>
      </c>
      <c r="J115" s="9">
        <f t="shared" si="1"/>
        <v>45.75</v>
      </c>
      <c r="K115" s="9" t="s">
        <v>28</v>
      </c>
      <c r="L115" s="9">
        <v>48</v>
      </c>
      <c r="M115" s="9" t="s">
        <v>28</v>
      </c>
      <c r="N115" s="9">
        <v>43</v>
      </c>
      <c r="O115" s="9" t="s">
        <v>28</v>
      </c>
      <c r="P115" s="9">
        <v>45</v>
      </c>
      <c r="Q115" s="9" t="s">
        <v>28</v>
      </c>
      <c r="R115" s="9">
        <v>47</v>
      </c>
      <c r="S115" s="9" t="s">
        <v>28</v>
      </c>
      <c r="T115" s="9">
        <v>48</v>
      </c>
      <c r="U115" s="9" t="s">
        <v>28</v>
      </c>
      <c r="V115" s="9" t="s">
        <v>57</v>
      </c>
    </row>
    <row r="116" spans="1:22" x14ac:dyDescent="0.3">
      <c r="A116" s="9" t="s">
        <v>72</v>
      </c>
      <c r="B116" s="9" t="s">
        <v>73</v>
      </c>
      <c r="C116" s="9" t="s">
        <v>52</v>
      </c>
      <c r="D116" s="9">
        <v>1</v>
      </c>
      <c r="E116" s="9">
        <v>18</v>
      </c>
      <c r="F116" s="10"/>
      <c r="H116" s="9">
        <v>10</v>
      </c>
      <c r="I116" s="9" t="s">
        <v>31</v>
      </c>
      <c r="J116" s="9" t="e">
        <f t="shared" si="1"/>
        <v>#DIV/0!</v>
      </c>
      <c r="T116" s="9">
        <v>0</v>
      </c>
    </row>
    <row r="117" spans="1:22" x14ac:dyDescent="0.3">
      <c r="A117" s="9" t="s">
        <v>72</v>
      </c>
      <c r="B117" s="9" t="s">
        <v>73</v>
      </c>
      <c r="C117" s="9" t="s">
        <v>52</v>
      </c>
      <c r="D117" s="9">
        <v>1</v>
      </c>
      <c r="E117" s="9">
        <v>18</v>
      </c>
      <c r="F117" s="10"/>
      <c r="H117" s="9">
        <v>30</v>
      </c>
      <c r="I117" s="9" t="s">
        <v>26</v>
      </c>
      <c r="J117" s="9">
        <f t="shared" si="1"/>
        <v>73</v>
      </c>
      <c r="K117" s="9" t="s">
        <v>26</v>
      </c>
      <c r="L117" s="9">
        <v>81</v>
      </c>
      <c r="N117" s="9">
        <v>78</v>
      </c>
      <c r="P117" s="9">
        <v>61.5</v>
      </c>
      <c r="R117" s="9">
        <v>71.5</v>
      </c>
      <c r="T117" s="9">
        <v>81</v>
      </c>
    </row>
    <row r="118" spans="1:22" x14ac:dyDescent="0.3">
      <c r="A118" s="9" t="s">
        <v>72</v>
      </c>
      <c r="B118" s="9" t="s">
        <v>73</v>
      </c>
      <c r="C118" s="9" t="s">
        <v>52</v>
      </c>
      <c r="D118" s="9">
        <v>1</v>
      </c>
      <c r="E118" s="9">
        <v>18</v>
      </c>
      <c r="F118" s="10"/>
      <c r="G118" s="9">
        <f>SUM(H115:H118)</f>
        <v>170</v>
      </c>
      <c r="H118" s="9">
        <v>65</v>
      </c>
      <c r="I118" s="9" t="s">
        <v>29</v>
      </c>
      <c r="J118" s="9" t="e">
        <f t="shared" si="1"/>
        <v>#DIV/0!</v>
      </c>
      <c r="T118" s="9">
        <v>0</v>
      </c>
    </row>
    <row r="119" spans="1:22" x14ac:dyDescent="0.3">
      <c r="A119" s="9" t="s">
        <v>72</v>
      </c>
      <c r="B119" s="9" t="s">
        <v>73</v>
      </c>
      <c r="C119" s="9" t="s">
        <v>52</v>
      </c>
      <c r="D119" s="9">
        <v>1</v>
      </c>
      <c r="E119" s="9">
        <v>24</v>
      </c>
      <c r="F119" s="10"/>
      <c r="H119" s="9">
        <v>70</v>
      </c>
      <c r="I119" s="9" t="s">
        <v>28</v>
      </c>
      <c r="J119" s="9">
        <f t="shared" si="1"/>
        <v>45.875</v>
      </c>
      <c r="K119" s="9" t="s">
        <v>28</v>
      </c>
      <c r="L119" s="9">
        <v>41</v>
      </c>
      <c r="M119" s="9" t="s">
        <v>28</v>
      </c>
      <c r="N119" s="9">
        <v>45</v>
      </c>
      <c r="O119" s="9" t="s">
        <v>28</v>
      </c>
      <c r="P119" s="9">
        <v>41.5</v>
      </c>
      <c r="Q119" s="9" t="s">
        <v>28</v>
      </c>
      <c r="R119" s="9">
        <v>56</v>
      </c>
      <c r="S119" s="9" t="s">
        <v>28</v>
      </c>
      <c r="T119" s="9">
        <v>56</v>
      </c>
      <c r="U119" s="9" t="s">
        <v>28</v>
      </c>
      <c r="V119" s="17">
        <v>0.40763888888888888</v>
      </c>
    </row>
    <row r="120" spans="1:22" x14ac:dyDescent="0.3">
      <c r="A120" s="9" t="s">
        <v>72</v>
      </c>
      <c r="B120" s="9" t="s">
        <v>73</v>
      </c>
      <c r="C120" s="9" t="s">
        <v>52</v>
      </c>
      <c r="D120" s="9">
        <v>1</v>
      </c>
      <c r="E120" s="9">
        <v>24</v>
      </c>
      <c r="F120" s="10"/>
      <c r="H120" s="9">
        <v>35</v>
      </c>
      <c r="I120" s="9" t="s">
        <v>36</v>
      </c>
      <c r="J120" s="9" t="e">
        <f t="shared" si="1"/>
        <v>#DIV/0!</v>
      </c>
      <c r="T120" s="9">
        <v>0</v>
      </c>
    </row>
    <row r="121" spans="1:22" x14ac:dyDescent="0.3">
      <c r="A121" s="9" t="s">
        <v>72</v>
      </c>
      <c r="B121" s="9" t="s">
        <v>73</v>
      </c>
      <c r="C121" s="9" t="s">
        <v>52</v>
      </c>
      <c r="D121" s="9">
        <v>1</v>
      </c>
      <c r="E121" s="9">
        <v>24</v>
      </c>
      <c r="F121" s="10"/>
      <c r="H121" s="9">
        <v>30</v>
      </c>
      <c r="I121" s="9" t="s">
        <v>26</v>
      </c>
      <c r="J121" s="9">
        <f t="shared" si="1"/>
        <v>67.5</v>
      </c>
      <c r="K121" s="9" t="s">
        <v>26</v>
      </c>
      <c r="L121" s="9">
        <v>74</v>
      </c>
      <c r="N121" s="9">
        <v>60</v>
      </c>
      <c r="P121" s="9">
        <v>70</v>
      </c>
      <c r="R121" s="9">
        <v>66</v>
      </c>
      <c r="T121" s="9">
        <v>74</v>
      </c>
    </row>
    <row r="122" spans="1:22" x14ac:dyDescent="0.3">
      <c r="A122" s="9" t="s">
        <v>72</v>
      </c>
      <c r="B122" s="9" t="s">
        <v>73</v>
      </c>
      <c r="C122" s="9" t="s">
        <v>52</v>
      </c>
      <c r="D122" s="9">
        <v>1</v>
      </c>
      <c r="E122" s="9">
        <v>24</v>
      </c>
      <c r="F122" s="10"/>
      <c r="H122" s="9">
        <v>25</v>
      </c>
      <c r="I122" s="9" t="s">
        <v>29</v>
      </c>
      <c r="J122" s="9" t="e">
        <f t="shared" si="1"/>
        <v>#DIV/0!</v>
      </c>
      <c r="T122" s="9">
        <v>0</v>
      </c>
    </row>
    <row r="123" spans="1:22" x14ac:dyDescent="0.3">
      <c r="A123" s="9" t="s">
        <v>72</v>
      </c>
      <c r="B123" s="9" t="s">
        <v>73</v>
      </c>
      <c r="C123" s="9" t="s">
        <v>52</v>
      </c>
      <c r="D123" s="9">
        <v>1</v>
      </c>
      <c r="E123" s="9">
        <v>24</v>
      </c>
      <c r="F123" s="10"/>
      <c r="G123" s="9">
        <f>SUM(H119:H123)</f>
        <v>195</v>
      </c>
      <c r="H123" s="9">
        <v>35</v>
      </c>
      <c r="I123" s="9" t="s">
        <v>50</v>
      </c>
      <c r="J123" s="9" t="e">
        <f t="shared" si="1"/>
        <v>#DIV/0!</v>
      </c>
      <c r="T123" s="9">
        <v>0</v>
      </c>
    </row>
    <row r="124" spans="1:22" x14ac:dyDescent="0.3">
      <c r="A124" s="9" t="s">
        <v>72</v>
      </c>
      <c r="B124" s="9" t="s">
        <v>73</v>
      </c>
      <c r="C124" s="9" t="s">
        <v>52</v>
      </c>
      <c r="D124" s="9">
        <v>1</v>
      </c>
      <c r="E124" s="9">
        <v>48</v>
      </c>
      <c r="F124" s="10"/>
      <c r="H124" s="9">
        <v>15</v>
      </c>
      <c r="I124" s="9" t="s">
        <v>29</v>
      </c>
      <c r="J124" s="9" t="e">
        <f t="shared" si="1"/>
        <v>#DIV/0!</v>
      </c>
      <c r="T124" s="9">
        <v>0</v>
      </c>
    </row>
    <row r="125" spans="1:22" x14ac:dyDescent="0.3">
      <c r="A125" s="9" t="s">
        <v>72</v>
      </c>
      <c r="B125" s="9" t="s">
        <v>73</v>
      </c>
      <c r="C125" s="9" t="s">
        <v>52</v>
      </c>
      <c r="D125" s="9">
        <v>1</v>
      </c>
      <c r="E125" s="9">
        <v>48</v>
      </c>
      <c r="F125" s="10"/>
      <c r="H125" s="9">
        <v>75</v>
      </c>
      <c r="I125" s="9" t="s">
        <v>31</v>
      </c>
      <c r="J125" s="9">
        <f t="shared" si="1"/>
        <v>34.375</v>
      </c>
      <c r="K125" s="9" t="s">
        <v>31</v>
      </c>
      <c r="L125" s="9">
        <v>33</v>
      </c>
      <c r="N125" s="9">
        <v>39</v>
      </c>
      <c r="P125" s="9">
        <v>33.5</v>
      </c>
      <c r="R125" s="9">
        <v>32</v>
      </c>
      <c r="T125" s="9">
        <v>39</v>
      </c>
      <c r="V125" s="17">
        <v>0.39583333333333331</v>
      </c>
    </row>
    <row r="126" spans="1:22" x14ac:dyDescent="0.3">
      <c r="A126" s="9" t="s">
        <v>72</v>
      </c>
      <c r="B126" s="9" t="s">
        <v>73</v>
      </c>
      <c r="C126" s="9" t="s">
        <v>52</v>
      </c>
      <c r="D126" s="9">
        <v>1</v>
      </c>
      <c r="E126" s="9">
        <v>48</v>
      </c>
      <c r="F126" s="10"/>
      <c r="G126" s="9">
        <v>105</v>
      </c>
      <c r="H126" s="9">
        <v>15</v>
      </c>
      <c r="I126" s="9" t="s">
        <v>28</v>
      </c>
      <c r="J126" s="9" t="e">
        <f t="shared" si="1"/>
        <v>#DIV/0!</v>
      </c>
      <c r="T126" s="9">
        <v>0</v>
      </c>
    </row>
    <row r="127" spans="1:22" x14ac:dyDescent="0.3">
      <c r="A127" s="9" t="s">
        <v>72</v>
      </c>
      <c r="B127" s="9" t="s">
        <v>73</v>
      </c>
      <c r="C127" s="9" t="s">
        <v>52</v>
      </c>
      <c r="D127" s="9">
        <v>2</v>
      </c>
      <c r="E127" s="9">
        <v>0.5</v>
      </c>
      <c r="F127" s="10"/>
      <c r="H127" s="9">
        <v>55</v>
      </c>
      <c r="I127" s="9" t="s">
        <v>28</v>
      </c>
      <c r="J127" s="9">
        <f t="shared" si="1"/>
        <v>34.75</v>
      </c>
      <c r="K127" s="9" t="s">
        <v>28</v>
      </c>
      <c r="L127" s="9">
        <v>37.5</v>
      </c>
      <c r="M127" s="9" t="s">
        <v>28</v>
      </c>
      <c r="N127" s="9">
        <v>39</v>
      </c>
      <c r="O127" s="9" t="s">
        <v>28</v>
      </c>
      <c r="P127" s="9">
        <v>25.5</v>
      </c>
      <c r="Q127" s="9" t="s">
        <v>28</v>
      </c>
      <c r="R127" s="9">
        <v>37</v>
      </c>
      <c r="S127" s="9" t="s">
        <v>28</v>
      </c>
      <c r="T127" s="9">
        <v>39</v>
      </c>
      <c r="U127" s="9" t="s">
        <v>28</v>
      </c>
      <c r="V127" s="17">
        <v>0.48680555555555555</v>
      </c>
    </row>
    <row r="128" spans="1:22" x14ac:dyDescent="0.3">
      <c r="A128" s="9" t="s">
        <v>72</v>
      </c>
      <c r="B128" s="9" t="s">
        <v>73</v>
      </c>
      <c r="C128" s="9" t="s">
        <v>52</v>
      </c>
      <c r="D128" s="9">
        <v>2</v>
      </c>
      <c r="E128" s="9">
        <v>0.5</v>
      </c>
      <c r="F128" s="10"/>
      <c r="H128" s="9">
        <v>50</v>
      </c>
      <c r="I128" s="9" t="s">
        <v>36</v>
      </c>
      <c r="J128" s="9" t="e">
        <f t="shared" si="1"/>
        <v>#DIV/0!</v>
      </c>
      <c r="T128" s="9">
        <v>0</v>
      </c>
    </row>
    <row r="129" spans="1:22" x14ac:dyDescent="0.3">
      <c r="A129" s="9" t="s">
        <v>72</v>
      </c>
      <c r="B129" s="9" t="s">
        <v>73</v>
      </c>
      <c r="C129" s="9" t="s">
        <v>52</v>
      </c>
      <c r="D129" s="9">
        <v>2</v>
      </c>
      <c r="E129" s="9">
        <v>0.5</v>
      </c>
      <c r="F129" s="10"/>
      <c r="H129" s="9">
        <v>35</v>
      </c>
      <c r="I129" s="9" t="s">
        <v>31</v>
      </c>
      <c r="J129" s="9" t="e">
        <f t="shared" si="1"/>
        <v>#DIV/0!</v>
      </c>
      <c r="T129" s="9">
        <v>0</v>
      </c>
    </row>
    <row r="130" spans="1:22" x14ac:dyDescent="0.3">
      <c r="A130" s="9" t="s">
        <v>72</v>
      </c>
      <c r="B130" s="9" t="s">
        <v>73</v>
      </c>
      <c r="C130" s="9" t="s">
        <v>52</v>
      </c>
      <c r="D130" s="9">
        <v>2</v>
      </c>
      <c r="E130" s="9">
        <v>0.5</v>
      </c>
      <c r="F130" s="10"/>
      <c r="G130" s="9">
        <v>165</v>
      </c>
      <c r="H130" s="9">
        <v>25</v>
      </c>
      <c r="I130" s="9" t="s">
        <v>29</v>
      </c>
      <c r="J130" s="9" t="e">
        <f t="shared" si="1"/>
        <v>#DIV/0!</v>
      </c>
      <c r="T130" s="9">
        <v>0</v>
      </c>
    </row>
    <row r="131" spans="1:22" x14ac:dyDescent="0.3">
      <c r="A131" s="9" t="s">
        <v>72</v>
      </c>
      <c r="B131" s="9" t="s">
        <v>73</v>
      </c>
      <c r="C131" s="9" t="s">
        <v>52</v>
      </c>
      <c r="D131" s="9">
        <v>2</v>
      </c>
      <c r="E131" s="9">
        <v>2</v>
      </c>
      <c r="F131" s="10"/>
      <c r="H131" s="9">
        <v>30</v>
      </c>
      <c r="I131" s="9" t="s">
        <v>28</v>
      </c>
      <c r="J131" s="9">
        <f t="shared" si="1"/>
        <v>31.5</v>
      </c>
      <c r="K131" s="9" t="s">
        <v>28</v>
      </c>
      <c r="L131" s="9">
        <v>31.5</v>
      </c>
      <c r="M131" s="9" t="s">
        <v>28</v>
      </c>
      <c r="N131" s="9" t="s">
        <v>30</v>
      </c>
      <c r="O131" s="9" t="s">
        <v>28</v>
      </c>
      <c r="P131" s="9" t="s">
        <v>30</v>
      </c>
      <c r="Q131" s="9" t="s">
        <v>28</v>
      </c>
      <c r="R131" s="9" t="s">
        <v>30</v>
      </c>
      <c r="S131" s="9" t="s">
        <v>28</v>
      </c>
      <c r="T131" s="9">
        <v>31.5</v>
      </c>
      <c r="U131" s="9" t="s">
        <v>28</v>
      </c>
      <c r="V131" s="9" t="s">
        <v>58</v>
      </c>
    </row>
    <row r="132" spans="1:22" x14ac:dyDescent="0.3">
      <c r="A132" s="9" t="s">
        <v>72</v>
      </c>
      <c r="B132" s="9" t="s">
        <v>73</v>
      </c>
      <c r="C132" s="9" t="s">
        <v>52</v>
      </c>
      <c r="D132" s="9">
        <v>2</v>
      </c>
      <c r="E132" s="9">
        <v>2</v>
      </c>
      <c r="F132" s="10"/>
      <c r="H132" s="9">
        <v>60</v>
      </c>
      <c r="I132" s="9" t="s">
        <v>36</v>
      </c>
      <c r="J132" s="9">
        <f t="shared" ref="J132:J195" si="2">AVERAGE(L132, N132, P132, R132)</f>
        <v>12.75</v>
      </c>
      <c r="K132" s="9" t="s">
        <v>36</v>
      </c>
      <c r="L132" s="9">
        <v>15</v>
      </c>
      <c r="N132" s="9">
        <v>12</v>
      </c>
      <c r="P132" s="9">
        <v>13</v>
      </c>
      <c r="R132" s="9">
        <v>11</v>
      </c>
      <c r="T132" s="9">
        <v>15</v>
      </c>
    </row>
    <row r="133" spans="1:22" x14ac:dyDescent="0.3">
      <c r="A133" s="9" t="s">
        <v>72</v>
      </c>
      <c r="B133" s="9" t="s">
        <v>73</v>
      </c>
      <c r="C133" s="9" t="s">
        <v>52</v>
      </c>
      <c r="D133" s="9">
        <v>2</v>
      </c>
      <c r="E133" s="9">
        <v>2</v>
      </c>
      <c r="F133" s="10"/>
      <c r="H133" s="9">
        <v>40</v>
      </c>
      <c r="I133" s="9" t="s">
        <v>31</v>
      </c>
      <c r="J133" s="9">
        <f t="shared" si="2"/>
        <v>21.333333333333332</v>
      </c>
      <c r="K133" s="9" t="s">
        <v>31</v>
      </c>
      <c r="L133" s="9" t="s">
        <v>30</v>
      </c>
      <c r="N133" s="9">
        <v>20</v>
      </c>
      <c r="P133" s="9">
        <v>28</v>
      </c>
      <c r="R133" s="9">
        <v>16</v>
      </c>
      <c r="T133" s="9">
        <v>28</v>
      </c>
    </row>
    <row r="134" spans="1:22" x14ac:dyDescent="0.3">
      <c r="A134" s="9" t="s">
        <v>72</v>
      </c>
      <c r="B134" s="9" t="s">
        <v>73</v>
      </c>
      <c r="C134" s="9" t="s">
        <v>52</v>
      </c>
      <c r="D134" s="9">
        <v>2</v>
      </c>
      <c r="E134" s="9">
        <v>2</v>
      </c>
      <c r="F134" s="10"/>
      <c r="G134" s="9">
        <v>140</v>
      </c>
      <c r="H134" s="9">
        <v>10</v>
      </c>
      <c r="I134" s="9" t="s">
        <v>29</v>
      </c>
      <c r="J134" s="9" t="e">
        <f t="shared" si="2"/>
        <v>#DIV/0!</v>
      </c>
      <c r="T134" s="9">
        <v>0</v>
      </c>
    </row>
    <row r="135" spans="1:22" x14ac:dyDescent="0.3">
      <c r="A135" s="9" t="s">
        <v>72</v>
      </c>
      <c r="B135" s="9" t="s">
        <v>73</v>
      </c>
      <c r="C135" s="9" t="s">
        <v>52</v>
      </c>
      <c r="D135" s="9">
        <v>2</v>
      </c>
      <c r="E135" s="9">
        <v>6</v>
      </c>
      <c r="F135" s="10"/>
      <c r="H135" s="9">
        <v>45</v>
      </c>
      <c r="I135" s="9" t="s">
        <v>28</v>
      </c>
      <c r="J135" s="9">
        <f t="shared" si="2"/>
        <v>48.25</v>
      </c>
      <c r="K135" s="9" t="s">
        <v>28</v>
      </c>
      <c r="L135" s="9">
        <v>38</v>
      </c>
      <c r="M135" s="9" t="s">
        <v>28</v>
      </c>
      <c r="N135" s="9">
        <v>47</v>
      </c>
      <c r="O135" s="9" t="s">
        <v>28</v>
      </c>
      <c r="P135" s="9">
        <v>57</v>
      </c>
      <c r="Q135" s="9" t="s">
        <v>28</v>
      </c>
      <c r="R135" s="9">
        <v>51</v>
      </c>
      <c r="S135" s="9" t="s">
        <v>28</v>
      </c>
      <c r="T135" s="9">
        <v>57</v>
      </c>
      <c r="U135" s="9" t="s">
        <v>28</v>
      </c>
      <c r="V135" s="17">
        <v>0.50277777777777777</v>
      </c>
    </row>
    <row r="136" spans="1:22" x14ac:dyDescent="0.3">
      <c r="A136" s="9" t="s">
        <v>72</v>
      </c>
      <c r="B136" s="9" t="s">
        <v>73</v>
      </c>
      <c r="C136" s="9" t="s">
        <v>52</v>
      </c>
      <c r="D136" s="9">
        <v>2</v>
      </c>
      <c r="E136" s="9">
        <v>6</v>
      </c>
      <c r="F136" s="10"/>
      <c r="H136" s="9">
        <v>30</v>
      </c>
      <c r="I136" s="9" t="s">
        <v>36</v>
      </c>
      <c r="J136" s="9" t="e">
        <f t="shared" si="2"/>
        <v>#DIV/0!</v>
      </c>
      <c r="T136" s="9">
        <v>0</v>
      </c>
    </row>
    <row r="137" spans="1:22" x14ac:dyDescent="0.3">
      <c r="A137" s="9" t="s">
        <v>72</v>
      </c>
      <c r="B137" s="9" t="s">
        <v>73</v>
      </c>
      <c r="C137" s="9" t="s">
        <v>52</v>
      </c>
      <c r="D137" s="9">
        <v>2</v>
      </c>
      <c r="E137" s="9">
        <v>6</v>
      </c>
      <c r="F137" s="10"/>
      <c r="H137" s="9">
        <v>30</v>
      </c>
      <c r="I137" s="9" t="s">
        <v>31</v>
      </c>
      <c r="J137" s="9" t="e">
        <f t="shared" si="2"/>
        <v>#DIV/0!</v>
      </c>
      <c r="T137" s="9">
        <v>0</v>
      </c>
    </row>
    <row r="138" spans="1:22" x14ac:dyDescent="0.3">
      <c r="A138" s="9" t="s">
        <v>72</v>
      </c>
      <c r="B138" s="9" t="s">
        <v>73</v>
      </c>
      <c r="C138" s="9" t="s">
        <v>52</v>
      </c>
      <c r="D138" s="9">
        <v>2</v>
      </c>
      <c r="E138" s="9">
        <v>6</v>
      </c>
      <c r="F138" s="10"/>
      <c r="H138" s="9">
        <v>20</v>
      </c>
      <c r="I138" s="9" t="s">
        <v>26</v>
      </c>
      <c r="J138" s="9">
        <f t="shared" si="2"/>
        <v>70</v>
      </c>
      <c r="K138" s="9" t="s">
        <v>26</v>
      </c>
      <c r="L138" s="9">
        <v>66</v>
      </c>
      <c r="N138" s="9" t="s">
        <v>30</v>
      </c>
      <c r="P138" s="9">
        <v>81</v>
      </c>
      <c r="R138" s="9">
        <v>63</v>
      </c>
      <c r="T138" s="9">
        <v>81</v>
      </c>
    </row>
    <row r="139" spans="1:22" x14ac:dyDescent="0.3">
      <c r="A139" s="9" t="s">
        <v>72</v>
      </c>
      <c r="B139" s="9" t="s">
        <v>73</v>
      </c>
      <c r="C139" s="9" t="s">
        <v>52</v>
      </c>
      <c r="D139" s="9">
        <v>2</v>
      </c>
      <c r="E139" s="9">
        <v>6</v>
      </c>
      <c r="F139" s="10"/>
      <c r="G139" s="9">
        <v>155</v>
      </c>
      <c r="H139" s="9">
        <v>30</v>
      </c>
      <c r="I139" s="9" t="s">
        <v>29</v>
      </c>
      <c r="J139" s="9" t="e">
        <f t="shared" si="2"/>
        <v>#DIV/0!</v>
      </c>
      <c r="T139" s="9">
        <v>0</v>
      </c>
    </row>
    <row r="140" spans="1:22" x14ac:dyDescent="0.3">
      <c r="A140" s="9" t="s">
        <v>72</v>
      </c>
      <c r="B140" s="9" t="s">
        <v>73</v>
      </c>
      <c r="C140" s="9" t="s">
        <v>52</v>
      </c>
      <c r="D140" s="9">
        <v>2</v>
      </c>
      <c r="E140" s="9">
        <v>12</v>
      </c>
      <c r="F140" s="10"/>
      <c r="H140" s="9">
        <v>70</v>
      </c>
      <c r="I140" s="9" t="s">
        <v>29</v>
      </c>
      <c r="J140" s="9" t="e">
        <f t="shared" si="2"/>
        <v>#DIV/0!</v>
      </c>
      <c r="T140" s="9">
        <v>0</v>
      </c>
      <c r="V140" s="17">
        <v>0.51111111111111107</v>
      </c>
    </row>
    <row r="141" spans="1:22" x14ac:dyDescent="0.3">
      <c r="A141" s="9" t="s">
        <v>72</v>
      </c>
      <c r="B141" s="9" t="s">
        <v>73</v>
      </c>
      <c r="C141" s="9" t="s">
        <v>52</v>
      </c>
      <c r="D141" s="9">
        <v>2</v>
      </c>
      <c r="E141" s="9">
        <v>12</v>
      </c>
      <c r="F141" s="10"/>
      <c r="H141" s="9">
        <v>50</v>
      </c>
      <c r="I141" s="9" t="s">
        <v>28</v>
      </c>
      <c r="J141" s="9">
        <f t="shared" si="2"/>
        <v>45.125</v>
      </c>
      <c r="K141" s="9" t="s">
        <v>28</v>
      </c>
      <c r="L141" s="9">
        <v>55</v>
      </c>
      <c r="M141" s="9" t="s">
        <v>28</v>
      </c>
      <c r="N141" s="9">
        <v>26</v>
      </c>
      <c r="O141" s="9" t="s">
        <v>28</v>
      </c>
      <c r="P141" s="9">
        <v>42.5</v>
      </c>
      <c r="Q141" s="9" t="s">
        <v>28</v>
      </c>
      <c r="R141" s="9">
        <v>57</v>
      </c>
      <c r="S141" s="9" t="s">
        <v>28</v>
      </c>
      <c r="T141" s="9">
        <v>57</v>
      </c>
      <c r="U141" s="9" t="s">
        <v>28</v>
      </c>
    </row>
    <row r="142" spans="1:22" x14ac:dyDescent="0.3">
      <c r="A142" s="9" t="s">
        <v>72</v>
      </c>
      <c r="B142" s="9" t="s">
        <v>73</v>
      </c>
      <c r="C142" s="9" t="s">
        <v>52</v>
      </c>
      <c r="D142" s="9">
        <v>2</v>
      </c>
      <c r="E142" s="9">
        <v>12</v>
      </c>
      <c r="F142" s="10"/>
      <c r="H142" s="9">
        <v>30</v>
      </c>
      <c r="I142" s="9" t="s">
        <v>36</v>
      </c>
      <c r="J142" s="9" t="e">
        <f t="shared" si="2"/>
        <v>#DIV/0!</v>
      </c>
      <c r="T142" s="9">
        <v>0</v>
      </c>
    </row>
    <row r="143" spans="1:22" x14ac:dyDescent="0.3">
      <c r="A143" s="9" t="s">
        <v>72</v>
      </c>
      <c r="B143" s="9" t="s">
        <v>73</v>
      </c>
      <c r="C143" s="9" t="s">
        <v>52</v>
      </c>
      <c r="D143" s="9">
        <v>2</v>
      </c>
      <c r="E143" s="9">
        <v>12</v>
      </c>
      <c r="F143" s="10"/>
      <c r="H143" s="9">
        <v>20</v>
      </c>
      <c r="I143" s="9" t="s">
        <v>31</v>
      </c>
      <c r="J143" s="9" t="e">
        <f t="shared" si="2"/>
        <v>#DIV/0!</v>
      </c>
      <c r="T143" s="9">
        <v>0</v>
      </c>
    </row>
    <row r="144" spans="1:22" x14ac:dyDescent="0.3">
      <c r="A144" s="9" t="s">
        <v>72</v>
      </c>
      <c r="B144" s="9" t="s">
        <v>73</v>
      </c>
      <c r="C144" s="9" t="s">
        <v>52</v>
      </c>
      <c r="D144" s="9">
        <v>2</v>
      </c>
      <c r="E144" s="9">
        <v>12</v>
      </c>
      <c r="F144" s="10"/>
      <c r="G144" s="9">
        <v>185</v>
      </c>
      <c r="H144" s="9">
        <v>15</v>
      </c>
      <c r="I144" s="9" t="s">
        <v>26</v>
      </c>
      <c r="J144" s="9">
        <f t="shared" si="2"/>
        <v>55.166666666666664</v>
      </c>
      <c r="K144" s="9" t="s">
        <v>26</v>
      </c>
      <c r="L144" s="9" t="s">
        <v>30</v>
      </c>
      <c r="N144" s="9">
        <v>46.5</v>
      </c>
      <c r="P144" s="9">
        <v>59.5</v>
      </c>
      <c r="R144" s="9">
        <v>59.5</v>
      </c>
      <c r="T144" s="9">
        <v>59.5</v>
      </c>
    </row>
    <row r="145" spans="1:22" x14ac:dyDescent="0.3">
      <c r="A145" s="9" t="s">
        <v>72</v>
      </c>
      <c r="B145" s="9" t="s">
        <v>73</v>
      </c>
      <c r="C145" s="9" t="s">
        <v>52</v>
      </c>
      <c r="D145" s="9">
        <v>2</v>
      </c>
      <c r="E145" s="9">
        <v>18</v>
      </c>
      <c r="F145" s="10"/>
      <c r="H145" s="9">
        <v>60</v>
      </c>
      <c r="I145" s="9" t="s">
        <v>29</v>
      </c>
      <c r="J145" s="9" t="e">
        <f t="shared" si="2"/>
        <v>#DIV/0!</v>
      </c>
      <c r="T145" s="9">
        <v>0</v>
      </c>
      <c r="V145" s="17">
        <v>0.5180555555555556</v>
      </c>
    </row>
    <row r="146" spans="1:22" x14ac:dyDescent="0.3">
      <c r="A146" s="9" t="s">
        <v>72</v>
      </c>
      <c r="B146" s="9" t="s">
        <v>73</v>
      </c>
      <c r="C146" s="9" t="s">
        <v>52</v>
      </c>
      <c r="D146" s="9">
        <v>2</v>
      </c>
      <c r="E146" s="9">
        <v>18</v>
      </c>
      <c r="F146" s="10"/>
      <c r="H146" s="9">
        <v>45</v>
      </c>
      <c r="I146" s="9" t="s">
        <v>28</v>
      </c>
      <c r="J146" s="9">
        <f t="shared" si="2"/>
        <v>47.875</v>
      </c>
      <c r="K146" s="9" t="s">
        <v>28</v>
      </c>
      <c r="L146" s="9">
        <v>42.5</v>
      </c>
      <c r="M146" s="9" t="s">
        <v>28</v>
      </c>
      <c r="N146" s="9">
        <v>50</v>
      </c>
      <c r="O146" s="9" t="s">
        <v>28</v>
      </c>
      <c r="P146" s="9">
        <v>55</v>
      </c>
      <c r="Q146" s="9" t="s">
        <v>28</v>
      </c>
      <c r="R146" s="9">
        <v>44</v>
      </c>
      <c r="S146" s="9" t="s">
        <v>28</v>
      </c>
      <c r="T146" s="9">
        <v>55</v>
      </c>
      <c r="U146" s="9" t="s">
        <v>28</v>
      </c>
    </row>
    <row r="147" spans="1:22" x14ac:dyDescent="0.3">
      <c r="A147" s="9" t="s">
        <v>72</v>
      </c>
      <c r="B147" s="9" t="s">
        <v>73</v>
      </c>
      <c r="C147" s="9" t="s">
        <v>52</v>
      </c>
      <c r="D147" s="9">
        <v>2</v>
      </c>
      <c r="E147" s="9">
        <v>18</v>
      </c>
      <c r="F147" s="10"/>
      <c r="H147" s="9">
        <v>40</v>
      </c>
      <c r="I147" s="9" t="s">
        <v>26</v>
      </c>
      <c r="J147" s="9">
        <f t="shared" si="2"/>
        <v>65.625</v>
      </c>
      <c r="K147" s="9" t="s">
        <v>26</v>
      </c>
      <c r="L147" s="9">
        <v>58.5</v>
      </c>
      <c r="N147" s="9">
        <v>68</v>
      </c>
      <c r="P147" s="9">
        <v>70</v>
      </c>
      <c r="R147" s="9">
        <v>66</v>
      </c>
      <c r="T147" s="9">
        <v>70</v>
      </c>
    </row>
    <row r="148" spans="1:22" x14ac:dyDescent="0.3">
      <c r="A148" s="9" t="s">
        <v>72</v>
      </c>
      <c r="B148" s="9" t="s">
        <v>73</v>
      </c>
      <c r="C148" s="9" t="s">
        <v>52</v>
      </c>
      <c r="D148" s="9">
        <v>2</v>
      </c>
      <c r="E148" s="9">
        <v>18</v>
      </c>
      <c r="F148" s="10"/>
      <c r="H148" s="9">
        <v>35</v>
      </c>
      <c r="I148" s="9" t="s">
        <v>36</v>
      </c>
      <c r="J148" s="9" t="e">
        <f t="shared" si="2"/>
        <v>#DIV/0!</v>
      </c>
      <c r="T148" s="9">
        <v>0</v>
      </c>
    </row>
    <row r="149" spans="1:22" x14ac:dyDescent="0.3">
      <c r="A149" s="9" t="s">
        <v>72</v>
      </c>
      <c r="B149" s="9" t="s">
        <v>73</v>
      </c>
      <c r="C149" s="9" t="s">
        <v>52</v>
      </c>
      <c r="D149" s="9">
        <v>2</v>
      </c>
      <c r="E149" s="9">
        <v>18</v>
      </c>
      <c r="F149" s="10"/>
      <c r="G149" s="9">
        <v>190</v>
      </c>
      <c r="H149" s="9">
        <v>10</v>
      </c>
      <c r="I149" s="9" t="s">
        <v>44</v>
      </c>
      <c r="J149" s="9" t="e">
        <f t="shared" si="2"/>
        <v>#DIV/0!</v>
      </c>
      <c r="T149" s="9">
        <v>0</v>
      </c>
    </row>
    <row r="150" spans="1:22" x14ac:dyDescent="0.3">
      <c r="A150" s="9" t="s">
        <v>72</v>
      </c>
      <c r="B150" s="9" t="s">
        <v>73</v>
      </c>
      <c r="C150" s="9" t="s">
        <v>52</v>
      </c>
      <c r="D150" s="9">
        <v>2</v>
      </c>
      <c r="E150" s="9">
        <v>24</v>
      </c>
      <c r="F150" s="10"/>
      <c r="H150" s="9">
        <v>30</v>
      </c>
      <c r="I150" s="9" t="s">
        <v>29</v>
      </c>
      <c r="J150" s="9" t="e">
        <f t="shared" si="2"/>
        <v>#DIV/0!</v>
      </c>
      <c r="T150" s="9">
        <v>0</v>
      </c>
    </row>
    <row r="151" spans="1:22" x14ac:dyDescent="0.3">
      <c r="A151" s="9" t="s">
        <v>72</v>
      </c>
      <c r="B151" s="9" t="s">
        <v>73</v>
      </c>
      <c r="C151" s="9" t="s">
        <v>52</v>
      </c>
      <c r="D151" s="9">
        <v>2</v>
      </c>
      <c r="E151" s="9">
        <v>24</v>
      </c>
      <c r="F151" s="10"/>
      <c r="H151" s="9">
        <v>15</v>
      </c>
      <c r="I151" s="9" t="s">
        <v>26</v>
      </c>
      <c r="J151" s="9">
        <f t="shared" si="2"/>
        <v>60</v>
      </c>
      <c r="K151" s="9" t="s">
        <v>26</v>
      </c>
      <c r="L151" s="9" t="s">
        <v>30</v>
      </c>
      <c r="N151" s="9" t="s">
        <v>30</v>
      </c>
      <c r="P151" s="9">
        <v>55</v>
      </c>
      <c r="R151" s="9">
        <v>65</v>
      </c>
      <c r="T151" s="9">
        <v>65</v>
      </c>
    </row>
    <row r="152" spans="1:22" x14ac:dyDescent="0.3">
      <c r="A152" s="9" t="s">
        <v>72</v>
      </c>
      <c r="B152" s="9" t="s">
        <v>73</v>
      </c>
      <c r="C152" s="9" t="s">
        <v>52</v>
      </c>
      <c r="D152" s="9">
        <v>2</v>
      </c>
      <c r="E152" s="9">
        <v>24</v>
      </c>
      <c r="F152" s="10"/>
      <c r="H152" s="9">
        <v>45</v>
      </c>
      <c r="I152" s="9" t="s">
        <v>28</v>
      </c>
      <c r="J152" s="9">
        <f t="shared" si="2"/>
        <v>41.5</v>
      </c>
      <c r="K152" s="9" t="s">
        <v>28</v>
      </c>
      <c r="L152" s="9">
        <v>52</v>
      </c>
      <c r="M152" s="9" t="s">
        <v>28</v>
      </c>
      <c r="N152" s="9">
        <v>33</v>
      </c>
      <c r="O152" s="9" t="s">
        <v>28</v>
      </c>
      <c r="P152" s="9">
        <v>41</v>
      </c>
      <c r="Q152" s="9" t="s">
        <v>28</v>
      </c>
      <c r="R152" s="9">
        <v>40</v>
      </c>
      <c r="S152" s="9" t="s">
        <v>28</v>
      </c>
      <c r="T152" s="9">
        <v>52</v>
      </c>
      <c r="U152" s="9" t="s">
        <v>28</v>
      </c>
      <c r="V152" s="17">
        <v>0.52638888888888891</v>
      </c>
    </row>
    <row r="153" spans="1:22" x14ac:dyDescent="0.3">
      <c r="A153" s="9" t="s">
        <v>72</v>
      </c>
      <c r="B153" s="9" t="s">
        <v>73</v>
      </c>
      <c r="C153" s="9" t="s">
        <v>52</v>
      </c>
      <c r="D153" s="9">
        <v>2</v>
      </c>
      <c r="E153" s="9">
        <v>24</v>
      </c>
      <c r="F153" s="10"/>
      <c r="H153" s="9">
        <v>25</v>
      </c>
      <c r="I153" s="9" t="s">
        <v>31</v>
      </c>
      <c r="J153" s="9" t="e">
        <f t="shared" si="2"/>
        <v>#DIV/0!</v>
      </c>
      <c r="T153" s="9">
        <v>0</v>
      </c>
    </row>
    <row r="154" spans="1:22" x14ac:dyDescent="0.3">
      <c r="A154" s="9" t="s">
        <v>72</v>
      </c>
      <c r="B154" s="9" t="s">
        <v>73</v>
      </c>
      <c r="C154" s="9" t="s">
        <v>52</v>
      </c>
      <c r="D154" s="9">
        <v>2</v>
      </c>
      <c r="E154" s="9">
        <v>24</v>
      </c>
      <c r="F154" s="10"/>
      <c r="G154" s="9">
        <v>140</v>
      </c>
      <c r="H154" s="9">
        <v>25</v>
      </c>
      <c r="I154" s="9" t="s">
        <v>36</v>
      </c>
      <c r="J154" s="9" t="e">
        <f t="shared" si="2"/>
        <v>#DIV/0!</v>
      </c>
      <c r="T154" s="9">
        <v>0</v>
      </c>
    </row>
    <row r="155" spans="1:22" x14ac:dyDescent="0.3">
      <c r="A155" s="9" t="s">
        <v>72</v>
      </c>
      <c r="B155" s="9" t="s">
        <v>73</v>
      </c>
      <c r="C155" s="9" t="s">
        <v>52</v>
      </c>
      <c r="D155" s="9">
        <v>2</v>
      </c>
      <c r="E155" s="9">
        <v>48</v>
      </c>
      <c r="F155" s="10"/>
      <c r="H155" s="9">
        <v>5</v>
      </c>
      <c r="I155" s="9" t="s">
        <v>29</v>
      </c>
      <c r="J155" s="9" t="e">
        <f t="shared" si="2"/>
        <v>#DIV/0!</v>
      </c>
      <c r="T155" s="9">
        <v>0</v>
      </c>
      <c r="V155" s="9" t="s">
        <v>59</v>
      </c>
    </row>
    <row r="156" spans="1:22" x14ac:dyDescent="0.3">
      <c r="A156" s="9" t="s">
        <v>72</v>
      </c>
      <c r="B156" s="9" t="s">
        <v>73</v>
      </c>
      <c r="C156" s="9" t="s">
        <v>52</v>
      </c>
      <c r="D156" s="9">
        <v>2</v>
      </c>
      <c r="E156" s="9">
        <v>48</v>
      </c>
      <c r="F156" s="10"/>
      <c r="H156" s="9">
        <v>10</v>
      </c>
      <c r="I156" s="9" t="s">
        <v>36</v>
      </c>
      <c r="J156" s="9" t="e">
        <f t="shared" si="2"/>
        <v>#DIV/0!</v>
      </c>
      <c r="T156" s="9">
        <v>0</v>
      </c>
    </row>
    <row r="157" spans="1:22" x14ac:dyDescent="0.3">
      <c r="A157" s="9" t="s">
        <v>72</v>
      </c>
      <c r="B157" s="9" t="s">
        <v>73</v>
      </c>
      <c r="C157" s="9" t="s">
        <v>52</v>
      </c>
      <c r="D157" s="9">
        <v>2</v>
      </c>
      <c r="E157" s="9">
        <v>48</v>
      </c>
      <c r="F157" s="10"/>
      <c r="H157" s="9">
        <v>95</v>
      </c>
      <c r="I157" s="9" t="s">
        <v>31</v>
      </c>
      <c r="J157" s="9">
        <f t="shared" si="2"/>
        <v>34.375</v>
      </c>
      <c r="K157" s="9" t="s">
        <v>31</v>
      </c>
      <c r="L157" s="9">
        <v>37</v>
      </c>
      <c r="N157" s="9">
        <v>28.5</v>
      </c>
      <c r="P157" s="9">
        <v>28</v>
      </c>
      <c r="R157" s="9">
        <v>44</v>
      </c>
      <c r="T157" s="9">
        <v>44</v>
      </c>
    </row>
    <row r="158" spans="1:22" x14ac:dyDescent="0.3">
      <c r="A158" s="9" t="s">
        <v>72</v>
      </c>
      <c r="B158" s="9" t="s">
        <v>73</v>
      </c>
      <c r="C158" s="9" t="s">
        <v>52</v>
      </c>
      <c r="D158" s="9">
        <v>2</v>
      </c>
      <c r="E158" s="9">
        <v>48</v>
      </c>
      <c r="F158" s="10"/>
      <c r="G158" s="9">
        <v>115</v>
      </c>
      <c r="H158" s="9">
        <v>5</v>
      </c>
      <c r="I158" s="9" t="s">
        <v>26</v>
      </c>
      <c r="J158" s="9">
        <f t="shared" si="2"/>
        <v>57.5</v>
      </c>
      <c r="K158" s="9" t="s">
        <v>26</v>
      </c>
      <c r="L158" s="9">
        <v>57.5</v>
      </c>
      <c r="N158" s="9" t="s">
        <v>30</v>
      </c>
      <c r="P158" s="9" t="s">
        <v>30</v>
      </c>
      <c r="R158" s="9" t="s">
        <v>30</v>
      </c>
      <c r="T158" s="9">
        <v>57.5</v>
      </c>
    </row>
    <row r="159" spans="1:22" x14ac:dyDescent="0.3">
      <c r="A159" s="9" t="s">
        <v>72</v>
      </c>
      <c r="B159" s="9" t="s">
        <v>73</v>
      </c>
      <c r="C159" s="9" t="s">
        <v>60</v>
      </c>
      <c r="D159" s="9">
        <v>1</v>
      </c>
      <c r="E159" s="9">
        <v>0.5</v>
      </c>
      <c r="F159" s="10"/>
      <c r="H159" s="9">
        <v>65</v>
      </c>
      <c r="I159" s="9" t="s">
        <v>28</v>
      </c>
      <c r="J159" s="9">
        <f t="shared" si="2"/>
        <v>57</v>
      </c>
      <c r="K159" s="9" t="s">
        <v>28</v>
      </c>
      <c r="L159" s="9">
        <v>50</v>
      </c>
      <c r="M159" s="9" t="s">
        <v>28</v>
      </c>
      <c r="N159" s="9">
        <v>48.5</v>
      </c>
      <c r="O159" s="9" t="s">
        <v>28</v>
      </c>
      <c r="P159" s="9">
        <v>66</v>
      </c>
      <c r="Q159" s="9" t="s">
        <v>28</v>
      </c>
      <c r="R159" s="9">
        <v>63.5</v>
      </c>
      <c r="S159" s="9" t="s">
        <v>28</v>
      </c>
      <c r="T159" s="9">
        <v>66</v>
      </c>
      <c r="U159" s="9" t="s">
        <v>28</v>
      </c>
      <c r="V159" s="9" t="s">
        <v>61</v>
      </c>
    </row>
    <row r="160" spans="1:22" x14ac:dyDescent="0.3">
      <c r="A160" s="9" t="s">
        <v>72</v>
      </c>
      <c r="B160" s="9" t="s">
        <v>73</v>
      </c>
      <c r="C160" s="9" t="s">
        <v>60</v>
      </c>
      <c r="D160" s="9">
        <v>1</v>
      </c>
      <c r="E160" s="9">
        <v>0.5</v>
      </c>
      <c r="F160" s="10"/>
      <c r="H160" s="9">
        <v>20</v>
      </c>
      <c r="I160" s="9" t="s">
        <v>26</v>
      </c>
      <c r="J160" s="9" t="e">
        <f t="shared" si="2"/>
        <v>#DIV/0!</v>
      </c>
      <c r="T160" s="9">
        <v>0</v>
      </c>
    </row>
    <row r="161" spans="1:22" x14ac:dyDescent="0.3">
      <c r="A161" s="9" t="s">
        <v>72</v>
      </c>
      <c r="B161" s="9" t="s">
        <v>73</v>
      </c>
      <c r="C161" s="9" t="s">
        <v>60</v>
      </c>
      <c r="D161" s="9">
        <v>1</v>
      </c>
      <c r="E161" s="9">
        <v>0.5</v>
      </c>
      <c r="F161" s="10"/>
      <c r="G161" s="9">
        <v>105</v>
      </c>
      <c r="H161" s="9">
        <v>20</v>
      </c>
      <c r="I161" s="9" t="s">
        <v>29</v>
      </c>
      <c r="J161" s="9" t="e">
        <f t="shared" si="2"/>
        <v>#DIV/0!</v>
      </c>
      <c r="T161" s="9">
        <v>0</v>
      </c>
    </row>
    <row r="162" spans="1:22" x14ac:dyDescent="0.3">
      <c r="A162" s="9" t="s">
        <v>72</v>
      </c>
      <c r="B162" s="9" t="s">
        <v>73</v>
      </c>
      <c r="C162" s="9" t="s">
        <v>60</v>
      </c>
      <c r="D162" s="9">
        <v>1</v>
      </c>
      <c r="E162" s="9">
        <v>2</v>
      </c>
      <c r="F162" s="10"/>
      <c r="H162" s="9">
        <v>60</v>
      </c>
      <c r="I162" s="9" t="s">
        <v>62</v>
      </c>
      <c r="J162" s="9" t="e">
        <f t="shared" si="2"/>
        <v>#DIV/0!</v>
      </c>
      <c r="T162" s="9">
        <v>0</v>
      </c>
    </row>
    <row r="163" spans="1:22" x14ac:dyDescent="0.3">
      <c r="A163" s="9" t="s">
        <v>72</v>
      </c>
      <c r="B163" s="9" t="s">
        <v>73</v>
      </c>
      <c r="C163" s="9" t="s">
        <v>60</v>
      </c>
      <c r="D163" s="9">
        <v>1</v>
      </c>
      <c r="E163" s="9">
        <v>2</v>
      </c>
      <c r="F163" s="10"/>
      <c r="H163" s="9">
        <v>70</v>
      </c>
      <c r="I163" s="9" t="s">
        <v>28</v>
      </c>
      <c r="J163" s="9">
        <f t="shared" si="2"/>
        <v>52.875</v>
      </c>
      <c r="K163" s="9" t="s">
        <v>28</v>
      </c>
      <c r="L163" s="9">
        <v>53</v>
      </c>
      <c r="M163" s="9" t="s">
        <v>28</v>
      </c>
      <c r="N163" s="9">
        <v>62.5</v>
      </c>
      <c r="O163" s="9" t="s">
        <v>28</v>
      </c>
      <c r="P163" s="9">
        <v>48</v>
      </c>
      <c r="Q163" s="9" t="s">
        <v>28</v>
      </c>
      <c r="R163" s="9">
        <v>48</v>
      </c>
      <c r="S163" s="9" t="s">
        <v>28</v>
      </c>
      <c r="T163" s="9">
        <v>62.5</v>
      </c>
      <c r="U163" s="9" t="s">
        <v>28</v>
      </c>
      <c r="V163" s="17">
        <v>0.52013888888888893</v>
      </c>
    </row>
    <row r="164" spans="1:22" x14ac:dyDescent="0.3">
      <c r="A164" s="9" t="s">
        <v>72</v>
      </c>
      <c r="B164" s="9" t="s">
        <v>73</v>
      </c>
      <c r="C164" s="9" t="s">
        <v>60</v>
      </c>
      <c r="D164" s="9">
        <v>1</v>
      </c>
      <c r="E164" s="9">
        <v>2</v>
      </c>
      <c r="F164" s="10"/>
      <c r="G164" s="9">
        <v>180</v>
      </c>
      <c r="H164" s="9">
        <v>50</v>
      </c>
      <c r="I164" s="9" t="s">
        <v>29</v>
      </c>
      <c r="J164" s="9" t="e">
        <f t="shared" si="2"/>
        <v>#DIV/0!</v>
      </c>
      <c r="T164" s="9">
        <v>0</v>
      </c>
    </row>
    <row r="165" spans="1:22" x14ac:dyDescent="0.3">
      <c r="A165" s="9" t="s">
        <v>72</v>
      </c>
      <c r="B165" s="9" t="s">
        <v>73</v>
      </c>
      <c r="C165" s="9" t="s">
        <v>60</v>
      </c>
      <c r="D165" s="9">
        <v>1</v>
      </c>
      <c r="E165" s="9">
        <v>6</v>
      </c>
      <c r="F165" s="10"/>
      <c r="H165" s="9">
        <v>50</v>
      </c>
      <c r="I165" s="9" t="s">
        <v>63</v>
      </c>
      <c r="J165" s="9" t="e">
        <f t="shared" si="2"/>
        <v>#DIV/0!</v>
      </c>
      <c r="T165" s="9">
        <v>0</v>
      </c>
    </row>
    <row r="166" spans="1:22" x14ac:dyDescent="0.3">
      <c r="A166" s="9" t="s">
        <v>72</v>
      </c>
      <c r="B166" s="9" t="s">
        <v>73</v>
      </c>
      <c r="C166" s="9" t="s">
        <v>60</v>
      </c>
      <c r="D166" s="9">
        <v>1</v>
      </c>
      <c r="E166" s="9">
        <v>6</v>
      </c>
      <c r="F166" s="10"/>
      <c r="G166" s="9">
        <v>100</v>
      </c>
      <c r="H166" s="9">
        <v>50</v>
      </c>
      <c r="I166" s="9" t="s">
        <v>28</v>
      </c>
      <c r="J166" s="9">
        <f t="shared" si="2"/>
        <v>60.125</v>
      </c>
      <c r="K166" s="9" t="s">
        <v>28</v>
      </c>
      <c r="L166" s="9">
        <v>59.5</v>
      </c>
      <c r="M166" s="9" t="s">
        <v>28</v>
      </c>
      <c r="N166" s="9">
        <v>61</v>
      </c>
      <c r="O166" s="9" t="s">
        <v>28</v>
      </c>
      <c r="P166" s="9">
        <v>63</v>
      </c>
      <c r="Q166" s="9" t="s">
        <v>28</v>
      </c>
      <c r="R166" s="9">
        <v>57</v>
      </c>
      <c r="S166" s="9" t="s">
        <v>28</v>
      </c>
      <c r="T166" s="9">
        <v>63</v>
      </c>
      <c r="U166" s="9" t="s">
        <v>28</v>
      </c>
      <c r="V166" s="17">
        <v>0.52569444444444446</v>
      </c>
    </row>
    <row r="167" spans="1:22" x14ac:dyDescent="0.3">
      <c r="A167" s="9" t="s">
        <v>72</v>
      </c>
      <c r="B167" s="9" t="s">
        <v>73</v>
      </c>
      <c r="C167" s="9" t="s">
        <v>60</v>
      </c>
      <c r="D167" s="9">
        <v>1</v>
      </c>
      <c r="E167" s="9">
        <v>12</v>
      </c>
      <c r="F167" s="10"/>
      <c r="H167" s="9">
        <v>65</v>
      </c>
      <c r="I167" s="9" t="s">
        <v>28</v>
      </c>
      <c r="J167" s="9">
        <f t="shared" si="2"/>
        <v>49.5</v>
      </c>
      <c r="K167" s="9" t="s">
        <v>28</v>
      </c>
      <c r="L167" s="9">
        <v>50</v>
      </c>
      <c r="M167" s="9" t="s">
        <v>28</v>
      </c>
      <c r="N167" s="9">
        <v>49</v>
      </c>
      <c r="O167" s="9" t="s">
        <v>28</v>
      </c>
      <c r="P167" s="9">
        <v>51</v>
      </c>
      <c r="Q167" s="9" t="s">
        <v>28</v>
      </c>
      <c r="R167" s="9">
        <v>48</v>
      </c>
      <c r="S167" s="9" t="s">
        <v>28</v>
      </c>
      <c r="T167" s="9">
        <v>51</v>
      </c>
      <c r="U167" s="9" t="s">
        <v>28</v>
      </c>
      <c r="V167" s="17">
        <v>0.53194444444444444</v>
      </c>
    </row>
    <row r="168" spans="1:22" x14ac:dyDescent="0.3">
      <c r="A168" s="9" t="s">
        <v>72</v>
      </c>
      <c r="B168" s="9" t="s">
        <v>73</v>
      </c>
      <c r="C168" s="9" t="s">
        <v>60</v>
      </c>
      <c r="D168" s="9">
        <v>1</v>
      </c>
      <c r="E168" s="9">
        <v>12</v>
      </c>
      <c r="F168" s="10"/>
      <c r="G168" s="9">
        <v>100</v>
      </c>
      <c r="H168" s="9">
        <v>35</v>
      </c>
      <c r="I168" s="9" t="s">
        <v>29</v>
      </c>
      <c r="J168" s="9" t="e">
        <f t="shared" si="2"/>
        <v>#DIV/0!</v>
      </c>
      <c r="T168" s="9">
        <v>0</v>
      </c>
    </row>
    <row r="169" spans="1:22" x14ac:dyDescent="0.3">
      <c r="A169" s="9" t="s">
        <v>72</v>
      </c>
      <c r="B169" s="9" t="s">
        <v>73</v>
      </c>
      <c r="C169" s="9" t="s">
        <v>60</v>
      </c>
      <c r="D169" s="9">
        <v>1</v>
      </c>
      <c r="E169" s="9">
        <v>18</v>
      </c>
      <c r="F169" s="10"/>
      <c r="H169" s="9">
        <v>80</v>
      </c>
      <c r="I169" s="9" t="s">
        <v>28</v>
      </c>
      <c r="J169" s="9">
        <f t="shared" si="2"/>
        <v>62.875</v>
      </c>
      <c r="K169" s="9" t="s">
        <v>28</v>
      </c>
      <c r="L169" s="9">
        <v>65.5</v>
      </c>
      <c r="M169" s="9" t="s">
        <v>28</v>
      </c>
      <c r="N169" s="9">
        <v>66.5</v>
      </c>
      <c r="O169" s="9" t="s">
        <v>28</v>
      </c>
      <c r="P169" s="9">
        <v>58.5</v>
      </c>
      <c r="Q169" s="9" t="s">
        <v>28</v>
      </c>
      <c r="R169" s="9">
        <v>61</v>
      </c>
      <c r="S169" s="9" t="s">
        <v>28</v>
      </c>
      <c r="T169" s="9">
        <v>66.5</v>
      </c>
      <c r="U169" s="9" t="s">
        <v>28</v>
      </c>
      <c r="V169" s="17">
        <v>0.53749999999999998</v>
      </c>
    </row>
    <row r="170" spans="1:22" x14ac:dyDescent="0.3">
      <c r="A170" s="9" t="s">
        <v>72</v>
      </c>
      <c r="B170" s="9" t="s">
        <v>73</v>
      </c>
      <c r="C170" s="9" t="s">
        <v>60</v>
      </c>
      <c r="D170" s="9">
        <v>1</v>
      </c>
      <c r="E170" s="9">
        <v>18</v>
      </c>
      <c r="F170" s="10"/>
      <c r="H170" s="9">
        <v>20</v>
      </c>
      <c r="I170" s="9" t="s">
        <v>29</v>
      </c>
      <c r="J170" s="9" t="e">
        <f t="shared" si="2"/>
        <v>#DIV/0!</v>
      </c>
      <c r="T170" s="9">
        <v>0</v>
      </c>
    </row>
    <row r="171" spans="1:22" x14ac:dyDescent="0.3">
      <c r="A171" s="9" t="s">
        <v>72</v>
      </c>
      <c r="B171" s="9" t="s">
        <v>73</v>
      </c>
      <c r="C171" s="9" t="s">
        <v>60</v>
      </c>
      <c r="D171" s="9">
        <v>1</v>
      </c>
      <c r="E171" s="9">
        <v>18</v>
      </c>
      <c r="F171" s="10"/>
      <c r="G171" s="9">
        <v>100</v>
      </c>
      <c r="H171" s="9" t="s">
        <v>64</v>
      </c>
      <c r="I171" s="9" t="s">
        <v>65</v>
      </c>
      <c r="J171" s="9" t="e">
        <f t="shared" si="2"/>
        <v>#DIV/0!</v>
      </c>
      <c r="T171" s="9">
        <v>0</v>
      </c>
    </row>
    <row r="172" spans="1:22" x14ac:dyDescent="0.3">
      <c r="A172" s="9" t="s">
        <v>72</v>
      </c>
      <c r="B172" s="9" t="s">
        <v>73</v>
      </c>
      <c r="C172" s="9" t="s">
        <v>60</v>
      </c>
      <c r="D172" s="9">
        <v>1</v>
      </c>
      <c r="E172" s="9">
        <v>24</v>
      </c>
      <c r="F172" s="10"/>
      <c r="H172" s="9">
        <v>15</v>
      </c>
      <c r="I172" s="9" t="s">
        <v>50</v>
      </c>
      <c r="J172" s="9" t="e">
        <f t="shared" si="2"/>
        <v>#DIV/0!</v>
      </c>
      <c r="T172" s="9">
        <v>0</v>
      </c>
    </row>
    <row r="173" spans="1:22" x14ac:dyDescent="0.3">
      <c r="A173" s="9" t="s">
        <v>72</v>
      </c>
      <c r="B173" s="9" t="s">
        <v>73</v>
      </c>
      <c r="C173" s="9" t="s">
        <v>60</v>
      </c>
      <c r="D173" s="9">
        <v>1</v>
      </c>
      <c r="E173" s="9">
        <v>24</v>
      </c>
      <c r="F173" s="10"/>
      <c r="H173" s="9">
        <v>85</v>
      </c>
      <c r="I173" s="9" t="s">
        <v>28</v>
      </c>
      <c r="J173" s="9">
        <f t="shared" si="2"/>
        <v>57.375</v>
      </c>
      <c r="K173" s="9" t="s">
        <v>28</v>
      </c>
      <c r="L173" s="9">
        <v>57</v>
      </c>
      <c r="M173" s="9" t="s">
        <v>28</v>
      </c>
      <c r="N173" s="9">
        <v>55.5</v>
      </c>
      <c r="O173" s="9" t="s">
        <v>28</v>
      </c>
      <c r="P173" s="9">
        <v>60</v>
      </c>
      <c r="Q173" s="9" t="s">
        <v>28</v>
      </c>
      <c r="R173" s="9">
        <v>57</v>
      </c>
      <c r="S173" s="9" t="s">
        <v>28</v>
      </c>
      <c r="T173" s="9">
        <v>60</v>
      </c>
      <c r="V173" s="17">
        <v>0.54374999999999996</v>
      </c>
    </row>
    <row r="174" spans="1:22" x14ac:dyDescent="0.3">
      <c r="A174" s="9" t="s">
        <v>72</v>
      </c>
      <c r="B174" s="9" t="s">
        <v>73</v>
      </c>
      <c r="C174" s="9" t="s">
        <v>60</v>
      </c>
      <c r="D174" s="9">
        <v>1</v>
      </c>
      <c r="E174" s="9">
        <v>24</v>
      </c>
      <c r="F174" s="10"/>
      <c r="G174" s="9">
        <v>115</v>
      </c>
      <c r="H174" s="9">
        <v>15</v>
      </c>
      <c r="I174" s="9" t="s">
        <v>29</v>
      </c>
      <c r="J174" s="9" t="e">
        <f t="shared" si="2"/>
        <v>#DIV/0!</v>
      </c>
      <c r="T174" s="9">
        <v>0</v>
      </c>
    </row>
    <row r="175" spans="1:22" x14ac:dyDescent="0.3">
      <c r="A175" s="9" t="s">
        <v>72</v>
      </c>
      <c r="B175" s="9" t="s">
        <v>73</v>
      </c>
      <c r="C175" s="9" t="s">
        <v>60</v>
      </c>
      <c r="D175" s="9">
        <v>1</v>
      </c>
      <c r="E175" s="9">
        <v>48</v>
      </c>
      <c r="F175" s="10"/>
      <c r="H175" s="9">
        <v>90</v>
      </c>
      <c r="I175" s="9" t="s">
        <v>28</v>
      </c>
      <c r="J175" s="9">
        <f t="shared" si="2"/>
        <v>55.75</v>
      </c>
      <c r="K175" s="9" t="s">
        <v>28</v>
      </c>
      <c r="L175" s="9">
        <v>61.5</v>
      </c>
      <c r="M175" s="9" t="s">
        <v>28</v>
      </c>
      <c r="N175" s="9">
        <v>50</v>
      </c>
      <c r="O175" s="9" t="s">
        <v>28</v>
      </c>
      <c r="T175" s="9">
        <v>61.5</v>
      </c>
    </row>
    <row r="176" spans="1:22" x14ac:dyDescent="0.3">
      <c r="A176" s="9" t="s">
        <v>72</v>
      </c>
      <c r="B176" s="9" t="s">
        <v>73</v>
      </c>
      <c r="C176" s="9" t="s">
        <v>60</v>
      </c>
      <c r="D176" s="9">
        <v>1</v>
      </c>
      <c r="E176" s="9">
        <v>48</v>
      </c>
      <c r="F176" s="10"/>
      <c r="G176" s="9">
        <v>100</v>
      </c>
      <c r="H176" s="9">
        <v>10</v>
      </c>
      <c r="I176" s="9" t="s">
        <v>29</v>
      </c>
      <c r="J176" s="9" t="e">
        <f t="shared" si="2"/>
        <v>#DIV/0!</v>
      </c>
      <c r="T176" s="9">
        <v>0</v>
      </c>
    </row>
    <row r="177" spans="1:21" x14ac:dyDescent="0.3">
      <c r="A177" s="9" t="s">
        <v>72</v>
      </c>
      <c r="B177" s="9" t="s">
        <v>73</v>
      </c>
      <c r="C177" s="9" t="s">
        <v>60</v>
      </c>
      <c r="D177" s="9">
        <v>2</v>
      </c>
      <c r="E177" s="9">
        <v>0.5</v>
      </c>
      <c r="F177" s="10"/>
      <c r="H177" s="9">
        <v>50</v>
      </c>
      <c r="I177" s="9" t="s">
        <v>29</v>
      </c>
      <c r="J177" s="9" t="e">
        <f t="shared" si="2"/>
        <v>#DIV/0!</v>
      </c>
      <c r="T177" s="9">
        <v>0</v>
      </c>
    </row>
    <row r="178" spans="1:21" x14ac:dyDescent="0.3">
      <c r="A178" s="9" t="s">
        <v>72</v>
      </c>
      <c r="B178" s="9" t="s">
        <v>73</v>
      </c>
      <c r="C178" s="9" t="s">
        <v>60</v>
      </c>
      <c r="D178" s="9">
        <v>2</v>
      </c>
      <c r="E178" s="9">
        <v>0.5</v>
      </c>
      <c r="F178" s="10"/>
      <c r="H178" s="9">
        <v>5</v>
      </c>
      <c r="I178" s="9" t="s">
        <v>28</v>
      </c>
      <c r="J178" s="9" t="e">
        <f t="shared" si="2"/>
        <v>#DIV/0!</v>
      </c>
      <c r="T178" s="9">
        <v>0</v>
      </c>
    </row>
    <row r="179" spans="1:21" x14ac:dyDescent="0.3">
      <c r="A179" s="9" t="s">
        <v>72</v>
      </c>
      <c r="B179" s="9" t="s">
        <v>73</v>
      </c>
      <c r="C179" s="9" t="s">
        <v>60</v>
      </c>
      <c r="D179" s="9">
        <v>2</v>
      </c>
      <c r="E179" s="9">
        <v>0.5</v>
      </c>
      <c r="F179" s="10"/>
      <c r="H179" s="9">
        <v>65</v>
      </c>
      <c r="I179" s="9" t="s">
        <v>28</v>
      </c>
      <c r="J179" s="9">
        <f t="shared" si="2"/>
        <v>52</v>
      </c>
      <c r="K179" s="9" t="s">
        <v>28</v>
      </c>
      <c r="L179" s="9">
        <v>50</v>
      </c>
      <c r="M179" s="9" t="s">
        <v>28</v>
      </c>
      <c r="N179" s="9">
        <v>47</v>
      </c>
      <c r="O179" s="9" t="s">
        <v>28</v>
      </c>
      <c r="P179" s="9">
        <v>62</v>
      </c>
      <c r="Q179" s="9" t="s">
        <v>28</v>
      </c>
      <c r="R179" s="9">
        <v>49</v>
      </c>
      <c r="S179" s="9" t="s">
        <v>28</v>
      </c>
      <c r="T179" s="9">
        <v>62</v>
      </c>
      <c r="U179" s="9" t="s">
        <v>28</v>
      </c>
    </row>
    <row r="180" spans="1:21" x14ac:dyDescent="0.3">
      <c r="A180" s="9" t="s">
        <v>72</v>
      </c>
      <c r="B180" s="9" t="s">
        <v>73</v>
      </c>
      <c r="C180" s="9" t="s">
        <v>60</v>
      </c>
      <c r="D180" s="9">
        <v>2</v>
      </c>
      <c r="E180" s="9">
        <v>0.5</v>
      </c>
      <c r="F180" s="10"/>
      <c r="G180" s="9">
        <v>200</v>
      </c>
      <c r="H180" s="9">
        <v>80</v>
      </c>
      <c r="I180" s="9" t="s">
        <v>66</v>
      </c>
      <c r="J180" s="9" t="e">
        <f t="shared" si="2"/>
        <v>#DIV/0!</v>
      </c>
      <c r="T180" s="9">
        <v>0</v>
      </c>
    </row>
    <row r="181" spans="1:21" x14ac:dyDescent="0.3">
      <c r="A181" s="9" t="s">
        <v>72</v>
      </c>
      <c r="B181" s="9" t="s">
        <v>73</v>
      </c>
      <c r="C181" s="9" t="s">
        <v>60</v>
      </c>
      <c r="D181" s="9">
        <v>2</v>
      </c>
      <c r="E181" s="9">
        <v>2</v>
      </c>
      <c r="F181" s="10"/>
      <c r="H181" s="9">
        <v>20</v>
      </c>
      <c r="I181" s="9" t="s">
        <v>26</v>
      </c>
      <c r="J181" s="9">
        <f t="shared" si="2"/>
        <v>69.75</v>
      </c>
      <c r="K181" s="9" t="s">
        <v>26</v>
      </c>
      <c r="L181" s="9" t="s">
        <v>30</v>
      </c>
      <c r="N181" s="9">
        <v>79</v>
      </c>
      <c r="P181" s="9">
        <v>60.5</v>
      </c>
      <c r="R181" s="9" t="s">
        <v>30</v>
      </c>
      <c r="T181" s="9">
        <v>79</v>
      </c>
    </row>
    <row r="182" spans="1:21" x14ac:dyDescent="0.3">
      <c r="A182" s="9" t="s">
        <v>72</v>
      </c>
      <c r="B182" s="9" t="s">
        <v>73</v>
      </c>
      <c r="C182" s="9" t="s">
        <v>60</v>
      </c>
      <c r="D182" s="9">
        <v>2</v>
      </c>
      <c r="E182" s="9">
        <v>2</v>
      </c>
      <c r="F182" s="10"/>
      <c r="H182" s="9">
        <v>35</v>
      </c>
      <c r="I182" s="9" t="s">
        <v>28</v>
      </c>
      <c r="J182" s="9">
        <f t="shared" si="2"/>
        <v>54.625</v>
      </c>
      <c r="K182" s="9" t="s">
        <v>28</v>
      </c>
      <c r="L182" s="9">
        <v>65.5</v>
      </c>
      <c r="M182" s="9" t="s">
        <v>28</v>
      </c>
      <c r="N182" s="9">
        <v>54</v>
      </c>
      <c r="O182" s="9" t="s">
        <v>28</v>
      </c>
      <c r="P182" s="9">
        <v>50</v>
      </c>
      <c r="Q182" s="9" t="s">
        <v>28</v>
      </c>
      <c r="R182" s="9">
        <v>49</v>
      </c>
      <c r="S182" s="9" t="s">
        <v>28</v>
      </c>
      <c r="T182" s="9">
        <v>65.5</v>
      </c>
      <c r="U182" s="9" t="s">
        <v>28</v>
      </c>
    </row>
    <row r="183" spans="1:21" x14ac:dyDescent="0.3">
      <c r="A183" s="9" t="s">
        <v>72</v>
      </c>
      <c r="B183" s="9" t="s">
        <v>73</v>
      </c>
      <c r="C183" s="9" t="s">
        <v>60</v>
      </c>
      <c r="D183" s="9">
        <v>2</v>
      </c>
      <c r="E183" s="9">
        <v>2</v>
      </c>
      <c r="F183" s="10"/>
      <c r="H183" s="9">
        <v>50</v>
      </c>
      <c r="I183" s="9" t="s">
        <v>63</v>
      </c>
      <c r="J183" s="9" t="e">
        <f t="shared" si="2"/>
        <v>#DIV/0!</v>
      </c>
      <c r="T183" s="9">
        <v>0</v>
      </c>
    </row>
    <row r="184" spans="1:21" x14ac:dyDescent="0.3">
      <c r="A184" s="9" t="s">
        <v>72</v>
      </c>
      <c r="B184" s="9" t="s">
        <v>73</v>
      </c>
      <c r="C184" s="9" t="s">
        <v>60</v>
      </c>
      <c r="D184" s="9">
        <v>2</v>
      </c>
      <c r="E184" s="9">
        <v>2</v>
      </c>
      <c r="F184" s="10"/>
      <c r="G184" s="9">
        <v>110</v>
      </c>
      <c r="H184" s="9">
        <v>5</v>
      </c>
      <c r="I184" s="9" t="s">
        <v>28</v>
      </c>
      <c r="J184" s="9" t="e">
        <f t="shared" si="2"/>
        <v>#DIV/0!</v>
      </c>
      <c r="T184" s="9">
        <v>0</v>
      </c>
    </row>
    <row r="185" spans="1:21" x14ac:dyDescent="0.3">
      <c r="A185" s="9" t="s">
        <v>72</v>
      </c>
      <c r="B185" s="9" t="s">
        <v>73</v>
      </c>
      <c r="C185" s="9" t="s">
        <v>60</v>
      </c>
      <c r="D185" s="9">
        <v>2</v>
      </c>
      <c r="E185" s="9">
        <v>6</v>
      </c>
      <c r="F185" s="10"/>
      <c r="H185" s="9">
        <v>35</v>
      </c>
      <c r="I185" s="9" t="s">
        <v>29</v>
      </c>
      <c r="J185" s="9" t="e">
        <f t="shared" si="2"/>
        <v>#DIV/0!</v>
      </c>
      <c r="T185" s="9">
        <v>0</v>
      </c>
    </row>
    <row r="186" spans="1:21" x14ac:dyDescent="0.3">
      <c r="A186" s="9" t="s">
        <v>72</v>
      </c>
      <c r="B186" s="9" t="s">
        <v>73</v>
      </c>
      <c r="C186" s="9" t="s">
        <v>60</v>
      </c>
      <c r="D186" s="9">
        <v>2</v>
      </c>
      <c r="E186" s="9">
        <v>6</v>
      </c>
      <c r="F186" s="10"/>
      <c r="H186" s="9">
        <v>65</v>
      </c>
      <c r="I186" s="9" t="s">
        <v>28</v>
      </c>
      <c r="J186" s="9">
        <f t="shared" si="2"/>
        <v>52</v>
      </c>
      <c r="K186" s="9" t="s">
        <v>28</v>
      </c>
      <c r="L186" s="9">
        <v>50</v>
      </c>
      <c r="M186" s="9" t="s">
        <v>28</v>
      </c>
      <c r="N186" s="9">
        <v>47</v>
      </c>
      <c r="O186" s="9" t="s">
        <v>28</v>
      </c>
      <c r="P186" s="9">
        <v>62</v>
      </c>
      <c r="Q186" s="9" t="s">
        <v>28</v>
      </c>
      <c r="R186" s="9">
        <v>49</v>
      </c>
      <c r="S186" s="9" t="s">
        <v>28</v>
      </c>
      <c r="T186" s="9">
        <v>62</v>
      </c>
      <c r="U186" s="9" t="s">
        <v>28</v>
      </c>
    </row>
    <row r="187" spans="1:21" x14ac:dyDescent="0.3">
      <c r="A187" s="9" t="s">
        <v>72</v>
      </c>
      <c r="B187" s="9" t="s">
        <v>73</v>
      </c>
      <c r="C187" s="9" t="s">
        <v>60</v>
      </c>
      <c r="D187" s="9">
        <v>2</v>
      </c>
      <c r="E187" s="9">
        <v>6</v>
      </c>
      <c r="F187" s="10"/>
      <c r="G187" s="9">
        <v>180</v>
      </c>
      <c r="H187" s="9">
        <v>80</v>
      </c>
      <c r="I187" s="9" t="s">
        <v>67</v>
      </c>
      <c r="J187" s="9" t="e">
        <f t="shared" si="2"/>
        <v>#DIV/0!</v>
      </c>
      <c r="T187" s="9">
        <v>0</v>
      </c>
    </row>
    <row r="188" spans="1:21" x14ac:dyDescent="0.3">
      <c r="A188" s="9" t="s">
        <v>72</v>
      </c>
      <c r="B188" s="9" t="s">
        <v>73</v>
      </c>
      <c r="C188" s="9" t="s">
        <v>60</v>
      </c>
      <c r="D188" s="9">
        <v>2</v>
      </c>
      <c r="E188" s="9">
        <v>12</v>
      </c>
      <c r="F188" s="10"/>
      <c r="H188" s="9">
        <v>5</v>
      </c>
      <c r="I188" s="9" t="s">
        <v>68</v>
      </c>
      <c r="J188" s="9" t="e">
        <f t="shared" si="2"/>
        <v>#DIV/0!</v>
      </c>
      <c r="T188" s="9">
        <v>0</v>
      </c>
    </row>
    <row r="189" spans="1:21" x14ac:dyDescent="0.3">
      <c r="A189" s="9" t="s">
        <v>72</v>
      </c>
      <c r="B189" s="9" t="s">
        <v>73</v>
      </c>
      <c r="C189" s="9" t="s">
        <v>60</v>
      </c>
      <c r="D189" s="9">
        <v>2</v>
      </c>
      <c r="E189" s="9">
        <v>12</v>
      </c>
      <c r="F189" s="10"/>
      <c r="H189" s="9">
        <v>75</v>
      </c>
      <c r="I189" s="9" t="s">
        <v>28</v>
      </c>
      <c r="J189" s="9">
        <f t="shared" si="2"/>
        <v>54.375</v>
      </c>
      <c r="K189" s="9" t="s">
        <v>28</v>
      </c>
      <c r="L189" s="9">
        <v>54.5</v>
      </c>
      <c r="M189" s="9" t="s">
        <v>28</v>
      </c>
      <c r="N189" s="9">
        <v>53</v>
      </c>
      <c r="O189" s="9" t="s">
        <v>28</v>
      </c>
      <c r="P189" s="9">
        <v>53</v>
      </c>
      <c r="Q189" s="9" t="s">
        <v>28</v>
      </c>
      <c r="R189" s="9">
        <v>57</v>
      </c>
      <c r="S189" s="9" t="s">
        <v>28</v>
      </c>
      <c r="T189" s="9">
        <v>57</v>
      </c>
      <c r="U189" s="9" t="s">
        <v>28</v>
      </c>
    </row>
    <row r="190" spans="1:21" x14ac:dyDescent="0.3">
      <c r="A190" s="9" t="s">
        <v>72</v>
      </c>
      <c r="B190" s="9" t="s">
        <v>73</v>
      </c>
      <c r="C190" s="9" t="s">
        <v>60</v>
      </c>
      <c r="D190" s="9">
        <v>2</v>
      </c>
      <c r="E190" s="9">
        <v>12</v>
      </c>
      <c r="F190" s="10"/>
      <c r="G190" s="9">
        <v>105</v>
      </c>
      <c r="H190" s="9">
        <v>25</v>
      </c>
      <c r="I190" s="9" t="s">
        <v>29</v>
      </c>
      <c r="J190" s="9" t="e">
        <f t="shared" si="2"/>
        <v>#DIV/0!</v>
      </c>
      <c r="T190" s="9">
        <v>0</v>
      </c>
    </row>
    <row r="191" spans="1:21" x14ac:dyDescent="0.3">
      <c r="A191" s="9" t="s">
        <v>72</v>
      </c>
      <c r="B191" s="9" t="s">
        <v>73</v>
      </c>
      <c r="C191" s="9" t="s">
        <v>60</v>
      </c>
      <c r="D191" s="9">
        <v>2</v>
      </c>
      <c r="E191" s="9">
        <v>18</v>
      </c>
      <c r="F191" s="10"/>
      <c r="H191" s="9">
        <v>10</v>
      </c>
      <c r="I191" s="9" t="s">
        <v>29</v>
      </c>
      <c r="J191" s="9" t="e">
        <f t="shared" si="2"/>
        <v>#DIV/0!</v>
      </c>
      <c r="T191" s="9">
        <v>0</v>
      </c>
    </row>
    <row r="192" spans="1:21" x14ac:dyDescent="0.3">
      <c r="A192" s="9" t="s">
        <v>72</v>
      </c>
      <c r="B192" s="9" t="s">
        <v>73</v>
      </c>
      <c r="C192" s="9" t="s">
        <v>60</v>
      </c>
      <c r="D192" s="9">
        <v>2</v>
      </c>
      <c r="E192" s="9">
        <v>18</v>
      </c>
      <c r="F192" s="10"/>
      <c r="G192" s="9">
        <v>100</v>
      </c>
      <c r="H192" s="9">
        <v>90</v>
      </c>
      <c r="I192" s="9" t="s">
        <v>28</v>
      </c>
      <c r="J192" s="9">
        <f t="shared" si="2"/>
        <v>64.625</v>
      </c>
      <c r="K192" s="9" t="s">
        <v>28</v>
      </c>
      <c r="L192" s="9">
        <v>64.5</v>
      </c>
      <c r="M192" s="9" t="s">
        <v>28</v>
      </c>
      <c r="N192" s="9">
        <v>61.5</v>
      </c>
      <c r="O192" s="9" t="s">
        <v>28</v>
      </c>
      <c r="P192" s="9">
        <v>68.5</v>
      </c>
      <c r="Q192" s="9" t="s">
        <v>28</v>
      </c>
      <c r="R192" s="9">
        <v>64</v>
      </c>
      <c r="S192" s="9" t="s">
        <v>28</v>
      </c>
      <c r="T192" s="9">
        <v>68.5</v>
      </c>
      <c r="U192" s="9" t="s">
        <v>28</v>
      </c>
    </row>
    <row r="193" spans="1:21" x14ac:dyDescent="0.3">
      <c r="A193" s="9" t="s">
        <v>72</v>
      </c>
      <c r="B193" s="9" t="s">
        <v>73</v>
      </c>
      <c r="C193" s="9" t="s">
        <v>60</v>
      </c>
      <c r="D193" s="9">
        <v>2</v>
      </c>
      <c r="E193" s="9">
        <v>24</v>
      </c>
      <c r="F193" s="10"/>
      <c r="H193" s="9">
        <v>10</v>
      </c>
      <c r="I193" s="9" t="s">
        <v>50</v>
      </c>
      <c r="J193" s="9" t="e">
        <f t="shared" si="2"/>
        <v>#DIV/0!</v>
      </c>
      <c r="T193" s="9">
        <v>0</v>
      </c>
    </row>
    <row r="194" spans="1:21" x14ac:dyDescent="0.3">
      <c r="A194" s="9" t="s">
        <v>72</v>
      </c>
      <c r="B194" s="9" t="s">
        <v>73</v>
      </c>
      <c r="C194" s="9" t="s">
        <v>60</v>
      </c>
      <c r="D194" s="9">
        <v>2</v>
      </c>
      <c r="E194" s="9">
        <v>24</v>
      </c>
      <c r="F194" s="10"/>
      <c r="G194" s="9">
        <v>80</v>
      </c>
      <c r="H194" s="9">
        <v>70</v>
      </c>
      <c r="I194" s="9" t="s">
        <v>28</v>
      </c>
      <c r="J194" s="9">
        <f t="shared" si="2"/>
        <v>56.5</v>
      </c>
      <c r="K194" s="9" t="s">
        <v>28</v>
      </c>
      <c r="L194" s="9">
        <v>57.5</v>
      </c>
      <c r="M194" s="9" t="s">
        <v>28</v>
      </c>
      <c r="N194" s="9">
        <v>55</v>
      </c>
      <c r="O194" s="9" t="s">
        <v>28</v>
      </c>
      <c r="P194" s="9">
        <v>62.5</v>
      </c>
      <c r="Q194" s="9" t="s">
        <v>28</v>
      </c>
      <c r="R194" s="9">
        <v>51</v>
      </c>
      <c r="S194" s="9" t="s">
        <v>28</v>
      </c>
      <c r="T194" s="9">
        <v>62.5</v>
      </c>
      <c r="U194" s="9" t="s">
        <v>28</v>
      </c>
    </row>
    <row r="195" spans="1:21" x14ac:dyDescent="0.3">
      <c r="A195" s="9" t="s">
        <v>72</v>
      </c>
      <c r="B195" s="9" t="s">
        <v>73</v>
      </c>
      <c r="C195" s="9" t="s">
        <v>60</v>
      </c>
      <c r="D195" s="9">
        <v>2</v>
      </c>
      <c r="E195" s="9">
        <v>48</v>
      </c>
      <c r="F195" s="10"/>
      <c r="H195" s="9">
        <v>75</v>
      </c>
      <c r="I195" s="9" t="s">
        <v>28</v>
      </c>
      <c r="J195" s="9" t="e">
        <f t="shared" si="2"/>
        <v>#DIV/0!</v>
      </c>
      <c r="K195" s="9" t="s">
        <v>28</v>
      </c>
      <c r="L195" s="9" t="s">
        <v>69</v>
      </c>
      <c r="M195" s="9" t="s">
        <v>28</v>
      </c>
      <c r="N195" s="9" t="s">
        <v>70</v>
      </c>
      <c r="O195" s="9" t="s">
        <v>28</v>
      </c>
      <c r="P195" s="9" t="s">
        <v>71</v>
      </c>
      <c r="Q195" s="9" t="s">
        <v>28</v>
      </c>
      <c r="R195" s="9" t="s">
        <v>69</v>
      </c>
      <c r="S195" s="9" t="s">
        <v>28</v>
      </c>
      <c r="T195" s="9">
        <v>0</v>
      </c>
      <c r="U195" s="9" t="s">
        <v>28</v>
      </c>
    </row>
    <row r="196" spans="1:21" x14ac:dyDescent="0.3">
      <c r="A196" s="9" t="s">
        <v>72</v>
      </c>
      <c r="B196" s="9" t="s">
        <v>73</v>
      </c>
      <c r="C196" s="9" t="s">
        <v>60</v>
      </c>
      <c r="D196" s="9">
        <v>2</v>
      </c>
      <c r="E196" s="9">
        <v>48</v>
      </c>
      <c r="F196" s="10"/>
      <c r="G196" s="9">
        <v>100</v>
      </c>
      <c r="H196" s="9">
        <v>25</v>
      </c>
      <c r="I196" s="9" t="s">
        <v>29</v>
      </c>
      <c r="J196" s="9" t="e">
        <f t="shared" ref="J196" si="3">AVERAGE(L196, N196, P196, R196)</f>
        <v>#DIV/0!</v>
      </c>
      <c r="T196" s="9">
        <v>0</v>
      </c>
    </row>
    <row r="201" spans="1:21" x14ac:dyDescent="0.3">
      <c r="J201" s="9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winter</vt:lpstr>
      <vt:lpstr>summer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2026-06-18T04:48:21Z</dcterms:created>
  <dcterms:modified xsi:type="dcterms:W3CDTF">2026-06-19T19:51:36Z</dcterms:modified>
</cp:coreProperties>
</file>